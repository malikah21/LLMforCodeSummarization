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79"/>
  <sheetViews>
    <sheetView workbookViewId="0">
      <selection activeCell="A1" sqref="A1"/>
    </sheetView>
  </sheetViews>
  <sheetFormatPr baseColWidth="8" defaultRowHeight="15"/>
  <sheetData>
    <row r="1">
      <c r="A1" s="1" t="inlineStr">
        <is>
          <t>Repository</t>
        </is>
      </c>
      <c r="B1" s="1" t="inlineStr">
        <is>
          <t>File Name</t>
        </is>
      </c>
      <c r="C1" s="1" t="inlineStr">
        <is>
          <t>File Link</t>
        </is>
      </c>
      <c r="D1" s="1" t="inlineStr">
        <is>
          <t>Zero Summary</t>
        </is>
      </c>
      <c r="E1" s="1" t="inlineStr">
        <is>
          <t>BLEU Zero</t>
        </is>
      </c>
      <c r="F1" s="1" t="inlineStr">
        <is>
          <t>ROUGE Zero</t>
        </is>
      </c>
      <c r="G1" s="1" t="inlineStr">
        <is>
          <t>METEOR Zero</t>
        </is>
      </c>
      <c r="H1" s="1" t="inlineStr">
        <is>
          <t>Few Summary</t>
        </is>
      </c>
      <c r="I1" s="1" t="inlineStr">
        <is>
          <t>BLEU Few</t>
        </is>
      </c>
      <c r="J1" s="1" t="inlineStr">
        <is>
          <t>ROUGE Few</t>
        </is>
      </c>
      <c r="K1" s="1" t="inlineStr">
        <is>
          <t>METEOR Few</t>
        </is>
      </c>
      <c r="L1" s="1" t="inlineStr">
        <is>
          <t>Adv Summary</t>
        </is>
      </c>
      <c r="M1" s="1" t="inlineStr">
        <is>
          <t>BLEU Adv</t>
        </is>
      </c>
      <c r="N1" s="1" t="inlineStr">
        <is>
          <t>ROUGE Adv</t>
        </is>
      </c>
      <c r="O1" s="1" t="inlineStr">
        <is>
          <t>METEOR Adv</t>
        </is>
      </c>
    </row>
    <row r="2">
      <c r="A2" t="inlineStr">
        <is>
          <t>butterknife</t>
        </is>
      </c>
      <c r="B2" t="inlineStr">
        <is>
          <t>butterknife-integration-test/src/androidTestReflect/java/com/example/butterknife/functional/BindBoolFailureTest.java</t>
        </is>
      </c>
      <c r="C2">
        <f>HYPERLINK("https://github.com/JakeWharton/butterknife/blob/master/butterknife-integration-test/src/androidTestReflect/java/com/example/butterknife/functional/BindBoolFailureTest.java")</f>
        <v/>
      </c>
      <c r="D2" t="inlineStr">
        <is>
          <t>The provided code is a functional test for the ButterKnife library in Java. It tests whether an annotation (@BindBool) with incorrect type (not boolean) throws an IllegalStateException when used on a field annotated with @BindBool. 
In this specific case, it tries to bind a target object using ButterKnife and expects an exception because 'actual' field</t>
        </is>
      </c>
      <c r="E2" t="n">
        <v>0.0033</v>
      </c>
      <c r="F2" t="n">
        <v>0.0635</v>
      </c>
      <c r="G2" t="n">
        <v>0.1181</v>
      </c>
      <c r="H2" t="inlineStr">
        <is>
          <t>The code provided is a JUnit test case for the Butter Knife library in Java. It tests whether an exception with message "@BindBool field type must be 'boolean'. (com.example.butterknife.functional.BindBoolFailureTest$Target.actual)" will be thrown when trying to bind a view tree using Butter Knife without specifying that the annotated field</t>
        </is>
      </c>
      <c r="I2" t="n">
        <v>0</v>
      </c>
      <c r="J2" t="n">
        <v>0.0323</v>
      </c>
      <c r="K2" t="n">
        <v>0.0417</v>
      </c>
      <c r="L2" t="inlineStr">
        <is>
          <t>The provided code is a JUnit test case that tests the functionality of ButterKnife library in Android development. The purpose of this code is to verify if an exception with message "@BindBool field type must be 'boolean'. (com.example.butterknife.functional.BindBoolFailureTest$Target.actual)" gets thrown when trying to bind fields annotated</t>
        </is>
      </c>
      <c r="M2" t="n">
        <v>0.004</v>
      </c>
      <c r="N2" t="n">
        <v>0.0667</v>
      </c>
      <c r="O2" t="n">
        <v>0.0847</v>
      </c>
    </row>
    <row r="3">
      <c r="A3" t="inlineStr">
        <is>
          <t>butterknife</t>
        </is>
      </c>
      <c r="B3" t="inlineStr">
        <is>
          <t>butterknife-integration-test/src/androidTestReflect/java/com/example/butterknife/functional/BindViewFailureTest.java</t>
        </is>
      </c>
      <c r="C3">
        <f>HYPERLINK("https://github.com/JakeWharton/butterknife/blob/master/butterknife-integration-test/src/androidTestReflect/java/com/example/butterknife/functional/BindViewFailureTest.java")</f>
        <v/>
      </c>
      <c r="D3" t="inlineStr">
        <is>
          <t>The code provided is a JUnit test for the Butter Knife library's `@BindView` annotation functionality in Java. The purpose of this test is to ensure that an exception with an appropriate error message gets thrown when trying to bind views using the `@BindView` annotation on classes or fields which do not extend from either View or implement Bean interface. 
In detail</t>
        </is>
      </c>
      <c r="E3" t="n">
        <v>0.003</v>
      </c>
      <c r="F3" t="n">
        <v>0.0571</v>
      </c>
      <c r="G3" t="n">
        <v>0.1128</v>
      </c>
      <c r="H3" t="inlineStr">
        <is>
          <t>The provided code is a JUnit test case for the Butter Knife library in Java. The purpose of this test is to ensure that an exception is thrown when trying to bind views using @BindView annotation on classes or fields which do not extend from View or implement a bean interface. 
In summary, it tests if binding non-compatible objects with @BindView will throw exceptions and</t>
        </is>
      </c>
      <c r="I3" t="n">
        <v>0.0028</v>
      </c>
      <c r="J3" t="n">
        <v>0.08110000000000001</v>
      </c>
      <c r="K3" t="n">
        <v>0.146</v>
      </c>
      <c r="L3" t="inlineStr">
        <is>
          <t>```java
The provided code is a JUnit test case for the Butter Knife library in Java. The purpose of this code is to verify that an exception will be thrown when trying to bind fields annotated with @BindView from a class which does not extend View or implement any interface required by Butter Knife's binding mechanism (such as Parcelable, Serializable etc</t>
        </is>
      </c>
      <c r="M3" t="n">
        <v>0</v>
      </c>
      <c r="N3" t="n">
        <v>0.0571</v>
      </c>
      <c r="O3" t="n">
        <v>0.0752</v>
      </c>
    </row>
    <row r="4">
      <c r="A4" t="inlineStr">
        <is>
          <t>butterknife</t>
        </is>
      </c>
      <c r="B4" t="inlineStr">
        <is>
          <t>butterknife-integration-test/src/androidTestReflect/java/com/example/butterknife/functional/BindFloatFailureTest.java</t>
        </is>
      </c>
      <c r="C4">
        <f>HYPERLINK("https://github.com/JakeWharton/butterknife/blob/master/butterknife-integration-test/src/androidTestReflect/java/com/example/butterknife/functional/BindFloatFailureTest.java")</f>
        <v/>
      </c>
      <c r="D4" t="inlineStr">
        <is>
          <t>The provided code is a JUnit test for the Butter Knife library in Java. The purpose of this test is to verify that an exception with message "@BindFloat field type must be 'float'. (com.example.butterknife.functional.BindFloatFailureTest$Target.actual)" gets thrown when trying to bind a view tree using Butter Knife without specifying the</t>
        </is>
      </c>
      <c r="E4" t="n">
        <v>0</v>
      </c>
      <c r="F4" t="n">
        <v>0.0635</v>
      </c>
      <c r="G4" t="n">
        <v>0.08260000000000001</v>
      </c>
      <c r="H4" t="inlineStr">
        <is>
          <t>The provided code is a JUnit test for the Butter Knife library in Java. The purpose of this test is to validate that an error message with specific content will be thrown when trying to bind a field annotated with @BindFloat but its type isn't 'float'. 
It does so by creating a View tree and a target class containing a String variable annotated with @</t>
        </is>
      </c>
      <c r="I4" t="n">
        <v>0.0028</v>
      </c>
      <c r="J4" t="n">
        <v>0.0548</v>
      </c>
      <c r="K4" t="n">
        <v>0.073</v>
      </c>
      <c r="L4" t="inlineStr">
        <is>
          <t>The provided code is a JUnit test case for the ButterKnife library in Java. The purpose of this class is to verify that if an annotated field with @BindFloat annotation has a type other than 'float', it throws an IllegalStateException. 
It creates a View tree and binds it using ButterKnife. If the binding process fails because the type</t>
        </is>
      </c>
      <c r="M4" t="n">
        <v>0.0031</v>
      </c>
      <c r="N4" t="n">
        <v>0.0606</v>
      </c>
      <c r="O4" t="n">
        <v>0.1154</v>
      </c>
    </row>
    <row r="5">
      <c r="A5" t="inlineStr">
        <is>
          <t>butterknife</t>
        </is>
      </c>
      <c r="B5" t="inlineStr">
        <is>
          <t>butterknife-integration-test/src/androidTestReflect/java/com/example/butterknife/functional/BindAnimFailureTest.java</t>
        </is>
      </c>
      <c r="C5">
        <f>HYPERLINK("https://github.com/JakeWharton/butterknife/blob/master/butterknife-integration-test/src/androidTestReflect/java/com/example/butterknife/functional/BindAnimFailureTest.java")</f>
        <v/>
      </c>
      <c r="D5" t="inlineStr">
        <is>
          <t>The provided code is a functional test case for ButterKnife library in Java. The purpose of this test is to verify that the `@BindAnim` annotation correctly binds an animation resource with the annotated field and throws an IllegalStateException if it does not match 'Animation'. 
In this specific instance, there are two classes defined - ViewTree (which seems</t>
        </is>
      </c>
      <c r="E5" t="n">
        <v>0.0032</v>
      </c>
      <c r="F5" t="n">
        <v>0.0625</v>
      </c>
      <c r="G5" t="n">
        <v>0.1163</v>
      </c>
      <c r="H5" t="inlineStr">
        <is>
          <t>The provided code is a Java test case for the ButterKnife library which binds an animation to a view and checks if it throws an IllegalStateException with the correct message when binding fails due to incorrect type annotation on @BindAnim field. The complexity of this operation is O(1), as there are no loops or recursive calls in place. This repository contains backend software components implementing core</t>
        </is>
      </c>
      <c r="I5" t="n">
        <v>0.0039</v>
      </c>
      <c r="J5" t="n">
        <v>0.1067</v>
      </c>
      <c r="K5" t="n">
        <v>0.2696</v>
      </c>
      <c r="L5" t="inlineStr">
        <is>
          <t>The provided code is a JUnit test case for the ButterKnife library in Java. The purpose of this class is to verify that an exception will be thrown when attempting to bind a field annotated with @BindAnim where its type isn't 'Animation'. 
It does so by creating a ViewTree and Target objects within it. The ViewTree object has one</t>
        </is>
      </c>
      <c r="M5" t="n">
        <v>0.0031</v>
      </c>
      <c r="N5" t="n">
        <v>0.0588</v>
      </c>
      <c r="O5" t="n">
        <v>0.07630000000000001</v>
      </c>
    </row>
    <row r="6">
      <c r="A6" t="inlineStr">
        <is>
          <t>butterknife</t>
        </is>
      </c>
      <c r="B6" t="inlineStr">
        <is>
          <t>butterknife-integration-test/src/androidTestReflect/java/com/example/butterknife/functional/BindStringFailureTest.java</t>
        </is>
      </c>
      <c r="C6">
        <f>HYPERLINK("https://github.com/JakeWharton/butterknife/blob/master/butterknife-integration-test/src/androidTestReflect/java/com/example/butterknife/functional/BindStringFailureTest.java")</f>
        <v/>
      </c>
      <c r="D6" t="inlineStr">
        <is>
          <t>The provided code is a JUnit test for the ButterKnife library in Java. It tests whether an IllegalStateException with the correct message will be thrown when trying to bind a View using ButterKnife and annotating it with @BindString where the field type isn't 'String'. 
In this case, we have a class Target which has a boolean variable named</t>
        </is>
      </c>
      <c r="E6" t="n">
        <v>0.0031</v>
      </c>
      <c r="F6" t="n">
        <v>0.0299</v>
      </c>
      <c r="G6" t="n">
        <v>0.1154</v>
      </c>
      <c r="H6" t="inlineStr">
        <is>
          <t>The provided code is a JUnit test case for the Butter Knife library in Java. It tests whether an IllegalStateException with the correct message will be thrown when trying to bind a field annotated with @BindString that isnâĢĻt of type String. The complexity of this operation is O(1), as it involves only one binding process and no loops or recursion.
In</t>
        </is>
      </c>
      <c r="I6" t="n">
        <v>0.003</v>
      </c>
      <c r="J6" t="n">
        <v>0.0563</v>
      </c>
      <c r="K6" t="n">
        <v>0.0752</v>
      </c>
      <c r="L6" t="inlineStr">
        <is>
          <t>```java
The provided code is a JUnit test case for the ButterKnife library in Android development. The purpose of this test is to verify that an error will be thrown when attempting to bind a field annotated with @BindString and its type isn't 'String'. 
Here are key operations performed by the code:
1. It creates a View tree</t>
        </is>
      </c>
      <c r="M6" t="n">
        <v>0.0031</v>
      </c>
      <c r="N6" t="n">
        <v>0.0597</v>
      </c>
      <c r="O6" t="n">
        <v>0.0769</v>
      </c>
    </row>
    <row r="7">
      <c r="A7" t="inlineStr">
        <is>
          <t>butterknife</t>
        </is>
      </c>
      <c r="B7" t="inlineStr">
        <is>
          <t>butterknife-integration-test/src/androidTestReflect/java/com/example/butterknife/functional/BindDimenFailureTest.java</t>
        </is>
      </c>
      <c r="C7">
        <f>HYPERLINK("https://github.com/JakeWharton/butterknife/blob/master/butterknife-integration-test/src/androidTestReflect/java/com/example/butterknife/functional/BindDimenFailureTest.java")</f>
        <v/>
      </c>
      <c r="D7" t="inlineStr">
        <is>
          <t>The code is a JUnit test for the ButterKnife library in Java. It tests whether an exception with message "@BindDimen field type must be 'int' or 'float'. (com.example.butterknife.functional.BindDimenFailureTest$Target.actual)" gets thrown when trying to bind a view tree using ButterKnife and the</t>
        </is>
      </c>
      <c r="E7" t="n">
        <v>0.0045</v>
      </c>
      <c r="F7" t="n">
        <v>0.0727</v>
      </c>
      <c r="G7" t="n">
        <v>0.0885</v>
      </c>
      <c r="H7" t="inlineStr">
        <is>
          <t>The provided code is a JUnit test for Butter Knife library in Java. The purpose of this test is to ensure that the @BindDimen annotation works correctly by checking if it throws an IllegalStateException when used with fields other than 'int' or 'float'. 
In this case, we have created a class Target which has one field annotated with @BindDimen</t>
        </is>
      </c>
      <c r="I7" t="n">
        <v>0</v>
      </c>
      <c r="J7" t="n">
        <v>0.0299</v>
      </c>
      <c r="K7" t="n">
        <v>0.07630000000000001</v>
      </c>
      <c r="L7" t="inlineStr">
        <is>
          <t>```java
The provided code is a JUnit test for the ButterKnife library in Java. The purpose of this code is to verify that an error message with specific content will be thrown when attempting to bind a field annotated with @BindDimen using an unsupported type (not 'int' or 'float'). 
It does so by creating a View tree and</t>
        </is>
      </c>
      <c r="M7" t="n">
        <v>0.0031</v>
      </c>
      <c r="N7" t="n">
        <v>0.0606</v>
      </c>
      <c r="O7" t="n">
        <v>0.1154</v>
      </c>
    </row>
    <row r="8">
      <c r="A8" t="inlineStr">
        <is>
          <t>butterknife</t>
        </is>
      </c>
      <c r="B8" t="inlineStr">
        <is>
          <t>butterknife-integration-test/src/androidTestReflect/java/com/example/butterknife/functional/BindViewsFailureTest.java</t>
        </is>
      </c>
      <c r="C8">
        <f>HYPERLINK("https://github.com/JakeWharton/butterknife/blob/master/butterknife-integration-test/src/androidTestReflect/java/com/example/butterknife/functional/BindViewsFailureTest.java")</f>
        <v/>
      </c>
      <c r="D8" t="inlineStr">
        <is>
          <t>The provided code is a JUnit test for the ButterKnife library's @BindView annotation failure handling. The tests are designed to ensure that an exception with an appropriate error message is thrown when no IDs or generic types are specified in the @BindView annotation.
In detail: 
- `NoIds` class has a View array annotated with @BindViews</t>
        </is>
      </c>
      <c r="E8" t="n">
        <v>0</v>
      </c>
      <c r="F8" t="n">
        <v>0</v>
      </c>
      <c r="G8" t="n">
        <v>0</v>
      </c>
      <c r="H8" t="inlineStr">
        <is>
          <t>The provided code is a Java class that uses the ButterKnife library to bind views and test for failure cases when no IDs are specified in the @BindViews annotation or when there's no generic type defined.
In the first method `failsIfNoIds`, it attempts to bind an instance of a class (NoIds), which has been annotated with @</t>
        </is>
      </c>
      <c r="I8" t="n">
        <v>0.0032</v>
      </c>
      <c r="J8" t="n">
        <v>0.0308</v>
      </c>
      <c r="K8" t="n">
        <v>0.0775</v>
      </c>
      <c r="L8" t="inlineStr">
        <is>
          <t>The provided code is a JUnit test for the Butter Knife library in Android development. It tests two scenarios where @BindViews annotation fails due to missing ID or generic type specification.
Scenario 1: The NoIds class has an array of View annotated with @BindViews but no specific ids are specified. When trying to bind these views using ButterKn</t>
        </is>
      </c>
      <c r="M8" t="n">
        <v>0</v>
      </c>
      <c r="N8" t="n">
        <v>0</v>
      </c>
      <c r="O8" t="n">
        <v>0.0385</v>
      </c>
    </row>
    <row r="9">
      <c r="A9" t="inlineStr">
        <is>
          <t>butterknife</t>
        </is>
      </c>
      <c r="B9" t="inlineStr">
        <is>
          <t>butterknife-integration-test/src/androidTestReflect/java/com/example/butterknife/functional/BindArrayFailureTest.java</t>
        </is>
      </c>
      <c r="C9">
        <f>HYPERLINK("https://github.com/JakeWharton/butterknife/blob/master/butterknife-integration-test/src/androidTestReflect/java/com/example/butterknife/functional/BindArrayFailureTest.java")</f>
        <v/>
      </c>
      <c r="D9" t="inlineStr">
        <is>
          <t>&lt;!-- This is a summary of the provided code --&gt;
The given Java code demonstrates functional testing using JUnit for ButterKnife library's `@BindArray` annotation functionality. The purpose of this test is to ensure that an exception with an appropriate message is thrown when attempting to bind an array field annotated with `@BindArray` and its type isn't supported by Butter</t>
        </is>
      </c>
      <c r="E9" t="n">
        <v>0.0037</v>
      </c>
      <c r="F9" t="n">
        <v>0.0896</v>
      </c>
      <c r="G9" t="n">
        <v>0.1145</v>
      </c>
      <c r="H9" t="inlineStr">
        <is>
          <t>The provided code is a JUnit test for the Butter Knife library in Java. It tests whether an exception with message "@BindArray field type must be one of..." is thrown when trying to bind an array annotated with @BindArray but its type does not match any supported types (String[], int[], CharSequence[] or android.content.res.TypedArray). The</t>
        </is>
      </c>
      <c r="I9" t="n">
        <v>0</v>
      </c>
      <c r="J9" t="n">
        <v>0</v>
      </c>
      <c r="K9" t="n">
        <v>0</v>
      </c>
      <c r="L9" t="inlineStr">
        <is>
          <t>The given code is a JUnit test for the Butter Knife library in Android development. It tests if an array binding annotation (@BindArray) correctly throws an IllegalStateException when used with unsupported types (types other than String[], int[], CharSequence[] and android.content.res.TypedArray.). 
It starts by creating a View tree of depth</t>
        </is>
      </c>
      <c r="M9" t="n">
        <v>0.0037</v>
      </c>
      <c r="N9" t="n">
        <v>0.0333</v>
      </c>
      <c r="O9" t="n">
        <v>0.08260000000000001</v>
      </c>
    </row>
    <row r="10">
      <c r="A10" t="inlineStr">
        <is>
          <t>butterknife</t>
        </is>
      </c>
      <c r="B10" t="inlineStr">
        <is>
          <t>butterknife-integration-test/src/androidTestReflect/java/com/example/butterknife/functional/BindBitmapFailureTest.java</t>
        </is>
      </c>
      <c r="C10">
        <f>HYPERLINK("https://github.com/JakeWharton/butterknife/blob/master/butterknife-integration-test/src/androidTestReflect/java/com/example/butterknife/functional/BindBitmapFailureTest.java")</f>
        <v/>
      </c>
      <c r="D10" t="inlineStr">
        <is>
          <t>The provided code is a JUnit test case for testing the functionality of Butter Knife library in Android development. The purpose of this test is to ensure that when using `@BindBitmap` annotation on a field with type other than Bitmap (i.e., String), an IllegalStateException will be thrown and its message should match what we expect. 
In detail</t>
        </is>
      </c>
      <c r="E10" t="n">
        <v>0.0038</v>
      </c>
      <c r="F10" t="n">
        <v>0.0606</v>
      </c>
      <c r="G10" t="n">
        <v>0.1163</v>
      </c>
      <c r="H10" t="inlineStr">
        <is>
          <t>The provided code is a JUnit test for the Butter Knife library in Android development. The purpose of this test is to verify that the @BindBitmap annotation works as expected by attempting to bind an annotated field with a non-bitmap type and expecting it to throw an IllegalStateException.
In summary, this piece of code tests the functionality of binding bitmaps using the</t>
        </is>
      </c>
      <c r="I10" t="n">
        <v>0.0035</v>
      </c>
      <c r="J10" t="n">
        <v>0.0563</v>
      </c>
      <c r="K10" t="n">
        <v>0.1119</v>
      </c>
      <c r="L10" t="inlineStr">
        <is>
          <t>```java
The provided code is a JUnit test case for the ButterKnife library in Java. The purpose of this test is to verify that an exception is thrown when trying to bind a field annotated with @BindBitmap but its type isn't 'Bitmap'. 
Here are key steps involved:
1. A View tree and target class (</t>
        </is>
      </c>
      <c r="M10" t="n">
        <v>0.0033</v>
      </c>
      <c r="N10" t="n">
        <v>0.0635</v>
      </c>
      <c r="O10" t="n">
        <v>0.07870000000000001</v>
      </c>
    </row>
    <row r="11">
      <c r="A11" t="inlineStr">
        <is>
          <t>butterknife</t>
        </is>
      </c>
      <c r="B11" t="inlineStr">
        <is>
          <t>butterknife-integration-test/src/androidTestReflect/java/com/example/butterknife/functional/BindIntFailureTest.java</t>
        </is>
      </c>
      <c r="C11">
        <f>HYPERLINK("https://github.com/JakeWharton/butterknife/blob/master/butterknife-integration-test/src/androidTestReflect/java/com/example/butterknife/functional/BindIntFailureTest.java")</f>
        <v/>
      </c>
      <c r="D11" t="inlineStr">
        <is>
          <t>The provided code is a JUnit test for the ButterKnife library in Java. The purpose of this test is to verify that when using @BindInt annotation with an incorrect type (not int), it throws an IllegalStateException and provides a clear error message indicating what field has the wrong type. 
In detail:
- A ViewTree object named 'viewtree'</t>
        </is>
      </c>
      <c r="E11" t="n">
        <v>0.0032</v>
      </c>
      <c r="F11" t="n">
        <v>0.0625</v>
      </c>
      <c r="G11" t="n">
        <v>0.1163</v>
      </c>
      <c r="H11" t="inlineStr">
        <is>
          <t>The provided code is a JUnit test for the Butter Knife library in Java. The purpose of this test is to ensure that an error message is thrown when attempting to bind an annotated field with @BindInt but its type isn't 'int'. 
In summary, it tests if binding fails correctly when trying to use @BindInt on fields whose types are not int and</t>
        </is>
      </c>
      <c r="I11" t="n">
        <v>0.0029</v>
      </c>
      <c r="J11" t="n">
        <v>0.0556</v>
      </c>
      <c r="K11" t="n">
        <v>0.1111</v>
      </c>
      <c r="L11" t="inlineStr">
        <is>
          <t>```java
The provided code is a JUnit test case that tests the functionality of ButterKnife library by attempting to bind an annotated field with @BindInt annotation as 'int'. The purpose of this test is to verify if an IllegalStateException will be thrown when trying to bind an int value instead of String type in the target class. 
It starts by creating</t>
        </is>
      </c>
      <c r="M11" t="n">
        <v>0.003</v>
      </c>
      <c r="N11" t="n">
        <v>0.029</v>
      </c>
      <c r="O11" t="n">
        <v>0.0752</v>
      </c>
    </row>
    <row r="12">
      <c r="A12" t="inlineStr">
        <is>
          <t>butterknife</t>
        </is>
      </c>
      <c r="B12" t="inlineStr">
        <is>
          <t>butterknife-integration-test/src/androidTestReflect/java/com/example/butterknife/functional/BindFontFailureTest.java</t>
        </is>
      </c>
      <c r="C12">
        <f>HYPERLINK("https://github.com/JakeWharton/butterknife/blob/master/butterknife-integration-test/src/androidTestReflect/java/com/example/butterknife/functional/BindFontFailureTest.java")</f>
        <v/>
      </c>
      <c r="D12" t="inlineStr">
        <is>
          <t>The provided code is a JUnit test for the ButterKnife library in Android development. The purpose of this test is to verify that an `@BindFont` annotation on a field with type other than Typeface throws an IllegalStateException with a clear error message indicating what was expected and what went wrong.
In detail, it creates a ViewTree object using the create method from the</t>
        </is>
      </c>
      <c r="E12" t="n">
        <v>0.0029</v>
      </c>
      <c r="F12" t="n">
        <v>0.0563</v>
      </c>
      <c r="G12" t="n">
        <v>0.1111</v>
      </c>
      <c r="H12" t="inlineStr">
        <is>
          <t>The provided code is a Java class that uses the Butter Knife library to bind font resources with annotated fields in an Android application. The `@BindFont` annotation is used on a field whose type must be 'Typeface'. 
In this test case, it tests if binding a non-Typeface object throws an IllegalStateException with a correct error message. This shows how</t>
        </is>
      </c>
      <c r="I12" t="n">
        <v>0.0031</v>
      </c>
      <c r="J12" t="n">
        <v>0.0294</v>
      </c>
      <c r="K12" t="n">
        <v>0.07630000000000001</v>
      </c>
      <c r="L12" t="inlineStr">
        <is>
          <t>The provided code is a JUnit test for the Butter Knife library in Android. It tests whether an exception with message "@BindFont field type must be 'Typeface'. (com.example.butterknife.functional.BindFontFailureTest$TargetType.actual)" gets thrown when trying to bind a ViewTree using ButterKnife without specifying the correct font style.</t>
        </is>
      </c>
      <c r="M12" t="n">
        <v>0</v>
      </c>
      <c r="N12" t="n">
        <v>0.0345</v>
      </c>
      <c r="O12" t="n">
        <v>0.0431</v>
      </c>
    </row>
    <row r="13">
      <c r="A13" t="inlineStr">
        <is>
          <t>butterknife</t>
        </is>
      </c>
      <c r="B13" t="inlineStr">
        <is>
          <t>butterknife-integration-test/src/androidTestReflect/java/com/example/butterknife/functional/BindColorFailureTest.java</t>
        </is>
      </c>
      <c r="C13">
        <f>HYPERLINK("https://github.com/JakeWharton/butterknife/blob/master/butterknife-integration-test/src/androidTestReflect/java/com/example/butterknife/functional/BindColorFailureTest.java")</f>
        <v/>
      </c>
      <c r="D13" t="inlineStr">
        <is>
          <t>The code is a functional test for the Butter Knife library in Android development. It tests if an exception with message "@BindColor field type must be 'int' or 'ColorStateList'. (com.example.butterknife.functional.BindColorFailureTest$Target.actual)" gets thrown when trying to bind a view tree using Butter Knife without specifying the correct</t>
        </is>
      </c>
      <c r="E13" t="n">
        <v>0</v>
      </c>
      <c r="F13" t="n">
        <v>0.0333</v>
      </c>
      <c r="G13" t="n">
        <v>0.0424</v>
      </c>
      <c r="H13" t="inlineStr">
        <is>
          <t>The provided code is a JUnit test for the Butter Knife library in Android development. The purpose of this test is to ensure that the @BindColor annotation works correctly by checking if an IllegalStateException with a specific error message gets thrown when trying to bind a field annotated with @BindColor and its type isn't 'int' or 'ColorStateList'. This means it checks whether</t>
        </is>
      </c>
      <c r="I13" t="n">
        <v>0.0035</v>
      </c>
      <c r="J13" t="n">
        <v>0.0563</v>
      </c>
      <c r="K13" t="n">
        <v>0.1119</v>
      </c>
      <c r="L13" t="inlineStr">
        <is>
          <t>```java
The provided code is a JUnit test for the ButterKnife library in Android. The purpose of this test is to verify that an error will be thrown when attempting to bind a field annotated with @BindColor if its type isn't either 'int' or 'ColorStateList'. 
The input to the function is an instance of Target class and</t>
        </is>
      </c>
      <c r="M13" t="n">
        <v>0.0032</v>
      </c>
      <c r="N13" t="n">
        <v>0.09089999999999999</v>
      </c>
      <c r="O13" t="n">
        <v>0.1163</v>
      </c>
    </row>
    <row r="14">
      <c r="A14" t="inlineStr">
        <is>
          <t>butterknife</t>
        </is>
      </c>
      <c r="B14" t="inlineStr">
        <is>
          <t>butterknife-integration-test/src/androidTestReflect/java/com/example/butterknife/functional/BindDrawableFailureTest.java</t>
        </is>
      </c>
      <c r="C14">
        <f>HYPERLINK("https://github.com/JakeWharton/butterknife/blob/master/butterknife-integration-test/src/androidTestReflect/java/com/example/butterknife/functional/BindDrawableFailureTest.java")</f>
        <v/>
      </c>
      <c r="D14" t="inlineStr">
        <is>
          <t>The provided code is a JUnit test for the Butter Knife library in Java. The purpose of this test is to ensure that when using the @BindDrawable annotation with an invalid type (i.e., not 'Drawable'), it throws an IllegalStateException and provides a clear error message indicating what went wrong. 
In detail, there are two classes defined within</t>
        </is>
      </c>
      <c r="E14" t="n">
        <v>0.0032</v>
      </c>
      <c r="F14" t="n">
        <v>0.0606</v>
      </c>
      <c r="G14" t="n">
        <v>0.1163</v>
      </c>
      <c r="H14" t="inlineStr">
        <is>
          <t>The provided code is a JUnit test for the Butter Knife library in Android development. The purpose of this test is to ensure that the @BindDrawable annotation works correctly by checking if an IllegalStateException with the correct message gets thrown when trying to bind a field annotated with @BindDrawable but its type isnâĢĻt Drawable.
Here are some key details about it</t>
        </is>
      </c>
      <c r="I14" t="n">
        <v>0</v>
      </c>
      <c r="J14" t="n">
        <v>0.0286</v>
      </c>
      <c r="K14" t="n">
        <v>0.0752</v>
      </c>
      <c r="L14" t="inlineStr">
        <is>
          <t>The given code is a JUnit test case for an Android application using the ButterKnife library to bind drawables with @BindDrawable annotation. The purpose of this test is to verify that if there are any mismatches between the type specified in the @BindDrawable annotation and the actual resource being bound (in this case, 'drawable'), it throws an IllegalState</t>
        </is>
      </c>
      <c r="M14" t="n">
        <v>0.0031</v>
      </c>
      <c r="N14" t="n">
        <v>0.0606</v>
      </c>
      <c r="O14" t="n">
        <v>0.1154</v>
      </c>
    </row>
    <row r="15">
      <c r="A15" t="inlineStr">
        <is>
          <t>butterknife</t>
        </is>
      </c>
      <c r="B15" t="inlineStr">
        <is>
          <t>butterknife-integration-test/src/main/java/com/example/butterknife/SimpleApp.java</t>
        </is>
      </c>
      <c r="C15">
        <f>HYPERLINK("https://github.com/JakeWharton/butterknife/blob/master/butterknife-integration-test/src/main/java/com/example/butterknife/SimpleApp.java")</f>
        <v/>
      </c>
      <c r="D15" t="inlineStr">
        <is>
          <t>The provided code is for a simple Android application that extends the Application class in Java and uses ButterKnife library to simplify view binding process. The main functionality of this code involves setting up ButterKnife debug mode based on whether it's running in Debug or Release configuration. This means if you are testing your app during development phase (when BuildConfig.DEBUG == true), then ButterKnife</t>
        </is>
      </c>
      <c r="E15" t="n">
        <v>0.0037</v>
      </c>
      <c r="F15" t="n">
        <v>0.0274</v>
      </c>
      <c r="G15" t="n">
        <v>0.1103</v>
      </c>
      <c r="H15" t="inlineStr">
        <is>
          <t>The provided code is a Java class named SimpleApp that extends the Application class in Android development. This class uses ButterKnife library for view injection and binding which simplifies the process of finding views by their IDs or content descriptions from the layout files. The onCreate() method sets up debug mode for Butter Knife based on whether BuildConfig.DEBUG is true or false.
In</t>
        </is>
      </c>
      <c r="I15" t="n">
        <v>0.0034</v>
      </c>
      <c r="J15" t="n">
        <v>0.0556</v>
      </c>
      <c r="K15" t="n">
        <v>0.1111</v>
      </c>
      <c r="L15" t="inlineStr">
        <is>
          <t>The provided code is a simple Android application that extends the Application class and uses Butter Knife library for view injection in its onCreate() method. The purpose of this code is to enable debug mode for Butter Knife during runtime if BuildConfig.DEBUG flag is true. This functionality enhances maintainability by making it easier to understand how views are being injected into the activity or fragment at runtime without</t>
        </is>
      </c>
      <c r="M15" t="n">
        <v>0.0035</v>
      </c>
      <c r="N15" t="n">
        <v>0.0519</v>
      </c>
      <c r="O15" t="n">
        <v>0.1071</v>
      </c>
    </row>
    <row r="16">
      <c r="A16" t="inlineStr">
        <is>
          <t>butterknife</t>
        </is>
      </c>
      <c r="B16" t="inlineStr">
        <is>
          <t>butterknife-integration-test/src/main/java/com/example/butterknife/unbinder/D.java</t>
        </is>
      </c>
      <c r="C16">
        <f>HYPERLINK("https://github.com/JakeWharton/butterknife/blob/master/butterknife-integration-test/src/main/java/com/example/butterknife/unbinder/D.java")</f>
        <v/>
      </c>
      <c r="D16" t="inlineStr">
        <is>
          <t>```java
The code provided is a Java class named "D" that extends another class called "C". This class uses the ButterKnife library to bind color resources from Android's built-in colors resource file (android.R.color.darker_gray). 
In this case, it retrieves the system defined dark gray color and assigns its integer value</t>
        </is>
      </c>
      <c r="E16" t="n">
        <v>0.0045</v>
      </c>
      <c r="F16" t="n">
        <v>0.0635</v>
      </c>
      <c r="G16" t="n">
        <v>0.124</v>
      </c>
      <c r="H16" t="inlineStr">
        <is>
          <t>The provided code is a Java class named "D" that extends another class called "C". The purpose of this class seems to be binding colors using the Butter Knife library in Android development. 
Here's an overview of what it does:
- It has one field (@BindColor annotated with @ColorInt), 'grayColor', which holds the color resource ID for</t>
        </is>
      </c>
      <c r="I16" t="n">
        <v>0</v>
      </c>
      <c r="J16" t="n">
        <v>0.0308</v>
      </c>
      <c r="K16" t="n">
        <v>0.0775</v>
      </c>
      <c r="L16" t="inlineStr">
        <is>
          <t>The provided code is a Java class named `D` that extends another class called `C` in the package "com.example.butterknife.unbinder". This class uses ButterKnife library to bind views and colors from an Android layout resource file. 
Here's what this code does:
It declares an instance variable `@Bind</t>
        </is>
      </c>
      <c r="M16" t="n">
        <v>0.0048</v>
      </c>
      <c r="N16" t="n">
        <v>0.06900000000000001</v>
      </c>
      <c r="O16" t="n">
        <v>0.1271</v>
      </c>
    </row>
    <row r="17">
      <c r="A17" t="inlineStr">
        <is>
          <t>butterknife</t>
        </is>
      </c>
      <c r="B17" t="inlineStr">
        <is>
          <t>butterknife-integration-test/src/main/java/com/example/butterknife/unbinder/E.java</t>
        </is>
      </c>
      <c r="C17">
        <f>HYPERLINK("https://github.com/JakeWharton/butterknife/blob/master/butterknife-integration-test/src/main/java/com/example/butterknife/unbinder/E.java")</f>
        <v/>
      </c>
      <c r="D17" t="inlineStr">
        <is>
          <t>The provided code is a part of the Butter Knife library for Android development. It's used to bind views and colors in an XML layout file with Java fields using annotation processing at compile time. The `ExtendC` class extends another class (not specified), but it has one field annotated with @BindColor which binds the color resource android.R.color.</t>
        </is>
      </c>
      <c r="E17" t="n">
        <v>0.0032</v>
      </c>
      <c r="F17" t="n">
        <v>0.0294</v>
      </c>
      <c r="G17" t="n">
        <v>0.0775</v>
      </c>
      <c r="H17" t="inlineStr">
        <is>
          <t>The code provided is for a Java class named `ExtendsC` that extends another class called `C`. This class uses the Butter Knife library to bind views and colors from an Android application's resources. The bound color is annotated with @BindColor annotation which links it to android.R.color.background_dark resource id.
In terms of functionality, this</t>
        </is>
      </c>
      <c r="I17" t="n">
        <v>0.0041</v>
      </c>
      <c r="J17" t="n">
        <v>0.0606</v>
      </c>
      <c r="K17" t="n">
        <v>0.12</v>
      </c>
      <c r="L17" t="inlineStr">
        <is>
          <t>The provided code is a Java class named `ExtendsC` that extends an abstract base class called 'C'. This class uses the ButterKnife library to bind views and colors in Android applications. The purpose of this class seems to be to provide access to specific color resources (identified by their IDs with @BindColor annotation) within its scope.
It takes a View object</t>
        </is>
      </c>
      <c r="M17" t="n">
        <v>0.0036</v>
      </c>
      <c r="N17" t="n">
        <v>0.058</v>
      </c>
      <c r="O17" t="n">
        <v>0.1128</v>
      </c>
    </row>
    <row r="18">
      <c r="A18" t="inlineStr">
        <is>
          <t>butterknife</t>
        </is>
      </c>
      <c r="B18" t="inlineStr">
        <is>
          <t>butterknife-integration-test/src/main/java/com/example/butterknife/unbinder/C.java</t>
        </is>
      </c>
      <c r="C18">
        <f>HYPERLINK("https://github.com/JakeWharton/butterknife/blob/master/butterknife-integration-test/src/main/java/com/example/butterknife/unbinder/C.java")</f>
        <v/>
      </c>
      <c r="D18" t="inlineStr">
        <is>
          <t>&lt;!--- The code is a simple class that extends another class and uses the ButterKnife library to bind views and colors from Android resources. --&gt;
```java
// This class extends B and utilizes ButterKnife for binding view elements (specifically button1) 
// and color values (specifically transparentColor). It does this by passing in the View object</t>
        </is>
      </c>
      <c r="E18" t="n">
        <v>0.004</v>
      </c>
      <c r="F18" t="n">
        <v>0.0678</v>
      </c>
      <c r="G18" t="n">
        <v>0.1181</v>
      </c>
      <c r="H18" t="inlineStr">
        <is>
          <t>The provided code is a Java class that uses the Butter Knife library to bind views and colors in Android applications. It extends another base class B. The @BindColor annotation is used to bind an integer color resource (android.R.color.transparent), while the @BindView annotation is used to bind a view with a specific ID from the layout file (android.R.id.</t>
        </is>
      </c>
      <c r="I18" t="n">
        <v>0.0031</v>
      </c>
      <c r="J18" t="n">
        <v>0.0282</v>
      </c>
      <c r="K18" t="n">
        <v>0.0769</v>
      </c>
      <c r="L18" t="inlineStr">
        <is>
          <t>The provided code is a Java class named `C` that extends another class named `B` in the package `com.example.butterknife.unbinder`. This class uses ButterKnife library for view binding and annotation processing to bind views with their corresponding ids from an Android layout file. 
Here's what this code does at a high</t>
        </is>
      </c>
      <c r="M18" t="n">
        <v>0.0044</v>
      </c>
      <c r="N18" t="n">
        <v>0.0645</v>
      </c>
      <c r="O18" t="n">
        <v>0.123</v>
      </c>
    </row>
    <row r="19">
      <c r="A19" t="inlineStr">
        <is>
          <t>butterknife</t>
        </is>
      </c>
      <c r="B19" t="inlineStr">
        <is>
          <t>butterknife-integration-test/src/main/java/com/example/butterknife/unbinder/F.java</t>
        </is>
      </c>
      <c r="C19">
        <f>HYPERLINK("https://github.com/JakeWharton/butterknife/blob/master/butterknife-integration-test/src/main/java/com/example/butterknife/unbinder/F.java")</f>
        <v/>
      </c>
      <c r="D19" t="inlineStr">
        <is>
          <t>The provided code is a Java class named F that extends D and uses ButterKnife library for view binding in Android applications. The purpose of this class seems to be to bind the color resource android.R.color.background_light with an integer variable called backgroundLightColor using @BindColor annotation from butterknife library. 
In the constructor of this class, it</t>
        </is>
      </c>
      <c r="E19" t="n">
        <v>0.0033</v>
      </c>
      <c r="F19" t="n">
        <v>0.0299</v>
      </c>
      <c r="G19" t="n">
        <v>0.1181</v>
      </c>
      <c r="H19" t="inlineStr">
        <is>
          <t>The provided code is a Java class named F that extends D and uses Butter Knife library for view binding in Android applications. The @BindColor annotation binds the color resource android.R.color.background_light to an integer field backgroundLightColor. 
In terms of functionality, this class has one method which takes a View object as its parameter during instantiation. This View</t>
        </is>
      </c>
      <c r="I19" t="n">
        <v>0.0038</v>
      </c>
      <c r="J19" t="n">
        <v>0.029</v>
      </c>
      <c r="K19" t="n">
        <v>0.1163</v>
      </c>
      <c r="L19" t="inlineStr">
        <is>
          <t>The provided code is a Java class named "F" that extends another abstract class called "D". This class uses the ButterKnife library for view binding and color resource injection. The purpose of this class seems to be to bind views and inject colors from resources using annotations. 
It has one field annotated with @BindColor which specifies its value as android's background light</t>
        </is>
      </c>
      <c r="M19" t="n">
        <v>0.0035</v>
      </c>
      <c r="N19" t="n">
        <v>0.0563</v>
      </c>
      <c r="O19" t="n">
        <v>0.1119</v>
      </c>
    </row>
    <row r="20">
      <c r="A20" t="inlineStr">
        <is>
          <t>butterknife</t>
        </is>
      </c>
      <c r="B20" t="inlineStr">
        <is>
          <t>butterknife-integration-test/src/main/java/com/example/butterknife/unbinder/H.java</t>
        </is>
      </c>
      <c r="C20">
        <f>HYPERLINK("https://github.com/JakeWharton/butterknife/blob/master/butterknife-integration-test/src/main/java/com/example/butterknife/unbinder/H.java")</f>
        <v/>
      </c>
      <c r="D20" t="inlineStr">
        <is>
          <t>```java
The provided code is a Java class named 'H' that extends another generic class 'G'. This class uses the ButterKnife library to bind views and color resources with annotations. The purpose of this code seems to be for binding UI elements in Android applications using ButterKnife. 
In particular, there are two fields annotated with @BindColor and @Bind</t>
        </is>
      </c>
      <c r="E20" t="n">
        <v>0.0037</v>
      </c>
      <c r="F20" t="n">
        <v>0.0606</v>
      </c>
      <c r="G20" t="n">
        <v>0.1154</v>
      </c>
      <c r="H20" t="inlineStr">
        <is>
          <t>The provided code is a Java class that uses the Butter Knife library to bind views and colors in an Android application. The `H` class extends from another class named `G` which has been annotated with `@BindColor` for binding color resource (`android.R.color.holo_green_dark`), and `@BindView` for binding view id (`</t>
        </is>
      </c>
      <c r="I20" t="n">
        <v>0.0037</v>
      </c>
      <c r="J20" t="n">
        <v>0.0328</v>
      </c>
      <c r="K20" t="n">
        <v>0.08260000000000001</v>
      </c>
      <c r="L20" t="inlineStr">
        <is>
          <t>The given code is a Java class named "H" that extends another class called "G". This class uses the ButterKnife library to bind views and color resources with annotated fields in its constructor using reflection. The purpose of this class seems to be to provide an interface for binding Android UI elements such as buttons or textviews with their corresponding IDs defined within the application's resource files.</t>
        </is>
      </c>
      <c r="M20" t="n">
        <v>0.0032</v>
      </c>
      <c r="N20" t="n">
        <v>0.0526</v>
      </c>
      <c r="O20" t="n">
        <v>0.1079</v>
      </c>
    </row>
    <row r="21">
      <c r="A21" t="inlineStr">
        <is>
          <t>butterknife</t>
        </is>
      </c>
      <c r="B21" t="inlineStr">
        <is>
          <t>butterknife-integration-test/src/main/java/com/example/butterknife/unbinder/G.java</t>
        </is>
      </c>
      <c r="C21">
        <f>HYPERLINK("https://github.com/JakeWharton/butterknife/blob/master/butterknife-integration-test/src/main/java/com/example/butterknife/unbinder/G.java")</f>
        <v/>
      </c>
      <c r="D21" t="inlineStr">
        <is>
          <t>The provided code is a Java class named "G" that extends another class called "E". It uses the ButterKnife library to bind views and define click events in an Android application. The purpose of this class seems to be handling user interactions with two specific Views (a button and content).
Here's a concise summary of its functionality:
- This class utilizes</t>
        </is>
      </c>
      <c r="E21" t="n">
        <v>0.0036</v>
      </c>
      <c r="F21" t="n">
        <v>0.058</v>
      </c>
      <c r="G21" t="n">
        <v>0.1128</v>
      </c>
      <c r="H21" t="inlineStr">
        <is>
          <t>The provided code is a Java class `G` that extends another class named `E` and uses the Butter Knife library for view binding in Android development. The purpose of this class seems to be handling user interactions with a button (identified by android.R.id.button2). 
In terms of functionality, it binds views using Butter Knife's @Bind</t>
        </is>
      </c>
      <c r="I21" t="n">
        <v>0.0034</v>
      </c>
      <c r="J21" t="n">
        <v>0.0606</v>
      </c>
      <c r="K21" t="n">
        <v>0.119</v>
      </c>
      <c r="L21" t="inlineStr">
        <is>
          <t>The provided code is a Java class named "G" that extends an abstract base class "E". This class uses the ButterKnife library for view binding and event handling in Android applications. 
Here's what this specific piece of code does:
Firstly, it binds two views from the layout to fields using ButterKnife's @BindView annotation</t>
        </is>
      </c>
      <c r="M21" t="n">
        <v>0.0041</v>
      </c>
      <c r="N21" t="n">
        <v>0.0635</v>
      </c>
      <c r="O21" t="n">
        <v>0.12</v>
      </c>
    </row>
    <row r="22">
      <c r="A22" t="inlineStr">
        <is>
          <t>butterknife</t>
        </is>
      </c>
      <c r="B22" t="inlineStr">
        <is>
          <t>butterknife-integration-test/src/main/java/com/example/butterknife/unbinder/A.java</t>
        </is>
      </c>
      <c r="C22">
        <f>HYPERLINK("https://github.com/JakeWharton/butterknife/blob/master/butterknife-integration-test/src/main/java/com/example/butterknife/unbinder/A.java")</f>
        <v/>
      </c>
      <c r="D22" t="inlineStr">
        <is>
          <t>This code is a part of the ButterKnife library for Android development. It provides an annotation-based approach to view binding in your application's activities and fragments. 
    The class A has been annotated with @BindColor from ButterKnife which binds a color resource (in this case android.R.color.black) to an integer field named black</t>
        </is>
      </c>
      <c r="E22" t="n">
        <v>0.0043</v>
      </c>
      <c r="F22" t="n">
        <v>0.0625</v>
      </c>
      <c r="G22" t="n">
        <v>0.122</v>
      </c>
      <c r="H22" t="inlineStr">
        <is>
          <t>The provided code is a Java class named "A" that uses the Butter Knife library to bind views and colors in an Android application. The @BindColor annotation indicates that it's binding a color resource (from android.R.color). 
In this case, blackColor field of A class will be initialized with the value from R.color.black which is defined as</t>
        </is>
      </c>
      <c r="I22" t="n">
        <v>0.0033</v>
      </c>
      <c r="J22" t="n">
        <v>0.029</v>
      </c>
      <c r="K22" t="n">
        <v>0.1172</v>
      </c>
      <c r="L22" t="inlineStr">
        <is>
          <t>The provided code is a Java class named "A" that uses the ButterKnife library to bind an Android color resource (android.R.color.black) with a field in the class using annotation processing. The main purpose of this class seems to be binding the black color from resources into a private int variable 'blackColor' for later use within the A class instance. This process enhances</t>
        </is>
      </c>
      <c r="M22" t="n">
        <v>0.0029</v>
      </c>
      <c r="N22" t="n">
        <v>0.0274</v>
      </c>
      <c r="O22" t="n">
        <v>0.0746</v>
      </c>
    </row>
    <row r="23">
      <c r="A23" t="inlineStr">
        <is>
          <t>butterknife</t>
        </is>
      </c>
      <c r="B23" t="inlineStr">
        <is>
          <t>butterknife-integration-test/src/main/java/com/example/butterknife/unbinder/B.java</t>
        </is>
      </c>
      <c r="C23">
        <f>HYPERLINK("https://github.com/JakeWharton/butterknife/blob/master/butterknife-integration-test/src/main/java/com/example/butterknife/unbinder/B.java")</f>
        <v/>
      </c>
      <c r="D23" t="inlineStr">
        <is>
          <t>The provided code is a Java class `B` that extends the class `A` in package "com.example.butterknife.unbinder". This class uses ButterKnife library to bind views and colors from an Android layout file with annotation processing. 
In this specific example, there are two fields annotated with @BindColor which are color resources (</t>
        </is>
      </c>
      <c r="E23" t="n">
        <v>0.0044</v>
      </c>
      <c r="F23" t="n">
        <v>0.0667</v>
      </c>
      <c r="G23" t="n">
        <v>0.123</v>
      </c>
      <c r="H23" t="inlineStr">
        <is>
          <t>The code you provided is a Java class named B that extends another class A and uses the Butter Knife library for view binding in Android development. It binds an integer color resource (android.R.color.white) to a field annotated with @BindColor annotation. The complexity of this operation is O(1), meaning it takes constant time regardless of input size.
In</t>
        </is>
      </c>
      <c r="I23" t="n">
        <v>0.0031</v>
      </c>
      <c r="J23" t="n">
        <v>0.0286</v>
      </c>
      <c r="K23" t="n">
        <v>0.1154</v>
      </c>
      <c r="L23" t="inlineStr">
        <is>
          <t>The provided code is for a class named B that extends another class A and uses the ButterKnife library to bind color resources with annotated fields in Android development. The main purpose of this code is to define an integer variable 'whiteColor' which holds the value of white color resource ID from android default colors (R.color.white). This field is annotated using @BindColor annotation indicating</t>
        </is>
      </c>
      <c r="M23" t="n">
        <v>0.0034</v>
      </c>
      <c r="N23" t="n">
        <v>0.027</v>
      </c>
      <c r="O23" t="n">
        <v>0.1103</v>
      </c>
    </row>
    <row r="24">
      <c r="A24" t="inlineStr">
        <is>
          <t>butterknife</t>
        </is>
      </c>
      <c r="B24" t="inlineStr">
        <is>
          <t>butterknife-integration-test/src/main/java/com/example/butterknife/library/SimpleActivity.java</t>
        </is>
      </c>
      <c r="C24">
        <f>HYPERLINK("https://github.com/JakeWharton/butterknife/blob/master/butterknife-integration-test/src/main/java/com/example/butterknife/library/SimpleActivity.java")</f>
        <v/>
      </c>
      <c r="D24" t="inlineStr">
        <is>
          <t>The code provided is a Java class named `SimpleActivity` that extends the Android Activity class. This activity contains several fields and methods related to Butter Knife library usage for view binding in an Android application. 
Here's a concise summary of its functionality:
- It imports necessary classes from different packages (e.g., android.app, android.os, etc</t>
        </is>
      </c>
      <c r="E24" t="n">
        <v>0.004</v>
      </c>
      <c r="F24" t="n">
        <v>0.0615</v>
      </c>
      <c r="G24" t="n">
        <v>0.0794</v>
      </c>
      <c r="H24" t="inlineStr">
        <is>
          <t>The provided code is a Java class named `SimpleActivity` that extends the Android Activity class. This activity contains several fields and methods related to Butter Knife library for view binding in Android applications. The complexity of this implementation can be considered as O(N), where N represents the number of views bound with Butter Knife annotations.
In particular, it includes field bindings like @</t>
        </is>
      </c>
      <c r="I24" t="n">
        <v>0.0034</v>
      </c>
      <c r="J24" t="n">
        <v>0.0563</v>
      </c>
      <c r="K24" t="n">
        <v>0.1111</v>
      </c>
      <c r="L24" t="inlineStr">
        <is>
          <t>The provided code is for a simple Android activity called "SimpleActivity". This class extends the built-in Activity class from Android framework and uses ButterKnife library to bind views with their corresponding id's in XML layout file. 
Here are some key points about this code:
1) The main purpose of this code seems to be UI rendering using an alpha animation on different</t>
        </is>
      </c>
      <c r="M24" t="n">
        <v>0.0035</v>
      </c>
      <c r="N24" t="n">
        <v>0.0556</v>
      </c>
      <c r="O24" t="n">
        <v>0.1119</v>
      </c>
    </row>
    <row r="25">
      <c r="A25" t="inlineStr">
        <is>
          <t>butterknife</t>
        </is>
      </c>
      <c r="B25" t="inlineStr">
        <is>
          <t>butterknife-integration-test/src/main/java/com/example/butterknife/library/SimpleAdapter.java</t>
        </is>
      </c>
      <c r="C25">
        <f>HYPERLINK("https://github.com/JakeWharton/butterknife/blob/master/butterknife-integration-test/src/main/java/com/example/butterknife/library/SimpleAdapter.java")</f>
        <v/>
      </c>
      <c r="D25" t="inlineStr">
        <is>
          <t>```python
# The code is a custom adapter for displaying alphabets from the string "The quick brown fox jumps over the lazy dog." in an Android application using ButterKnife library to bind views and improve view binding process. 
# It extends BaseAdapter class which provides default implementations of list item display methods.
# The getCount()</t>
        </is>
      </c>
      <c r="E25" t="n">
        <v>0.0033</v>
      </c>
      <c r="F25" t="n">
        <v>0.0333</v>
      </c>
      <c r="G25" t="n">
        <v>0.1181</v>
      </c>
      <c r="H25" t="inlineStr">
        <is>
          <t>The repository contains backend software components that implement core algorithms. The complexity of the code is O(n), where n represents the number of elements in a collection or data structure like an array or list. This means there are loops and iterations over each element to perform certain operations. Here's a concise summary of its functionality:
- It provides methods for getting count, item at specific</t>
        </is>
      </c>
      <c r="I25" t="n">
        <v>0.0039</v>
      </c>
      <c r="J25" t="n">
        <v>0.1067</v>
      </c>
      <c r="K25" t="n">
        <v>0.2696</v>
      </c>
      <c r="L25" t="inlineStr">
        <is>
          <t>The provided code is a custom adapter class for an Android application using the Butter Knife library to bind views and handle their events efficiently. This class extends BaseAdapter which provides default implementations of some methods required by Adapter interface in Android. 
    It has a static final String array named CONTENTS that holds characters from the string "The quick brown fox jumps over</t>
        </is>
      </c>
      <c r="M25" t="n">
        <v>0.0034</v>
      </c>
      <c r="N25" t="n">
        <v>0.0563</v>
      </c>
      <c r="O25" t="n">
        <v>0.1481</v>
      </c>
    </row>
    <row r="26">
      <c r="A26" t="inlineStr">
        <is>
          <t>butterknife</t>
        </is>
      </c>
      <c r="B26" t="inlineStr">
        <is>
          <t>butterknife-integration-test/src/androidTest/java/com/example/butterknife/functional/BindFontTest.java</t>
        </is>
      </c>
      <c r="C26">
        <f>HYPERLINK("https://github.com/JakeWharton/butterknife/blob/master/butterknife-integration-test/src/androidTest/java/com/example/butterknife/functional/BindFontTest.java")</f>
        <v/>
      </c>
      <c r="D26" t="inlineStr">
        <is>
          <t>The provided code is a test class for the `BindFont` annotation from Butter Knife library in Android development. The purpose of this test case is to verify if the font resource defined with the `BindFont` annotation can be correctly retrieved and used by the application.
Here's a concise summary of its functionality: 
- It tests the binding of a custom Type</t>
        </is>
      </c>
      <c r="E26" t="n">
        <v>0.003</v>
      </c>
      <c r="F26" t="n">
        <v>0.058</v>
      </c>
      <c r="G26" t="n">
        <v>0.1128</v>
      </c>
      <c r="H26" t="inlineStr">
        <is>
          <t>The provided code is a Java class that uses the Butter Knife library for Android development to bind font resources from XML layouts to fields in classes using annotations. The @BindFont annotation maps a Typeface object to a resource ID of a custom font file (R.font.inconsolata_regular). 
The method `typeface()` tests if the actual and</t>
        </is>
      </c>
      <c r="I26" t="n">
        <v>0.0034</v>
      </c>
      <c r="J26" t="n">
        <v>0.0308</v>
      </c>
      <c r="K26" t="n">
        <v>0.0794</v>
      </c>
      <c r="L26" t="inlineStr">
        <is>
          <t>The provided code is a JUnit test for the `BindFont` annotation in Butter Knife library. The purpose of this code is to verify if the font resource specified by the `@BindFont` annotation can be correctly bound and loaded into an instance of Typeface class. 
Here's what happens step by step:
1. It creates an instrumented context using</t>
        </is>
      </c>
      <c r="M26" t="n">
        <v>0.0032</v>
      </c>
      <c r="N26" t="n">
        <v>0.0606</v>
      </c>
      <c r="O26" t="n">
        <v>0.1163</v>
      </c>
    </row>
    <row r="27">
      <c r="A27" t="inlineStr">
        <is>
          <t>butterknife</t>
        </is>
      </c>
      <c r="B27" t="inlineStr">
        <is>
          <t>butterknife-integration-test/src/androidTest/java/com/example/butterknife/functional/BindDrawableTest.java</t>
        </is>
      </c>
      <c r="C27">
        <f>HYPERLINK("https://github.com/JakeWharton/butterknife/blob/master/butterknife-integration-test/src/androidTest/java/com/example/butterknife/functional/BindDrawableTest.java")</f>
        <v/>
      </c>
      <c r="D27" t="inlineStr">
        <is>
          <t>The code provided is a functional test for the ButterKnife library's @BindDrawable annotation. It tests if the binding of an image drawable to a field in a class using this annotation works correctly. The test creates a new instance of Target (which has been annotated with @BindDrawable), binds it to a view tree and then compares its actual Drawable with expected</t>
        </is>
      </c>
      <c r="E27" t="n">
        <v>0.003</v>
      </c>
      <c r="F27" t="n">
        <v>0.0571</v>
      </c>
      <c r="G27" t="n">
        <v>0.1128</v>
      </c>
      <c r="H27" t="inlineStr">
        <is>
          <t>The functionality of the provided code is to bind a drawable resource from an Android application using Butter Knife library and test if it matches with expected result. The complexity of this function is O(1), meaning that its time execution does not change based on input size. It's also worth mentioning that there are comments explaining each step in the implementation for better understanding. Now summarize: Code</t>
        </is>
      </c>
      <c r="I27" t="n">
        <v>0.0032</v>
      </c>
      <c r="J27" t="n">
        <v>0.0519</v>
      </c>
      <c r="K27" t="n">
        <v>0.1439</v>
      </c>
      <c r="L27" t="inlineStr">
        <is>
          <t>The provided code is a JUnit test for the Butter Knife library's `@BindDrawable` annotation functionality in Android. The purpose of this code is to verify that when an annotated field (`actual` Drawable object) with `@BindDrawable` annotation from R.drawable.circle resource id is bound using Butter Knife, it correctly binds and matches the</t>
        </is>
      </c>
      <c r="M27" t="n">
        <v>0.0043</v>
      </c>
      <c r="N27" t="n">
        <v>0.0645</v>
      </c>
      <c r="O27" t="n">
        <v>0.122</v>
      </c>
    </row>
    <row r="28">
      <c r="A28" t="inlineStr">
        <is>
          <t>butterknife</t>
        </is>
      </c>
      <c r="B28" t="inlineStr">
        <is>
          <t>butterknife-integration-test/src/androidTest/java/com/example/butterknife/functional/BindFloatTest.java</t>
        </is>
      </c>
      <c r="C28">
        <f>HYPERLINK("https://github.com/JakeWharton/butterknife/blob/master/butterknife-integration-test/src/androidTest/java/com/example/butterknife/functional/BindFloatTest.java")</f>
        <v/>
      </c>
      <c r="D28" t="inlineStr">
        <is>
          <t>The code provided is a functional test for the @BindFloat annotation in Butter Knife library. It tests if the float value from R.dimen.twelve_point_two resource id gets correctly bound to Target class's actual field and asserts that they are equal. The complexity of this implementation is O(n), where n represents the number of resources being tested. This function does</t>
        </is>
      </c>
      <c r="E28" t="n">
        <v>0.0037</v>
      </c>
      <c r="F28" t="n">
        <v>0.0833</v>
      </c>
      <c r="G28" t="n">
        <v>0.1538</v>
      </c>
      <c r="H28" t="inlineStr">
        <is>
          <t>The provided code is a test case for the ButterKnife library in Android which binds a float value from resources to an annotated field using JUnit testing framework. The functionality of this code includes binding a resource dimension (R.dimen.twelve_point_two) as a floating-point number and comparing it with the expected result. If they match, the test passes successfully.</t>
        </is>
      </c>
      <c r="I28" t="n">
        <v>0.0038</v>
      </c>
      <c r="J28" t="n">
        <v>0.0571</v>
      </c>
      <c r="K28" t="n">
        <v>0.1163</v>
      </c>
      <c r="L28" t="inlineStr">
        <is>
          <t>The provided code is a JUnit test for the ButterKnife library's `@BindFloat` annotation functionality in Android development. This code tests if the binding of a float value from an XML resource to a field annotated with `@BindFloat` works as expected.
Here are the key steps involved in this process:
1. The context and view tree objects are</t>
        </is>
      </c>
      <c r="M28" t="n">
        <v>0.0042</v>
      </c>
      <c r="N28" t="n">
        <v>0.0606</v>
      </c>
      <c r="O28" t="n">
        <v>0.1163</v>
      </c>
    </row>
    <row r="29">
      <c r="A29" t="inlineStr">
        <is>
          <t>butterknife</t>
        </is>
      </c>
      <c r="B29" t="inlineStr">
        <is>
          <t>butterknife-integration-test/src/androidTest/java/com/example/butterknife/functional/BindBitmapTest.java</t>
        </is>
      </c>
      <c r="C29">
        <f>HYPERLINK("https://github.com/JakeWharton/butterknife/blob/master/butterknife-integration-test/src/androidTest/java/com/example/butterknife/functional/BindBitmapTest.java")</f>
        <v/>
      </c>
      <c r="D29" t="inlineStr">
        <is>
          <t>The provided code is a functional test for the ButterKnife library in Android development using JUnit testing framework and instrumented tests. It's designed to bind an image resource (`R.drawable.pixel`), which should be converted into a Bitmap object, from XML layout file `tree` to Java class `Target` with annotation `@BindBitmap`</t>
        </is>
      </c>
      <c r="E29" t="n">
        <v>0.0037</v>
      </c>
      <c r="F29" t="n">
        <v>0.0667</v>
      </c>
      <c r="G29" t="n">
        <v>0.08260000000000001</v>
      </c>
      <c r="H29" t="inlineStr">
        <is>
          <t>The provided code is a Java class that uses the Butter Knife library to bind an image resource (`R.drawable.pixel`) to a Bitmap field in another object (`Target`). The test verifies if the bound bitmaps are equal after binding and unbinding with `ButterKnife.bind()` and `Unbinder.unbind()` methods</t>
        </is>
      </c>
      <c r="I29" t="n">
        <v>0.0041</v>
      </c>
      <c r="J29" t="n">
        <v>0.0351</v>
      </c>
      <c r="K29" t="n">
        <v>0.08550000000000001</v>
      </c>
      <c r="L29" t="inlineStr">
        <is>
          <t>&lt;!-- This is a concise and clear summary of the functionality provided in the code --&gt;
The given Java code represents a test case for binding an image resource to a Bitmap field using the ButterKnife library. The purpose of this code is to verify that the bound bitmap matches the expected one after being decoded from its drawable resource. 
It utilizes</t>
        </is>
      </c>
      <c r="M29" t="n">
        <v>0.0039</v>
      </c>
      <c r="N29" t="n">
        <v>0.0588</v>
      </c>
      <c r="O29" t="n">
        <v>0.1119</v>
      </c>
    </row>
    <row r="30">
      <c r="A30" t="inlineStr">
        <is>
          <t>butterknife</t>
        </is>
      </c>
      <c r="B30" t="inlineStr">
        <is>
          <t>butterknife-integration-test/src/androidTest/java/com/example/butterknife/functional/BindViewsTest.java</t>
        </is>
      </c>
      <c r="C30">
        <f>HYPERLINK("https://github.com/JakeWharton/butterknife/blob/master/butterknife-integration-test/src/androidTest/java/com/example/butterknife/functional/BindViewsTest.java")</f>
        <v/>
      </c>
      <c r="D30" t="inlineStr">
        <is>
          <t>The code provided is a functional test for the ButterKnife library's `@BindViews` annotation. It tests binding multiple views to an array or list using this annotation. The purpose of these tests seems to be verifying that the correct views are being bound and that unbinding correctly removes references to those views from their respective arrays or lists.
In summary, it creates a</t>
        </is>
      </c>
      <c r="E30" t="n">
        <v>0.0029</v>
      </c>
      <c r="F30" t="n">
        <v>0.0563</v>
      </c>
      <c r="G30" t="n">
        <v>0.1119</v>
      </c>
      <c r="H30" t="inlineStr">
        <is>
          <t>The code you provided is a Java class named "BindViewsTest" with two test methods for testing the functionality of ButterKnife's @BindView annotation. The first method tests binding an array of views and the second one binds a list of views. 
In both cases, it creates a View tree using the create() function from the ViewTree class (which presum</t>
        </is>
      </c>
      <c r="I30" t="n">
        <v>0.0037</v>
      </c>
      <c r="J30" t="n">
        <v>0.0597</v>
      </c>
      <c r="K30" t="n">
        <v>0.0769</v>
      </c>
      <c r="L30" t="inlineStr">
        <is>
          <t>The provided code is a functional test for the `@BindViews` annotation in Butter Knife library. It tests if the binding of multiple views to an array and list using this annotation works as expected. The main purpose of these tests is to verify that the correct View objects are being bound to their respective indices in the target arrays or lists after calling `ButterKnife.bind()`</t>
        </is>
      </c>
      <c r="M30" t="n">
        <v>0.0028</v>
      </c>
      <c r="N30" t="n">
        <v>0.0548</v>
      </c>
      <c r="O30" t="n">
        <v>0.1103</v>
      </c>
    </row>
    <row r="31">
      <c r="A31" t="inlineStr">
        <is>
          <t>butterknife</t>
        </is>
      </c>
      <c r="B31" t="inlineStr">
        <is>
          <t>butterknife-integration-test/src/androidTest/java/com/example/butterknife/functional/ViewTree.java</t>
        </is>
      </c>
      <c r="C31">
        <f>HYPERLINK("https://github.com/JakeWharton/butterknife/blob/master/butterknife-integration-test/src/androidTest/java/com/example/butterknife/functional/ViewTree.java")</f>
        <v/>
      </c>
      <c r="D31" t="inlineStr">
        <is>
          <t>The provided code is a functional implementation of the ViewTree class in Java that creates views with given IDs using reflection and custom view classes. The complexity of this function is O(n), where n represents the number of ids passed as arguments to the create method. This means it will iterate over each element once when creating new instances of views based on their respective constructors.</t>
        </is>
      </c>
      <c r="E31" t="n">
        <v>0.0033</v>
      </c>
      <c r="F31" t="n">
        <v>0.0533</v>
      </c>
      <c r="G31" t="n">
        <v>0.1449</v>
      </c>
      <c r="H31" t="inlineStr">
        <is>
          <t>The code provided is a Java class named `ViewTree` that creates views of different types using reflection to call the constructor with specific parameters (in this case, only one parameter - Context). The complexity here is O(n), where n is the number of view IDs passed into the function. It's important to note that if there are no exceptions thrown and all view IDs are valid</t>
        </is>
      </c>
      <c r="I31" t="n">
        <v>0.0028</v>
      </c>
      <c r="J31" t="n">
        <v>0.08</v>
      </c>
      <c r="K31" t="n">
        <v>0.1087</v>
      </c>
      <c r="L31" t="inlineStr">
        <is>
          <t>The provided code is a Java class named "ViewTree" that creates instances of custom views using reflection and the Android Instrumentation framework for testing purposes. The main purpose of this class seems to be creating View objects from given IDs or classes, possibly as part of an automated UI test setup in Android development. 
Here's a concise summary focusing on functionality and purpose:</t>
        </is>
      </c>
      <c r="M31" t="n">
        <v>0.0061</v>
      </c>
      <c r="N31" t="n">
        <v>0.0833</v>
      </c>
      <c r="O31" t="n">
        <v>0.1893</v>
      </c>
    </row>
    <row r="32">
      <c r="A32" t="inlineStr">
        <is>
          <t>butterknife</t>
        </is>
      </c>
      <c r="B32" t="inlineStr">
        <is>
          <t>butterknife-integration-test/src/androidTest/java/com/example/butterknife/functional/OnItemLongClickTest.java</t>
        </is>
      </c>
      <c r="C32">
        <f>HYPERLINK("https://github.com/JakeWharton/butterknife/blob/master/butterknife-integration-test/src/androidTest/java/com/example/butterknife/functional/OnItemLongClickTest.java")</f>
        <v/>
      </c>
      <c r="D32" t="inlineStr">
        <is>
          <t>The provided code is a functional test for an `OnItemLongClick` event on a custom class called `TestSpinner` which extends from the `AbsSpinner` class in Android. The purpose of this test seems to be to verify if the ButterKnife library's functionality works correctly by simulating a long click event and checking whether it triggers the expected behavior or not.</t>
        </is>
      </c>
      <c r="E32" t="n">
        <v>0.0037</v>
      </c>
      <c r="F32" t="n">
        <v>0.0896</v>
      </c>
      <c r="G32" t="n">
        <v>0.1154</v>
      </c>
      <c r="H32" t="inlineStr">
        <is>
          <t>The provided code is a Java class named `OnItemLongClickTest` that extends an Android library component called AbsSpinner. This class contains one method `TestSpinner` which takes in a Context object and sets the adapter of the spinner to be a new instance of SimpleAdapter with the context as its parameter. 
The class also has two methods annotated with @On</t>
        </is>
      </c>
      <c r="I32" t="n">
        <v>0.0037</v>
      </c>
      <c r="J32" t="n">
        <v>0.0606</v>
      </c>
      <c r="K32" t="n">
        <v>0.0769</v>
      </c>
      <c r="L32" t="inlineStr">
        <is>
          <t>The provided code is a JUnit test class for an `OnItemLongClick` functional interface implementation in the Butter Knife library. This class tests if the long click event on a spinner item works correctly by setting up and checking various conditions such as whether the correct view was clicked, whether the adapter has been properly set, and whether the expected result matches with the actual one. The complexity of</t>
        </is>
      </c>
      <c r="M32" t="n">
        <v>0.0032</v>
      </c>
      <c r="N32" t="n">
        <v>0.0526</v>
      </c>
      <c r="O32" t="n">
        <v>0.1429</v>
      </c>
    </row>
    <row r="33">
      <c r="A33" t="inlineStr">
        <is>
          <t>butterknife</t>
        </is>
      </c>
      <c r="B33" t="inlineStr">
        <is>
          <t>butterknife-integration-test/src/androidTest/java/com/example/butterknife/functional/BindDimenTest.java</t>
        </is>
      </c>
      <c r="C33">
        <f>HYPERLINK("https://github.com/JakeWharton/butterknife/blob/master/butterknife-integration-test/src/androidTest/java/com/example/butterknife/functional/BindDimenTest.java")</f>
        <v/>
      </c>
      <c r="D33" t="inlineStr">
        <is>
          <t>The provided code is a functional test for the `@BindDimen` annotation in Butter Knife library. The purpose of this test seems to be to verify if the dimension resource defined by R.dimen.twelve_point_two_dp can be correctly bound and retrieved using the Butter Knife library's @BindDimen annotation.
However, without seeing the</t>
        </is>
      </c>
      <c r="E33" t="n">
        <v>0.0037</v>
      </c>
      <c r="F33" t="n">
        <v>0.0635</v>
      </c>
      <c r="G33" t="n">
        <v>0.124</v>
      </c>
      <c r="H33" t="inlineStr">
        <is>
          <t>```python
# The code provided is a Java class that uses the ButterKnife library to bind dimensions from resources into fields in an object. 
# It has two classes IntTarget and FloatTarget which have @BindDimen annotation on their field 'actual'. These are annotated with dimension resource ids (R.dimen.twelve_point_two_dp for</t>
        </is>
      </c>
      <c r="I33" t="n">
        <v>0.0037</v>
      </c>
      <c r="J33" t="n">
        <v>0.0333</v>
      </c>
      <c r="K33" t="n">
        <v>0.08260000000000001</v>
      </c>
      <c r="L33" t="inlineStr">
        <is>
          <t>The provided code is a JUnit test for the Butter Knife library in Android development. It tests the functionality of the @BindDimen annotation which binds a dimension resource to an int or float field annotated with it.
Here's what happens in this code: 
Firstly, we initialize context and tree using Instrumentation Registry and View Tree respectively.</t>
        </is>
      </c>
      <c r="M33" t="n">
        <v>0.0039</v>
      </c>
      <c r="N33" t="n">
        <v>0.0615</v>
      </c>
      <c r="O33" t="n">
        <v>0.1172</v>
      </c>
    </row>
    <row r="34">
      <c r="A34" t="inlineStr">
        <is>
          <t>butterknife</t>
        </is>
      </c>
      <c r="B34" t="inlineStr">
        <is>
          <t>butterknife-integration-test/src/androidTest/java/com/example/butterknife/functional/BindArrayTest.java</t>
        </is>
      </c>
      <c r="C34">
        <f>HYPERLINK("https://github.com/JakeWharton/butterknife/blob/master/butterknife-integration-test/src/androidTest/java/com/example/butterknife/functional/BindArrayTest.java")</f>
        <v/>
      </c>
      <c r="D34" t="inlineStr">
        <is>
          <t>The provided code is a functional test for Butter Knife's @BindArray annotation in Android development. It tests the binding of an array resource to a field annotated with @BindArray. The expected result should be that the actual value bound by Butter Knife matches the expected one from the resources file.
The main components used here are:
- Context: Provides access to</t>
        </is>
      </c>
      <c r="E34" t="n">
        <v>0</v>
      </c>
      <c r="F34" t="n">
        <v>0.029</v>
      </c>
      <c r="G34" t="n">
        <v>0.0376</v>
      </c>
      <c r="H34" t="inlineStr">
        <is>
          <t>The code provided is a Java class that uses the Butter Knife library to bind an array resource with @BindArray annotation and test it for equality against expected result in JUnit testing framework.
Here's a summary of its functionality: 
- It defines a Context object 'context', which gets initialized using Instrumentation Registry getContext() method from Android instrumentation package.</t>
        </is>
      </c>
      <c r="I34" t="n">
        <v>0.0031</v>
      </c>
      <c r="J34" t="n">
        <v>0.0303</v>
      </c>
      <c r="K34" t="n">
        <v>0.0769</v>
      </c>
      <c r="L34" t="inlineStr">
        <is>
          <t>The provided code is a JUnit test for the Butter Knife library in Android. The purpose of this test is to verify if the `@BindArray` annotation correctly binds an array resource from the application's resources file into a field within a class annotated with `@ButterKnife.InjectView` or `@ButterKnife.FindViewById`.</t>
        </is>
      </c>
      <c r="M34" t="n">
        <v>0</v>
      </c>
      <c r="N34" t="n">
        <v>0.0345</v>
      </c>
      <c r="O34" t="n">
        <v>0.042</v>
      </c>
    </row>
    <row r="35">
      <c r="A35" t="inlineStr">
        <is>
          <t>butterknife</t>
        </is>
      </c>
      <c r="B35" t="inlineStr">
        <is>
          <t>butterknife-integration-test/src/androidTest/java/com/example/butterknife/functional/BindColorTest.java</t>
        </is>
      </c>
      <c r="C35">
        <f>HYPERLINK("https://github.com/JakeWharton/butterknife/blob/master/butterknife-integration-test/src/androidTest/java/com/example/butterknife/functional/BindColorTest.java")</f>
        <v/>
      </c>
      <c r="D35" t="inlineStr">
        <is>
          <t>The provided code is a JUnit test for the Butter Knife library's @BindColor annotation functionality. It tests binding an int color resource to a field annotated with @BindColor and then verifying that this bound value matches the expected value from the resources file. The unbinding process (using Unbinder object) ensures that no memory leaks occur after testing. This kind of test</t>
        </is>
      </c>
      <c r="E35" t="n">
        <v>0.0036</v>
      </c>
      <c r="F35" t="n">
        <v>0.0571</v>
      </c>
      <c r="G35" t="n">
        <v>0.0752</v>
      </c>
      <c r="H35" t="inlineStr">
        <is>
          <t>The provided code is a Java class named BindColorTest that uses the Butter Knife library for view binding in Android. It contains two tests: asInt() and colorStateListAsInt(). 
- The first test (asInt()) checks if the @BindColor annotation correctly binds an integer resource to an int field in a target object. This means it's testing</t>
        </is>
      </c>
      <c r="I35" t="n">
        <v>0.004</v>
      </c>
      <c r="J35" t="n">
        <v>0.0323</v>
      </c>
      <c r="K35" t="n">
        <v>0.119</v>
      </c>
      <c r="L35" t="inlineStr">
        <is>
          <t>The provided code is a JUnit test for the Butter Knife library in Android. The purpose of this code is to verify if the `@BindColor` annotation correctly binds an integer resource (a color value from R.color) to an int field within a class and compares it with the expected result.
Here's what happens step by step:
1.</t>
        </is>
      </c>
      <c r="M35" t="n">
        <v>0.0032</v>
      </c>
      <c r="N35" t="n">
        <v>0.0597</v>
      </c>
      <c r="O35" t="n">
        <v>0.0775</v>
      </c>
    </row>
    <row r="36">
      <c r="A36" t="inlineStr">
        <is>
          <t>butterknife</t>
        </is>
      </c>
      <c r="B36" t="inlineStr">
        <is>
          <t>butterknife-integration-test/src/androidTest/java/com/example/butterknife/functional/OnItemSelectedTest.java</t>
        </is>
      </c>
      <c r="C36">
        <f>HYPERLINK("https://github.com/JakeWharton/butterknife/blob/master/butterknife-integration-test/src/androidTest/java/com/example/butterknife/functional/OnItemSelectedTest.java")</f>
        <v/>
      </c>
      <c r="D36" t="inlineStr">
        <is>
          <t>The code provided is a functional test case for an `OnItemSelected` event in Android using Butter Knife library. It tests the functionality of selecting items from a spinner (a dropdown list).
Here's a summary of its functionality:
- The class `OnItemSelectedTest` extends `absSpinner` and has a constructor that takes a context as parameter.</t>
        </is>
      </c>
      <c r="E36" t="n">
        <v>0.0041</v>
      </c>
      <c r="F36" t="n">
        <v>0.06560000000000001</v>
      </c>
      <c r="G36" t="n">
        <v>0.08</v>
      </c>
      <c r="H36" t="inlineStr">
        <is>
          <t>The code you provided is a Java class that extends an Android AbsSpinner and contains a constructor for initialization of the context. This class also has a method named "getItemAtPosition" which returns the item at a specific position in the spinner's adapter. 
However, there seems to be some missing or incomplete information in your request regarding what functionality it should provide or how</t>
        </is>
      </c>
      <c r="I36" t="n">
        <v>0.0038</v>
      </c>
      <c r="J36" t="n">
        <v>0.0556</v>
      </c>
      <c r="K36" t="n">
        <v>0.1111</v>
      </c>
      <c r="L36" t="inlineStr">
        <is>
          <t>The code you provided is for a functional test case in Java using the Butter Knife library to perform UI testing on an `OnItemSelected` event of a Spinner (dropdown menu). 
Here's what it does:
It creates a subclass called TestSpinner that extends AbsSpinner and has one constructor which takes a Context as its parameter. This class also</t>
        </is>
      </c>
      <c r="M36" t="n">
        <v>0.0038</v>
      </c>
      <c r="N36" t="n">
        <v>0.0606</v>
      </c>
      <c r="O36" t="n">
        <v>0.1163</v>
      </c>
    </row>
    <row r="37">
      <c r="A37" t="inlineStr">
        <is>
          <t>butterknife</t>
        </is>
      </c>
      <c r="B37" t="inlineStr">
        <is>
          <t>butterknife-integration-test/src/androidTest/java/com/example/butterknife/functional/BindStringTest.java</t>
        </is>
      </c>
      <c r="C37">
        <f>HYPERLINK("https://github.com/JakeWharton/butterknife/blob/master/butterknife-integration-test/src/androidTest/java/com/example/butterknife/functional/BindStringTest.java")</f>
        <v/>
      </c>
      <c r="D37" t="inlineStr">
        <is>
          <t>The provided code is a functional test for the `@BindString` annotation from Butter Knife library in Android development. 
It tests if binding a string resource with the `@BindString` annotation works correctly by comparing the actual result of the bound string to an expected value derived from context's getString method using the same R.string.hey reference. The unbinding</t>
        </is>
      </c>
      <c r="E37" t="n">
        <v>0</v>
      </c>
      <c r="F37" t="n">
        <v>0.0299</v>
      </c>
      <c r="G37" t="n">
        <v>0.0391</v>
      </c>
      <c r="H37" t="inlineStr">
        <is>
          <t>The provided code is a JUnit test for the ButterKnife library in Java. It tests if the @BindString annotation correctly binds a string resource to an annotated field within a target object. The complexity of this operation is O(1), as it involves only one binding and unbinding process regardless of input size.
Here's a concise summary of the functionality:</t>
        </is>
      </c>
      <c r="I37" t="n">
        <v>0.0031</v>
      </c>
      <c r="J37" t="n">
        <v>0.058</v>
      </c>
      <c r="K37" t="n">
        <v>0.07630000000000001</v>
      </c>
      <c r="L37" t="inlineStr">
        <is>
          <t>```java
The provided code is a JUnit test case for the ButterKnife library's @BindString annotation implementation. The purpose of this test is to verify that the binding process correctly associates an annotated field with a string resource in Android. 
It begins by creating an instrumented context and a view tree using InstrumentationRegistry. Then it creates a</t>
        </is>
      </c>
      <c r="M37" t="n">
        <v>0.0033</v>
      </c>
      <c r="N37" t="n">
        <v>0.0615</v>
      </c>
      <c r="O37" t="n">
        <v>0.1172</v>
      </c>
    </row>
    <row r="38">
      <c r="A38" t="inlineStr">
        <is>
          <t>butterknife</t>
        </is>
      </c>
      <c r="B38" t="inlineStr">
        <is>
          <t>butterknife-integration-test/src/androidTest/java/com/example/butterknife/functional/BindViewTest.java</t>
        </is>
      </c>
      <c r="C38">
        <f>HYPERLINK("https://github.com/JakeWharton/butterknife/blob/master/butterknife-integration-test/src/androidTest/java/com/example/butterknife/functional/BindViewTest.java")</f>
        <v/>
      </c>
      <c r="D38" t="inlineStr">
        <is>
          <t>The provided code is a functional test for the Butter Knife library's `@BindView` annotation functionality. It tests if binding of views correctly associates an actual view with its expected counterpart in the View hierarchy and unbinding properly removes this association. The complexity of this code is O(n), where n represents the number of elements in the View tree. This includes finding the target view</t>
        </is>
      </c>
      <c r="E38" t="n">
        <v>0.0034</v>
      </c>
      <c r="F38" t="n">
        <v>0.0541</v>
      </c>
      <c r="G38" t="n">
        <v>0.1103</v>
      </c>
      <c r="H38" t="inlineStr">
        <is>
          <t>The provided code is a JUnit test for the Butter Knife library in Java. It tests if BindView annotation binds correctly to an actual view and unbinds it successfully after use. The complexity of this operation is O(2n), as there are two operations (binding and unbinding) performed on each element in the list.
In summary, the function `add</t>
        </is>
      </c>
      <c r="I38" t="n">
        <v>0.0031</v>
      </c>
      <c r="J38" t="n">
        <v>0.0597</v>
      </c>
      <c r="K38" t="n">
        <v>0.1154</v>
      </c>
      <c r="L38" t="inlineStr">
        <is>
          <t>The given code is a JUnit test for the Butter Knife library's `@BindView` annotation functionality in Java. The purpose of this class is to verify that the binding process between an annotated field and its corresponding view ID works as expected.
Here are key steps involved in this logic: 
1. It creates a mock View tree with one node having a</t>
        </is>
      </c>
      <c r="M38" t="n">
        <v>0.0036</v>
      </c>
      <c r="N38" t="n">
        <v>0.0857</v>
      </c>
      <c r="O38" t="n">
        <v>0.1128</v>
      </c>
    </row>
    <row r="39">
      <c r="A39" t="inlineStr">
        <is>
          <t>butterknife</t>
        </is>
      </c>
      <c r="B39" t="inlineStr">
        <is>
          <t>butterknife-integration-test/src/androidTest/java/com/example/butterknife/functional/OnTouchTest.java</t>
        </is>
      </c>
      <c r="C39">
        <f>HYPERLINK("https://github.com/JakeWharton/butterknife/blob/master/butterknife-integration-test/src/androidTest/java/com/example/butterknife/functional/OnTouchTest.java")</f>
        <v/>
      </c>
      <c r="D39" t="inlineStr">
        <is>
          <t>The provided code is a functional test for the `@OnTouch` annotation from Butter Knife library in Android development. The purpose of this test is to verify that the `touch()` method correctly handles touch events and updates its internal state accordingly. 
However, without more context or specific details about what should be tested here (e.g., expected behavior), it's hard</t>
        </is>
      </c>
      <c r="E39" t="n">
        <v>0.0031</v>
      </c>
      <c r="F39" t="n">
        <v>0.0588</v>
      </c>
      <c r="G39" t="n">
        <v>0.1154</v>
      </c>
      <c r="H39" t="inlineStr">
        <is>
          <t>The code you provided is a Java class that uses the Butter Knife library to bind views and handle touch events in an Android application. The `@OnTouch` annotation is used on a method which will be called when any view with this annotation is touched. 
Here's a summary of its functionality:
- It defines a static final nested class named Simple within OnTouchTest</t>
        </is>
      </c>
      <c r="I39" t="n">
        <v>0.0029</v>
      </c>
      <c r="J39" t="n">
        <v>0.0563</v>
      </c>
      <c r="K39" t="n">
        <v>0.1111</v>
      </c>
      <c r="L39" t="inlineStr">
        <is>
          <t>The provided code is a JUnit test for the `OnTouch` annotation from Butter Knife library in Java. The purpose of this class is to verify if the functionality of the `OnTouch` annotation works correctly by testing touch events on a simple view.
Here's an overview of what it does:
It creates a static nested class called Simple which has two fields -</t>
        </is>
      </c>
      <c r="M39" t="n">
        <v>0.0029</v>
      </c>
      <c r="N39" t="n">
        <v>0.0571</v>
      </c>
      <c r="O39" t="n">
        <v>0.0746</v>
      </c>
    </row>
    <row r="40">
      <c r="A40" t="inlineStr">
        <is>
          <t>butterknife</t>
        </is>
      </c>
      <c r="B40" t="inlineStr">
        <is>
          <t>butterknife-integration-test/src/androidTest/java/com/example/butterknife/functional/BindAnimTest.java</t>
        </is>
      </c>
      <c r="C40">
        <f>HYPERLINK("https://github.com/JakeWharton/butterknife/blob/master/butterknife-integration-test/src/androidTest/java/com/example/butterknife/functional/BindAnimTest.java")</f>
        <v/>
      </c>
      <c r="D40" t="inlineStr">
        <is>
          <t>The code provided is a functional test for the ButterKnife library's @BindAnim annotation. It tests if an animation can be successfully bound to a view using ButterKnife and JUnit testing framework in Android development environment. The target of this test is defined as a static class named "Target" with its actual animation being annotated by @BindAnim(android.R.anim</t>
        </is>
      </c>
      <c r="E40" t="n">
        <v>0.0033</v>
      </c>
      <c r="F40" t="n">
        <v>0.0588</v>
      </c>
      <c r="G40" t="n">
        <v>0.1172</v>
      </c>
      <c r="H40" t="inlineStr">
        <is>
          <t>The provided code is a JUnit test for the Butter Knife library in Android. It tests the functionality of @BindAnim annotation by binding an animation to a View and checking if it's not null after being bound. The complexity here would be O(2), as there are two operations (binding and unbinding). Commits refer to different stages during development - initial code base commit.</t>
        </is>
      </c>
      <c r="I40" t="n">
        <v>0.0034</v>
      </c>
      <c r="J40" t="n">
        <v>0.0556</v>
      </c>
      <c r="K40" t="n">
        <v>0.0741</v>
      </c>
      <c r="L40" t="inlineStr">
        <is>
          <t>The given code is a functional test for the Butter Knife library in Java. It tests the functionality of `@BindAnim` annotation by binding an animation resource to a View using the Butter Knife library and then asserting that the bound object is not null. The purpose of this test is to ensure that the correct animation has been applied to the view when it's annot</t>
        </is>
      </c>
      <c r="M40" t="n">
        <v>0.0033</v>
      </c>
      <c r="N40" t="n">
        <v>0.0541</v>
      </c>
      <c r="O40" t="n">
        <v>0.1095</v>
      </c>
    </row>
    <row r="41">
      <c r="A41" t="inlineStr">
        <is>
          <t>butterknife</t>
        </is>
      </c>
      <c r="B41" t="inlineStr">
        <is>
          <t>butterknife-integration-test/src/androidTest/java/com/example/butterknife/functional/OnItemClickTest.java</t>
        </is>
      </c>
      <c r="C41">
        <f>HYPERLINK("https://github.com/JakeWharton/butterknife/blob/master/butterknife-integration-test/src/androidTest/java/com/example/butterknife/functional/OnItemClickTest.java")</f>
        <v/>
      </c>
      <c r="D41" t="inlineStr">
        <is>
          <t>The code provided is a functional test case for the ButterKnife library's `OnItemClick` annotation functionality using JUnit and Mockito frameworks. It tests the behavior of an application when an item in a spinner view is clicked. The test checks if the correct listener method (onItemClicked) gets called with the expected parameters. 
However, without seeing the</t>
        </is>
      </c>
      <c r="E41" t="n">
        <v>0.004</v>
      </c>
      <c r="F41" t="n">
        <v>0.0625</v>
      </c>
      <c r="G41" t="n">
        <v>0.07870000000000001</v>
      </c>
      <c r="H41" t="inlineStr">
        <is>
          <t>The code you provided is a Java class named `OnItemClickTest` that extends an Android View component called AbsSpinner (which acts as the spinner in android). This class contains a constructor and set of methods related to handling item click events on this custom Spinner view. 
However, without more context or specific details about what exactly needs summarizing from this code, it</t>
        </is>
      </c>
      <c r="I41" t="n">
        <v>0.0036</v>
      </c>
      <c r="J41" t="n">
        <v>0.058</v>
      </c>
      <c r="K41" t="n">
        <v>0.0752</v>
      </c>
      <c r="L41" t="inlineStr">
        <is>
          <t>The provided code is a JUnit test class named `OnItemClickTest` that tests the functionality of an extension to Butter Knife library's View Binding feature called `@OnItemClick`. The purpose of this class seems to be testing if clicking on items in a spinner (a type of dropdown list) triggers certain events or actions as expected.
Here are</t>
        </is>
      </c>
      <c r="M41" t="n">
        <v>0.0033</v>
      </c>
      <c r="N41" t="n">
        <v>0.0308</v>
      </c>
      <c r="O41" t="n">
        <v>0.0781</v>
      </c>
    </row>
    <row r="42">
      <c r="A42" t="inlineStr">
        <is>
          <t>butterknife</t>
        </is>
      </c>
      <c r="B42" t="inlineStr">
        <is>
          <t>butterknife-integration-test/src/androidTest/java/com/example/butterknife/functional/OnLongClickTest.java</t>
        </is>
      </c>
      <c r="C42">
        <f>HYPERLINK("https://github.com/JakeWharton/butterknife/blob/master/butterknife-integration-test/src/androidTest/java/com/example/butterknife/functional/OnLongClickTest.java")</f>
        <v/>
      </c>
      <c r="D42" t="inlineStr">
        <is>
          <t>The provided code is a functional test for the `onLongClick` functionality of Butter Knife library in Android development. It tests if an event listener attached with `@OnLongClick` annotation works correctly by counting the number of clicks and returning a specific value when clicked on. The test runs on UI thread using JUnit's `@UiThreadTest` annotation.</t>
        </is>
      </c>
      <c r="E42" t="n">
        <v>0.004</v>
      </c>
      <c r="F42" t="n">
        <v>0.0635</v>
      </c>
      <c r="G42" t="n">
        <v>0.0794</v>
      </c>
      <c r="H42" t="inlineStr">
        <is>
          <t>The provided code is a Java class that uses the Butter Knife library to bind views in Android applications. It contains two methods for testing long click events on buttons and text fields. The `@OnLongClick` annotation is used to annotate the method which should be called when a view is long clicked. This test case checks if the correct number of clicks are registered by checking the value of</t>
        </is>
      </c>
      <c r="I42" t="n">
        <v>0.0031</v>
      </c>
      <c r="J42" t="n">
        <v>0.026</v>
      </c>
      <c r="K42" t="n">
        <v>0.1064</v>
      </c>
      <c r="L42" t="inlineStr">
        <is>
          <t>The provided code is a functional test for the `@OnLongClick` annotation from Butter Knife library in Android development. The purpose of this test class is to verify if the long click event works correctly on a button view.
Here's what it does step by step: 
1. It creates an instance of Simple class which has two fields - returnValue and cl</t>
        </is>
      </c>
      <c r="M42" t="n">
        <v>0.003</v>
      </c>
      <c r="N42" t="n">
        <v>0.058</v>
      </c>
      <c r="O42" t="n">
        <v>0.1128</v>
      </c>
    </row>
    <row r="43">
      <c r="A43" t="inlineStr">
        <is>
          <t>butterknife</t>
        </is>
      </c>
      <c r="B43" t="inlineStr">
        <is>
          <t>butterknife-integration-test/src/androidTest/java/com/example/butterknife/functional/BindBoolTest.java</t>
        </is>
      </c>
      <c r="C43">
        <f>HYPERLINK("https://github.com/JakeWharton/butterknife/blob/master/butterknife-integration-test/src/androidTest/java/com/example/butterknife/functional/BindBoolTest.java")</f>
        <v/>
      </c>
      <c r="D43" t="inlineStr">
        <is>
          <t>The code provided is a JUnit test for the Butter Knife library's @BindBool annotation functionality. It tests if the annotated boolean value from resources can be correctly bound to an object and retrieved through its getter method. The test creates a Target class with a boolean field annotated by @BindBool, binds it using ButterKnife, then checks that the actual boolean returned</t>
        </is>
      </c>
      <c r="E43" t="n">
        <v>0.003</v>
      </c>
      <c r="F43" t="n">
        <v>0.0571</v>
      </c>
      <c r="G43" t="n">
        <v>0.0752</v>
      </c>
      <c r="H43" t="inlineStr">
        <is>
          <t>The provided code is a JUnit test for the Butter Knife library in Android that tests the functionality of @BindBool annotation. The function `asBoolean()` binds an annotated boolean value from resources to a field and then checks if it matches with expected result.
Here's a concise summary of this code: 
- It creates a Context object using Instrument</t>
        </is>
      </c>
      <c r="I43" t="n">
        <v>0.0037</v>
      </c>
      <c r="J43" t="n">
        <v>0.0606</v>
      </c>
      <c r="K43" t="n">
        <v>0.1154</v>
      </c>
      <c r="L43" t="inlineStr">
        <is>
          <t>The given code is a JUnit test for the Butter Knife library in Android. The purpose of this class `BindBoolTest` is to verify if binding an annotated boolean resource with @BindBool works correctly. 
It initializes a Context and View tree using Instrumentation Registry, creates a static inner class 'Target' which has one field annotated with @Bind</t>
        </is>
      </c>
      <c r="M43" t="n">
        <v>0.0033</v>
      </c>
      <c r="N43" t="n">
        <v>0.0625</v>
      </c>
      <c r="O43" t="n">
        <v>0.1172</v>
      </c>
    </row>
    <row r="44">
      <c r="A44" t="inlineStr">
        <is>
          <t>butterknife</t>
        </is>
      </c>
      <c r="B44" t="inlineStr">
        <is>
          <t>butterknife-integration-test/src/androidTest/java/com/example/butterknife/functional/OnClickTest.java</t>
        </is>
      </c>
      <c r="C44">
        <f>HYPERLINK("https://github.com/JakeWharton/butterknife/blob/master/butterknife-integration-test/src/androidTest/java/com/example/butterknife/functional/OnClickTest.java")</f>
        <v/>
      </c>
      <c r="D44" t="inlineStr">
        <is>
          <t>The provided code is a functional test for the ButterKnife library using JUnit testing framework in Java. The purpose of this code seems to be to verify that an @OnClick annotation works as expected by incrementing a counter when a button or view with id 1 is clicked.
However, without seeing the actual implementation of other classes and methods involved, it's hard to provide</t>
        </is>
      </c>
      <c r="E44" t="n">
        <v>0.0028</v>
      </c>
      <c r="F44" t="n">
        <v>0.0822</v>
      </c>
      <c r="G44" t="n">
        <v>0.1471</v>
      </c>
      <c r="H44" t="inlineStr">
        <is>
          <t>The provided code is a Java class that uses the Butter Knife library for Android development to bind views and perform actions on them such as clicking buttons. The `@OnClick` annotation is used to automatically handle click events on view elements in an Android application. 
Here's a summary of its functionality:
- It creates an Instrumentation object using `InstrumentationRegistry</t>
        </is>
      </c>
      <c r="I44" t="n">
        <v>0.0031</v>
      </c>
      <c r="J44" t="n">
        <v>0.0299</v>
      </c>
      <c r="K44" t="n">
        <v>0.07630000000000001</v>
      </c>
      <c r="L44" t="inlineStr">
        <is>
          <t>The provided code is a JUnit test class named `OnClickTest` for the ButterKnife library in Android development. This class tests the functionality of the annotation `@OnClick` used to bind views with click events on an activity or fragment.
Here's a concise summary of its functionality: 
It uses the Instrumentation framework from Android to run unit</t>
        </is>
      </c>
      <c r="M44" t="n">
        <v>0.004</v>
      </c>
      <c r="N44" t="n">
        <v>0.0625</v>
      </c>
      <c r="O44" t="n">
        <v>0.07870000000000001</v>
      </c>
    </row>
    <row r="45">
      <c r="A45" t="inlineStr">
        <is>
          <t>butterknife</t>
        </is>
      </c>
      <c r="B45" t="inlineStr">
        <is>
          <t>butterknife-integration-test/src/androidTest/java/com/example/butterknife/functional/OnCheckedChangedTest.java</t>
        </is>
      </c>
      <c r="C45">
        <f>HYPERLINK("https://github.com/JakeWharton/butterknife/blob/master/butterknife-integration-test/src/androidTest/java/com/example/butterknife/functional/OnCheckedChangedTest.java")</f>
        <v/>
      </c>
      <c r="D45" t="inlineStr">
        <is>
          <t>The code provided is a functional test for the `onCheckedChanged` annotation in Butter Knife library. It tests if the click event on a ToggleButton can be correctly tracked and incremented by the annotated method (named 'click') inside another class named Simple. The testing framework used here seems to be JUnit 4 which is commonly used for unit testing in Java applications.</t>
        </is>
      </c>
      <c r="E45" t="n">
        <v>0.003</v>
      </c>
      <c r="F45" t="n">
        <v>0.058</v>
      </c>
      <c r="G45" t="n">
        <v>0.0752</v>
      </c>
      <c r="H45" t="inlineStr">
        <is>
          <t>The code you provided is a Java class that uses the Butter Knife library to bind views and listen for events on them. The `@OnCheckedChanged` annotation is used to specify which method should be called when the checked state of a view changes. In this case, it's bound to the click() method in the Simple inner class. This means every time the ToggleButton'</t>
        </is>
      </c>
      <c r="I45" t="n">
        <v>0.0034</v>
      </c>
      <c r="J45" t="n">
        <v>0.0278</v>
      </c>
      <c r="K45" t="n">
        <v>0.1111</v>
      </c>
      <c r="L45" t="inlineStr">
        <is>
          <t>The provided code is a JUnit test case for an Android application using the Butter Knife library to bind views and handle events in an instrumentation environment. The purpose of this class is to verify that the `@OnCheckedChanged` annotation works correctly by incrementing a counter when a ToggleButton view's checked state changes. 
Here are the key operations involved:</t>
        </is>
      </c>
      <c r="M45" t="n">
        <v>0.0031</v>
      </c>
      <c r="N45" t="n">
        <v>0.0299</v>
      </c>
      <c r="O45" t="n">
        <v>0.1154</v>
      </c>
    </row>
    <row r="46">
      <c r="A46" t="inlineStr">
        <is>
          <t>butterknife</t>
        </is>
      </c>
      <c r="B46" t="inlineStr">
        <is>
          <t>butterknife-integration-test/src/androidTest/java/com/example/butterknife/functional/BindIntTest.java</t>
        </is>
      </c>
      <c r="C46">
        <f>HYPERLINK("https://github.com/JakeWharton/butterknife/blob/master/butterknife-integration-test/src/androidTest/java/com/example/butterknife/functional/BindIntTest.java")</f>
        <v/>
      </c>
      <c r="D46" t="inlineStr">
        <is>
          <t>The provided code is a JUnit test for the `BindInt` annotation in Butter Knife library. This annotation binds an integer resource to a field annotated with it during runtime using reflection. The purpose of this test is to verify that the binding process works correctly by comparing the actual value obtained from the bound view and its expected value defined in resources. 
It uses</t>
        </is>
      </c>
      <c r="E46" t="n">
        <v>0.0034</v>
      </c>
      <c r="F46" t="n">
        <v>0.0556</v>
      </c>
      <c r="G46" t="n">
        <v>0.1103</v>
      </c>
      <c r="H46" t="inlineStr">
        <is>
          <t>The provided code is a JUnit test for the Butter Knife library in Android development. The purpose of this test is to verify that @BindInt annotation binds an integer resource correctly from R.java file into the target class field.
   This test creates a Context and View using Instrumentation Registry, then it defines a static inner Target class with an annotated int field</t>
        </is>
      </c>
      <c r="I46" t="n">
        <v>0.0035</v>
      </c>
      <c r="J46" t="n">
        <v>0.0563</v>
      </c>
      <c r="K46" t="n">
        <v>0.1119</v>
      </c>
      <c r="L46" t="inlineStr">
        <is>
          <t>The provided code is a JUnit test for the BindInt annotation in Butter Knife library. The purpose of this test is to verify that when an integer resource with id R.integer.twelve is annotated using @BindInt and bound via ButterKnife's bind method, it correctly retrieves its value from the application context resources and assigns it to the target objectâĢĻs</t>
        </is>
      </c>
      <c r="M46" t="n">
        <v>0.0031</v>
      </c>
      <c r="N46" t="n">
        <v>0.0571</v>
      </c>
      <c r="O46" t="n">
        <v>0.1154</v>
      </c>
    </row>
    <row r="47">
      <c r="A47" t="inlineStr">
        <is>
          <t>butterknife</t>
        </is>
      </c>
      <c r="B47" t="inlineStr">
        <is>
          <t>butterknife-integration-test/src/androidTest/java/com/example/butterknife/unbinder/UnbinderTest.java</t>
        </is>
      </c>
      <c r="C47">
        <f>HYPERLINK("https://github.com/JakeWharton/butterknife/blob/master/butterknife-integration-test/src/androidTest/java/com/example/butterknife/unbinder/UnbinderTest.java")</f>
        <v/>
      </c>
      <c r="D47" t="inlineStr">
        <is>
          <t>The provided code is a JUnit test for the Unbinder class from Butter Knife library in Android development. The purpose of this test seems to be verifying content view binding with multiple buttons and views within a FrameLayout container using Butter Knife's `bind` method. It also checks if the correct ids are assigned to each button before adding them into the layout. This process could</t>
        </is>
      </c>
      <c r="E47" t="n">
        <v>0.0033</v>
      </c>
      <c r="F47" t="n">
        <v>0.0541</v>
      </c>
      <c r="G47" t="n">
        <v>0.1095</v>
      </c>
      <c r="H47" t="inlineStr">
        <is>
          <t>The provided code is a JUnit test for an unbinding mechanism using the Butter Knife library in Android development. The purpose of this test is to verify that views are correctly added and removed from their parent view (in this case, FrameLayout). 
It creates three buttons with IDs button1, button2, and button3 respectively, adds them into frameLayout, then checks</t>
        </is>
      </c>
      <c r="I47" t="n">
        <v>0.0031</v>
      </c>
      <c r="J47" t="n">
        <v>0.0597</v>
      </c>
      <c r="K47" t="n">
        <v>0.1145</v>
      </c>
      <c r="L47" t="inlineStr">
        <is>
          <t>The provided code is a test case for an unbinding operation in the Butter Knife library. The main purpose of this class is to verify that content view binding works correctly by adding three buttons (button1, button2, and button3) to a FrameLayout container and checking if they are properly bound with their respective IDs. 
It uses JUnit framework for testing purposes.</t>
        </is>
      </c>
      <c r="M47" t="n">
        <v>0.003</v>
      </c>
      <c r="N47" t="n">
        <v>0.058</v>
      </c>
      <c r="O47" t="n">
        <v>0.1128</v>
      </c>
    </row>
    <row r="48">
      <c r="A48" t="inlineStr">
        <is>
          <t>butterknife</t>
        </is>
      </c>
      <c r="B48" t="inlineStr">
        <is>
          <t>butterknife-integration-test/src/androidTest/java/com/example/butterknife/library/SimpleActivityTest.java</t>
        </is>
      </c>
      <c r="C48">
        <f>HYPERLINK("https://github.com/JakeWharton/butterknife/blob/master/butterknife-integration-test/src/androidTest/java/com/example/butterknife/library/SimpleActivityTest.java")</f>
        <v/>
      </c>
      <c r="D48" t="inlineStr">
        <is>
          <t>The code provided is a JUnit test for the SimpleActivity class in an Android application using Butter Knife library to bind views with their corresponding IDs from the layout file. The purpose of this test is to verify that the content view binding and unbinding are working correctly by comparing the actual id's with expected ones. This comparison helps ensure proper functioning of the butter knife library which simplifies view</t>
        </is>
      </c>
      <c r="E48" t="n">
        <v>0.0031</v>
      </c>
      <c r="F48" t="n">
        <v>0.0506</v>
      </c>
      <c r="G48" t="n">
        <v>0.1056</v>
      </c>
      <c r="H48" t="inlineStr">
        <is>
          <t>The code provided is a JUnit test for an Android application using the Butter Knife library to bind views in an activity named SimpleActivity. The purpose of this test is to verify that certain elements (like title, subtitle and hello) are correctly bound when they're being used with Butter Knife.
In terms of functionality, it tests two main things:</t>
        </is>
      </c>
      <c r="I48" t="n">
        <v>0.0031</v>
      </c>
      <c r="J48" t="n">
        <v>0.0588</v>
      </c>
      <c r="K48" t="n">
        <v>0.1145</v>
      </c>
      <c r="L48" t="inlineStr">
        <is>
          <t>The provided code is a JUnit test for the SimpleActivity class in an Android application using Butter Knife library for view binding and unbinding operations. The main purpose of this code is to verify that views are correctly bound (i.e., they have been properly linked with their corresponding variables) during activity creation and then unbound after usage.
It uses Google Truth framework for assertions</t>
        </is>
      </c>
      <c r="M48" t="n">
        <v>0.0028</v>
      </c>
      <c r="N48" t="n">
        <v>0.0548</v>
      </c>
      <c r="O48" t="n">
        <v>0.1103</v>
      </c>
    </row>
    <row r="49">
      <c r="A49" t="inlineStr">
        <is>
          <t>butterknife</t>
        </is>
      </c>
      <c r="B49" t="inlineStr">
        <is>
          <t>butterknife-integration-test/src/androidTest/java/com/example/butterknife/library/SimpleAdapterTest.java</t>
        </is>
      </c>
      <c r="C49">
        <f>HYPERLINK("https://github.com/JakeWharton/butterknife/blob/master/butterknife-integration-test/src/androidTest/java/com/example/butterknife/library/SimpleAdapterTest.java")</f>
        <v/>
      </c>
      <c r="D49" t="inlineStr">
        <is>
          <t>&lt;!--- This is a summary of the provided code --&gt;
The `SimpleAdapter` class contains a test case for its view holder views' functionality using JUnit and Truth libraries in Android development. The purpose of this test is to verify that the ViewHolder correctly binds each view with their corresponding ID from an XML layout file (`simple_list_item`).</t>
        </is>
      </c>
      <c r="E49" t="n">
        <v>0.0043</v>
      </c>
      <c r="F49" t="n">
        <v>0.09379999999999999</v>
      </c>
      <c r="G49" t="n">
        <v>0.1172</v>
      </c>
      <c r="H49" t="inlineStr">
        <is>
          <t>The provided code is a JUnit test for an Android application using the ButterKnife library to bind views in a custom adapter class called SimpleAdapter. The complexity of this code is O(N), where N represents the number of tests being run. This means that as more tests are added, the time taken by the system will increase linearly with the size of the input data set.</t>
        </is>
      </c>
      <c r="I49" t="n">
        <v>0.0028</v>
      </c>
      <c r="J49" t="n">
        <v>0.0267</v>
      </c>
      <c r="K49" t="n">
        <v>0.0725</v>
      </c>
      <c r="L49" t="inlineStr">
        <is>
          <t>The provided code is a JUnit test for the SimpleAdapter class in an Android application using ButterKnife library. The purpose of this test is to verify that ViewHolder views are correctly initialized and assigned IDs from the layout resource file (`simple_list_item`). 
It does so by creating a new instance of `ViewHolder` with inflated root view</t>
        </is>
      </c>
      <c r="M49" t="n">
        <v>0.0033</v>
      </c>
      <c r="N49" t="n">
        <v>0.0615</v>
      </c>
      <c r="O49" t="n">
        <v>0.1181</v>
      </c>
    </row>
    <row r="50">
      <c r="A50" t="inlineStr">
        <is>
          <t>butterknife</t>
        </is>
      </c>
      <c r="B50" t="inlineStr">
        <is>
          <t>butterknife-reflect/src/main/java/butterknife/ButterKnife.java</t>
        </is>
      </c>
      <c r="C50">
        <f>HYPERLINK("https://github.com/JakeWharton/butterknife/blob/master/butterknife-reflect/src/main/java/butterknife/ButterKnife.java")</f>
        <v/>
      </c>
      <c r="D50" t="inlineStr">
        <is>
          <t>```java
// This package contains utility classes for Android development that simplify view binding and reduces boilerplate code in your layout files. 
// It's a part of the butter knife library which helps to avoid findViewById() calls by automatically generating implementations at compile time.
// The provided code is an import statement for various packages related to android development such as</t>
        </is>
      </c>
      <c r="E50" t="n">
        <v>0.0036</v>
      </c>
      <c r="F50" t="n">
        <v>0.0597</v>
      </c>
      <c r="G50" t="n">
        <v>0.1504</v>
      </c>
      <c r="H50" t="inlineStr">
        <is>
          <t>The provided code is a Java package named butterknife that contains import statements for various Android components and libraries such as Activity, Dialog, Context, ColorStateList, Resources, TypedArray, Bitmap, BitmapFactory, Typeface, Drawable, Editable, TextWatcher, Log, View, Animation, AnimationUtils, AdapterView, CompoundButton,</t>
        </is>
      </c>
      <c r="I50" t="n">
        <v>0.0047</v>
      </c>
      <c r="J50" t="n">
        <v>0.0426</v>
      </c>
      <c r="K50" t="n">
        <v>0.045</v>
      </c>
      <c r="L50" t="inlineStr">
        <is>
          <t>The provided code is a part of an Android application that uses ButterKnife library for view injection and binding. It includes several classes such as Activity, Dialog, Context, ColorStateList, Resources, TypedArray etc. The main purpose of this code seems to be the implementation of core algorithms related to handling user interactions like key events or motion events on views in an android environment. However,</t>
        </is>
      </c>
      <c r="M50" t="n">
        <v>0.0034</v>
      </c>
      <c r="N50" t="n">
        <v>0.0833</v>
      </c>
      <c r="O50" t="n">
        <v>0.1838</v>
      </c>
    </row>
    <row r="51">
      <c r="A51" t="inlineStr">
        <is>
          <t>butterknife</t>
        </is>
      </c>
      <c r="B51" t="inlineStr">
        <is>
          <t>butterknife-reflect/src/main/java/butterknife/CompositeUnbinder.java</t>
        </is>
      </c>
      <c r="C51">
        <f>HYPERLINK("https://github.com/JakeWharton/butterknife/blob/master/butterknife-reflect/src/main/java/butterknife/CompositeUnbinder.java")</f>
        <v/>
      </c>
      <c r="D51" t="inlineStr">
        <is>
          <t>The provided code is a Java class named CompositeUnbinder that implements the Unbinder interface from ButterKnife library for Android development. This class represents a composite unbinder which holds and manages multiple individual binders (referred to as 'unbinders'). The main functionality of this class revolves around binding views with data sources in an Android application context. It provides methods to</t>
        </is>
      </c>
      <c r="E51" t="n">
        <v>0.0044</v>
      </c>
      <c r="F51" t="n">
        <v>0.0597</v>
      </c>
      <c r="G51" t="n">
        <v>0.1527</v>
      </c>
      <c r="H51" t="inlineStr">
        <is>
          <t>ThegivenJava codeisrelatedtoButterKnife'slibrarywhichautomaticallyhandlesviewbindinginAndroidapplications.ItcontainsafinalclassnamedCompositeUnbinderthatimplmentsuNbinderinterface.Insideitthereismethodsforerrorcheckingandsomeothermethodsaswell.Thereisalsoalistfieldcontainingalltheunbindersneededtounbind</t>
        </is>
      </c>
      <c r="I51" t="n">
        <v>0</v>
      </c>
      <c r="J51" t="n">
        <v>0</v>
      </c>
      <c r="K51" t="n">
        <v>0</v>
      </c>
      <c r="L51" t="inlineStr">
        <is>
          <t>The provided code is a Java class named CompositeUnbinder that implements the Unbinder interface from ButterKnife library for Android development. This class serves as a composite unbinder which holds and manages multiple unbinders (objects of other classes implementing the Unbinder interface). The main functionality of this class revolves around managing bindings by storing references to these unbinders in</t>
        </is>
      </c>
      <c r="M51" t="n">
        <v>0.0045</v>
      </c>
      <c r="N51" t="n">
        <v>0.09089999999999999</v>
      </c>
      <c r="O51" t="n">
        <v>0.1538</v>
      </c>
    </row>
    <row r="52">
      <c r="A52" t="inlineStr">
        <is>
          <t>butterknife</t>
        </is>
      </c>
      <c r="B52" t="inlineStr">
        <is>
          <t>butterknife-reflect/src/main/java/butterknife/FieldUnbinder.java</t>
        </is>
      </c>
      <c r="C52">
        <f>HYPERLINK("https://github.com/JakeWharton/butterknife/blob/master/butterknife-reflect/src/main/java/butterknife/FieldUnbinder.java")</f>
        <v/>
      </c>
      <c r="D52" t="inlineStr">
        <is>
          <t>&lt;!--- This is a summary of the provided code --&gt;
The given Java code defines an immutable class `FieldUnbinder` that implements the Unbinder interface from Butter Knife library. The purpose of this class seems to be binding or linking a specific field in an object (referred as 'target') with another object (referred as 'field').</t>
        </is>
      </c>
      <c r="E52" t="n">
        <v>0.004</v>
      </c>
      <c r="F52" t="n">
        <v>0.0667</v>
      </c>
      <c r="G52" t="n">
        <v>0.0794</v>
      </c>
      <c r="H52" t="inlineStr">
        <is>
          <t>The provided code is a Java implementation of the Field Unbinder class from Butter Knife library for unbinding fields in Android development. The functionality of this code can be summarized as follows:
- This class implements an interface called `Unbinder` which has one method named `unbind()`. 
- In its constructor, it takes two parameters - 'target'</t>
        </is>
      </c>
      <c r="I52" t="n">
        <v>0.0043</v>
      </c>
      <c r="J52" t="n">
        <v>0.06560000000000001</v>
      </c>
      <c r="K52" t="n">
        <v>0.1172</v>
      </c>
      <c r="L52" t="inlineStr">
        <is>
          <t>The provided code is a Java implementation of the Field Unbinder class in Butter Knife library. This class has one primary function to unbind or nullify references from fields that are no longer needed by an object. The purpose of this operation is achieved through reflection which allows us to access and modify private variables within classes at runtime. In essence, it helps manage memory resources effectively by releasing unused</t>
        </is>
      </c>
      <c r="M52" t="n">
        <v>0.0031</v>
      </c>
      <c r="N52" t="n">
        <v>0.0769</v>
      </c>
      <c r="O52" t="n">
        <v>0.1761</v>
      </c>
    </row>
    <row r="53">
      <c r="A53" t="inlineStr">
        <is>
          <t>butterknife</t>
        </is>
      </c>
      <c r="B53" t="inlineStr">
        <is>
          <t>butterknife-reflect/src/main/java/butterknife/ListenerUnbinder.java</t>
        </is>
      </c>
      <c r="C53">
        <f>HYPERLINK("https://github.com/JakeWharton/butterknife/blob/master/butterknife-reflect/src/main/java/butterknife/ListenerUnbinder.java")</f>
        <v/>
      </c>
      <c r="D53" t="inlineStr">
        <is>
          <t>The provided code is a Java class named `ListenerUnbinder` that implements the interface `Unbinder` from ButterKnife library for Android development. The purpose of this class seems to be binding an event listener (or setter) with multiple views and storing them in a list. 
Here's a concise summary based on the existing code:
-</t>
        </is>
      </c>
      <c r="E53" t="n">
        <v>0.0041</v>
      </c>
      <c r="F53" t="n">
        <v>0.06560000000000001</v>
      </c>
      <c r="G53" t="n">
        <v>0.12</v>
      </c>
      <c r="H53" t="inlineStr">
        <is>
          <t>The provided code is a Java implementation of the Listener Unbinder pattern using ButterKnife library for Android development. This design pattern allows you to bind listeners (like click events or long presses) to views in your layout and unbind them when they are no longer needed. The complexity here is O(n), where n represents the number of targets that have been bound with this listener un</t>
        </is>
      </c>
      <c r="I53" t="n">
        <v>0.0033</v>
      </c>
      <c r="J53" t="n">
        <v>0.0533</v>
      </c>
      <c r="K53" t="n">
        <v>0.1449</v>
      </c>
      <c r="L53" t="inlineStr">
        <is>
          <t>The provided code is a Java class named ListenerUnbinder that implements the Unbinder interface from ButterKnife library for Android development. This class serves to bind views and listeners together in an efficient way by utilizing generics and reflection. 
It has two constructors - one with three parameters (a list of View targets, a setter function, and a listener</t>
        </is>
      </c>
      <c r="M53" t="n">
        <v>0.0041</v>
      </c>
      <c r="N53" t="n">
        <v>0.09229999999999999</v>
      </c>
      <c r="O53" t="n">
        <v>0.1154</v>
      </c>
    </row>
    <row r="54">
      <c r="A54" t="inlineStr">
        <is>
          <t>butterknife</t>
        </is>
      </c>
      <c r="B54" t="inlineStr">
        <is>
          <t>butterknife-reflect/src/main/java/butterknife/EmptyTextWatcher.java</t>
        </is>
      </c>
      <c r="C54">
        <f>HYPERLINK("https://github.com/JakeWharton/butterknife/blob/master/butterknife-reflect/src/main/java/butterknife/EmptyTextWatcher.java")</f>
        <v/>
      </c>
      <c r="D54" t="inlineStr">
        <is>
          <t>The provided code is a Java class named "EmptyTextWatcher" that implements the TextWatcher interface from Android's support library for handling text changes in an EditText component. This implementation does not perform any specific action when certain events occur such as before and after text change or on text changed event. It simply overrides these methods with empty blocks of code. The</t>
        </is>
      </c>
      <c r="E54" t="n">
        <v>0.0039</v>
      </c>
      <c r="F54" t="n">
        <v>0.0857</v>
      </c>
      <c r="G54" t="n">
        <v>0.1128</v>
      </c>
      <c r="H54" t="inlineStr">
        <is>
          <t>The code you provided is a Java class that implements the TextWatcher interface from Android's text package. This interface provides three methods for monitoring changes in an Editable object (which can be a String or SpannableString). The beforeTextChanged method is called immediately after any structural change in the Editible has been detected and just prior to its position being changed by calls to replace().</t>
        </is>
      </c>
      <c r="I54" t="n">
        <v>0.0037</v>
      </c>
      <c r="J54" t="n">
        <v>0.0548</v>
      </c>
      <c r="K54" t="n">
        <v>0.1103</v>
      </c>
      <c r="L54" t="inlineStr">
        <is>
          <t>The provided code is a Java class named "EmptyTextWatcher" that implements the TextWatcher interface from Android's text package. This class does not have any functionality yet but it serves as an empty template for other developers to add their own logic when handling events related to editable text fields in Android applications. 
It has three methods defined which will be</t>
        </is>
      </c>
      <c r="M54" t="n">
        <v>0.004</v>
      </c>
      <c r="N54" t="n">
        <v>0.08699999999999999</v>
      </c>
      <c r="O54" t="n">
        <v>0.1136</v>
      </c>
    </row>
    <row r="55">
      <c r="A55" t="inlineStr">
        <is>
          <t>butterknife</t>
        </is>
      </c>
      <c r="B55" t="inlineStr">
        <is>
          <t>website/static/prettify.js</t>
        </is>
      </c>
      <c r="C55">
        <f>HYPERLINK("https://github.com/JakeWharton/butterknife/blob/master/website/static/prettify.js")</f>
        <v/>
      </c>
      <c r="D55" t="inlineStr">
        <is>
          <t>The provided code appears to be a JavaScript implementation of an encoding and decoding function for Unicode characters in strings. The main components are functions `l` (decodeUnicodeStrings), `m` (convertHexToDecimal), `e` (encodeSpecialChars), and `h` (processInputAndPushOutputArray). 
Function 'l</t>
        </is>
      </c>
      <c r="E55" t="n">
        <v>0.0052</v>
      </c>
      <c r="F55" t="n">
        <v>0.1364</v>
      </c>
      <c r="G55" t="n">
        <v>0.1389</v>
      </c>
      <c r="H55" t="inlineStr">
        <is>
          <t>The provided code appears to be a JavaScript implementation of some form of string encoding and decoding functionality. It uses regular expressions for matching specific patterns in the input strings, such as Unicode or hexadecimal escape sequences. The function `h` seems to process these matches into an array that is then sorted before being pushed onto another array (possibly used later on). 
The</t>
        </is>
      </c>
      <c r="I55" t="n">
        <v>0.0029</v>
      </c>
      <c r="J55" t="n">
        <v>0.0563</v>
      </c>
      <c r="K55" t="n">
        <v>0.1111</v>
      </c>
      <c r="L55" t="inlineStr">
        <is>
          <t>The provided code appears to be a JavaScript implementation of an algorithm for encoding and decoding strings using various escape sequences such as \n (newline), \t (tab), etc. It also supports hex (\xXX), octal (\XXXX), Unicode (\uXXXX), and ASCII characters in the range 0-31. The main purpose seems to be converting these encoded</t>
        </is>
      </c>
      <c r="M55" t="n">
        <v>0.0035</v>
      </c>
      <c r="N55" t="n">
        <v>0.0645</v>
      </c>
      <c r="O55" t="n">
        <v>0.12</v>
      </c>
    </row>
    <row r="56">
      <c r="A56" t="inlineStr">
        <is>
          <t>butterknife</t>
        </is>
      </c>
      <c r="B56" t="inlineStr">
        <is>
          <t>website/static/jquery-maven-artifact.min.js</t>
        </is>
      </c>
      <c r="C56">
        <f>HYPERLINK("https://github.com/JakeWharton/butterknife/blob/master/website/static/jquery-maven-artifact.min.js")</f>
        <v/>
      </c>
      <c r="D56" t="inlineStr">
        <is>
          <t>The code is a plugin for jQuery that interacts with the Maven repository to fetch artifact versions and download URLs of specified groupId and artifactId from Maven Central Repository (https://repo1.maven.org/maven2). It uses JSONP to bypass CORS restrictions when making requests to search.maven.org. The functionality includes error checking for missing parameters such as 'groupId</t>
        </is>
      </c>
      <c r="E56" t="n">
        <v>0.0041</v>
      </c>
      <c r="F56" t="n">
        <v>0.0299</v>
      </c>
      <c r="G56" t="n">
        <v>0.08</v>
      </c>
      <c r="H56" t="inlineStr">
        <is>
          <t>ThegivenJavaScriptcodeisusedtofetchapackagefromMavenRepositorybasedongroupIdandartifactId.ItusesjQuerysimpleHTTPrequesttomanifestfileinthedownloadedpackage.Thecomplexityisthereasonableasitloopsoveralldocsinresponsetoextractatmostoneversion.However,thisdoesnotcountAjaxcallswhichcould</t>
        </is>
      </c>
      <c r="I56" t="n">
        <v>0</v>
      </c>
      <c r="J56" t="n">
        <v>0</v>
      </c>
      <c r="K56" t="n">
        <v>0</v>
      </c>
      <c r="L56" t="inlineStr">
        <is>
          <t>The provided code is a jQuery plugin that interacts with the Maven repository to fetch artifact versions and URLs based on groupId and artifactId inputs. The main purpose of this code is to provide an easy way for developers to download specific versions of their dependencies without having to manually search through the Maven repository website.
It takes in two parameters (groupId and artifactId) as input</t>
        </is>
      </c>
      <c r="M56" t="n">
        <v>0.0028</v>
      </c>
      <c r="N56" t="n">
        <v>0.0541</v>
      </c>
      <c r="O56" t="n">
        <v>0.0725</v>
      </c>
    </row>
    <row r="57">
      <c r="A57" t="inlineStr">
        <is>
          <t>butterknife</t>
        </is>
      </c>
      <c r="B57" t="inlineStr">
        <is>
          <t>butterknife-gradle-plugin/src/main/java/butterknife/plugin/R2Generator.kt</t>
        </is>
      </c>
      <c r="C57">
        <f>HYPERLINK("https://github.com/JakeWharton/butterknife/blob/master/butterknife-gradle-plugin/src/main/java/butterknife/plugin/R2Generator.kt")</f>
        <v/>
      </c>
      <c r="D57" t="inlineStr">
        <is>
          <t>The provided code is a Gradle task named `R2Generator` that generates Java classes from R files using ButterKnife library. The task has the following properties and actions associated with it:
- It takes an input file collection (`rFile`), which represents the source of the R files to be processed. 
- An output directory where generated Java class files will be</t>
        </is>
      </c>
      <c r="E57" t="n">
        <v>0.003</v>
      </c>
      <c r="F57" t="n">
        <v>0.0303</v>
      </c>
      <c r="G57" t="n">
        <v>0.07580000000000001</v>
      </c>
      <c r="H57" t="inlineStr">
        <is>
          <t>The provided code is a Gradle task named `R2Generator` that generates Java classes from R files using ButterKnife plugin for Android development. The task has several inputs and outputs including the input file (`rFile`), output directory (`outputDir`), package name (`packageName`), and class name (`className`). 
The main functionality of this</t>
        </is>
      </c>
      <c r="I57" t="n">
        <v>0.0045</v>
      </c>
      <c r="J57" t="n">
        <v>0.0351</v>
      </c>
      <c r="K57" t="n">
        <v>0.124</v>
      </c>
      <c r="L57" t="inlineStr">
        <is>
          <t>The provided code is a Gradle task named `R2Generator` that extends the default Gradle Task class and overrides its behavior with custom logic in the `brewJava()` method. 
The purpose of this task is to generate Java source files from an input file (`rFile`). The generated Java source files will be placed into an output directory specified by `output</t>
        </is>
      </c>
      <c r="M57" t="n">
        <v>0.0031</v>
      </c>
      <c r="N57" t="n">
        <v>0.0606</v>
      </c>
      <c r="O57" t="n">
        <v>0.0769</v>
      </c>
    </row>
    <row r="58">
      <c r="A58" t="inlineStr">
        <is>
          <t>butterknife</t>
        </is>
      </c>
      <c r="B58" t="inlineStr">
        <is>
          <t>butterknife-gradle-plugin/src/main/java/butterknife/plugin/ResourceSymbolListReader.kt</t>
        </is>
      </c>
      <c r="C58">
        <f>HYPERLINK("https://github.com/JakeWharton/butterknife/blob/master/butterknife-gradle-plugin/src/main/java/butterknife/plugin/ResourceSymbolListReader.kt")</f>
        <v/>
      </c>
      <c r="D58" t="inlineStr">
        <is>
          <t>The provided code is a Java class that reads symbol tables from files and generates resource fields for an R-class builder using the Square's Javapoet library to create CodeBlocks of incrementing integer values based on each line in the file. The SUPPORTED_TYPES constant indicates which types are supported by this reader. If the java type is not "</t>
        </is>
      </c>
      <c r="E58" t="n">
        <v>0.0031</v>
      </c>
      <c r="F58" t="n">
        <v>0.0294</v>
      </c>
      <c r="G58" t="n">
        <v>0.1154</v>
      </c>
      <c r="H58" t="inlineStr">
        <is>
          <t>The provided code is a Java class named `InternalResourceSymbolListReader` that reads symbol tables from files and processes each line of the file to extract information about resource fields in Java source code. The extracted data includes the type of java variable (e.g., int), its name, and value which are used by ButterKnife library for field injection during runtime.
It has two</t>
        </is>
      </c>
      <c r="I58" t="n">
        <v>0.003</v>
      </c>
      <c r="J58" t="n">
        <v>0.0286</v>
      </c>
      <c r="K58" t="n">
        <v>0.0752</v>
      </c>
      <c r="L58" t="inlineStr">
        <is>
          <t>The provided code is a Java class named `ResourceSymbolListReader` that reads symbol tables from files and processes each line of the file to extract information about resources such as types (e.g., int). If the resource type isn't "int," or if it doesn't match any supported types defined in SUPPORTED_TYPES, processing continues with the next</t>
        </is>
      </c>
      <c r="M58" t="n">
        <v>0.0034</v>
      </c>
      <c r="N58" t="n">
        <v>0.0303</v>
      </c>
      <c r="O58" t="n">
        <v>0.0397</v>
      </c>
    </row>
    <row r="59">
      <c r="A59" t="inlineStr">
        <is>
          <t>butterknife</t>
        </is>
      </c>
      <c r="B59" t="inlineStr">
        <is>
          <t>butterknife-gradle-plugin/src/main/java/butterknife/plugin/FinalRClassBuilder.kt</t>
        </is>
      </c>
      <c r="C59">
        <f>HYPERLINK("https://github.com/JakeWharton/butterknife/blob/master/butterknife-gradle-plugin/src/main/java/butterknife/plugin/FinalRClassBuilder.kt")</f>
        <v/>
      </c>
      <c r="D59" t="inlineStr">
        <is>
          <t>ThegivencodeisaboutgeneratingaJavafilecontainingclassesforeachresourcetypefromanAndroidapplication'sRfile.ItdoesthisbyreadingthroughdifferenttypesoffieldsinAnRfilelikeanimationarraysbooleanscolorsetc.Foreverytypeitcreatesafinalvalueinspecificclasswithcorrespondinglyaddingsupportannotationtoindicatewhatkindofresources</t>
        </is>
      </c>
      <c r="E59" t="n">
        <v>0</v>
      </c>
      <c r="F59" t="n">
        <v>0</v>
      </c>
      <c r="G59" t="n">
        <v>0</v>
      </c>
      <c r="H59" t="inlineStr">
        <is>
          <t>The provided code is a Java class that generates classes with all supported field names in an R file as final values and enables adding support annotations to indicate the type of resource for every field. It also supports generating classes from Android resources files (.xml). The complexity is O(n), where n represents the number of fields in the XML file.
Here's a concise summary of</t>
        </is>
      </c>
      <c r="I59" t="n">
        <v>0.0028</v>
      </c>
      <c r="J59" t="n">
        <v>0.0263</v>
      </c>
      <c r="K59" t="n">
        <v>0.0362</v>
      </c>
      <c r="L59" t="inlineStr">
        <is>
          <t>The provided code is a Java class named `FinalRClassBuilder` that generates a class with all supported field names in an R file as final values and enables adding support annotation to indicate the type of resource for every field. It takes two parameters - package name and class name during initialization. The purpose of this class seems to be managing resources from Android development context.
It analyzes the</t>
        </is>
      </c>
      <c r="M59" t="n">
        <v>0.0027</v>
      </c>
      <c r="N59" t="n">
        <v>0.0267</v>
      </c>
      <c r="O59" t="n">
        <v>0.07140000000000001</v>
      </c>
    </row>
    <row r="60">
      <c r="A60" t="inlineStr">
        <is>
          <t>butterknife</t>
        </is>
      </c>
      <c r="B60" t="inlineStr">
        <is>
          <t>butterknife-gradle-plugin/src/main/java/butterknife/plugin/ButterKnifePlugin.kt</t>
        </is>
      </c>
      <c r="C60">
        <f>HYPERLINK("https://github.com/JakeWharton/butterknife/blob/master/butterknife-gradle-plugin/src/main/java/butterknife/plugin/ButterKnifePlugin.kt")</f>
        <v/>
      </c>
      <c r="D60" t="inlineStr">
        <is>
          <t>The provided code is a plugin for Android Gradle build that extends the functionality of the project by applying Butter Knife library to it. It applies itself only when the project being built has been configured as a feature module in an android application and not directly applied on any other type of modules like app or library. The main purpose of this plugin seems to be generating R files (resource files) during the</t>
        </is>
      </c>
      <c r="E60" t="n">
        <v>0.0032</v>
      </c>
      <c r="F60" t="n">
        <v>0.0488</v>
      </c>
      <c r="G60" t="n">
        <v>0.137</v>
      </c>
      <c r="H60" t="inlineStr">
        <is>
          <t>The code you provided is a Gradle plugin for Android development named `class ButterKnifePlugin` which extends the functionality of the Gradle build system by applying various plugins to an Android project based on its configuration. 
Here's a concise summary of this code:
```plaintext
Title: Butter Knife Plugin for Android Development
Functionality: Applies</t>
        </is>
      </c>
      <c r="I60" t="n">
        <v>0.0035</v>
      </c>
      <c r="J60" t="n">
        <v>0.06560000000000001</v>
      </c>
      <c r="K60" t="n">
        <v>0.0806</v>
      </c>
      <c r="L60" t="inlineStr">
        <is>
          <t>The provided code is a plugin for Android Studio that uses ButterKnife library to simplify view binding in the project's Java or Kotlin files. 
It works by applying itself as a Gradle Plugin and then configuring an extension of type `FeatureExtension` which presumably holds configuration details related to feature modules within your Android application. The main purpose of this plugin seems</t>
        </is>
      </c>
      <c r="M60" t="n">
        <v>0.003</v>
      </c>
      <c r="N60" t="n">
        <v>0.0286</v>
      </c>
      <c r="O60" t="n">
        <v>0.1504</v>
      </c>
    </row>
    <row r="61">
      <c r="A61" t="inlineStr">
        <is>
          <t>butterknife</t>
        </is>
      </c>
      <c r="B61" t="inlineStr">
        <is>
          <t>butterknife-gradle-plugin/src/test/resources/fixtures/R2.java</t>
        </is>
      </c>
      <c r="C61">
        <f>HYPERLINK("https://github.com/JakeWharton/butterknife/blob/master/butterknife-gradle-plugin/src/test/resources/fixtures/R2.java")</f>
        <v/>
      </c>
      <c r="D61" t="inlineStr">
        <is>
          <t>ThegivencodeisforgeneratingresourcebindingusingButterKnifeGradleplugininAndroiddevelopment.Itusesseveraltypesofresourceslikeanimationfiles(@AnimRes),arrays(@ArrayRes),attributes(@AttrRes),booleans(@BoolRes),colors(@ColorRes),dimensions(@DimenRes),drawables(@DrawableRes),ids(@IdRes),inte</t>
        </is>
      </c>
      <c r="E61" t="n">
        <v>0</v>
      </c>
      <c r="F61" t="n">
        <v>0</v>
      </c>
      <c r="G61" t="n">
        <v>0</v>
      </c>
      <c r="H61" t="inlineStr">
        <is>
          <t>The code you provided is a Java class that uses the Butter Knife library to generate resource IDs for various resources in an Android project. The @ annotation on each of these classes indicates which type of resource they represent (e.g., animation, array). 
Here's a concise summary of this functionality: This class contains static final nested classes representing different types of resources used</t>
        </is>
      </c>
      <c r="I61" t="n">
        <v>0.0029</v>
      </c>
      <c r="J61" t="n">
        <v>0.0556</v>
      </c>
      <c r="K61" t="n">
        <v>0.0741</v>
      </c>
      <c r="L61" t="inlineStr">
        <is>
          <t>```plaintext
The provided code is a Java class named R2 that contains several static final classes representing resource types used in Android development. These resources are annotated with specific annotations from the Android Annotation library to indicate their type and ID. The purpose of this code seems to be for binding views (like EditText) to fields in your activity or fragment using Butter Knife</t>
        </is>
      </c>
      <c r="M61" t="n">
        <v>0.0028</v>
      </c>
      <c r="N61" t="n">
        <v>0.0278</v>
      </c>
      <c r="O61" t="n">
        <v>0.1103</v>
      </c>
    </row>
    <row r="62">
      <c r="A62" t="inlineStr">
        <is>
          <t>butterknife</t>
        </is>
      </c>
      <c r="B62" t="inlineStr">
        <is>
          <t>butterknife-gradle-plugin/src/test/fixtures/suffix_parsed_properly/src/main/java/butterknife/test/ButteryActivity.java</t>
        </is>
      </c>
      <c r="C62">
        <f>HYPERLINK("https://github.com/JakeWharton/butterknife/blob/master/butterknife-gradle-plugin/src/test/fixtures/suffix_parsed_properly/src/main/java/butterknife/test/ButteryActivity.java")</f>
        <v/>
      </c>
      <c r="D62" t="inlineStr">
        <is>
          <t>The provided code is a simple Android activity named "ButteryActivity". This class extends the Activity class from android.app package and uses ButterKnife library for view binding in its onCreate method. 
In this code, there are two annotations (@BindView and @OnClick). The annotation @BindView binds the TextView with id 'title' to variable</t>
        </is>
      </c>
      <c r="E62" t="n">
        <v>0.0043</v>
      </c>
      <c r="F62" t="n">
        <v>0.0667</v>
      </c>
      <c r="G62" t="n">
        <v>0.122</v>
      </c>
      <c r="H62" t="inlineStr">
        <is>
          <t>The code you provided is a simple example of using Butter Knife library in Android to bind views with annotations. It defines a class `ButteryActivity` that extends from the Activity class and uses the @BindView annotation to link the TextView 'title' field to its corresponding view id in the layout file. The onCreate method calls super.onCreate() followed by the binding operation which</t>
        </is>
      </c>
      <c r="I62" t="n">
        <v>0.0029</v>
      </c>
      <c r="J62" t="n">
        <v>0.0282</v>
      </c>
      <c r="K62" t="n">
        <v>0.0746</v>
      </c>
      <c r="L62" t="inlineStr">
        <is>
          <t>The provided code is a simple Android application with Butter Knife library for view binding in an Activity named ButteryActivity. The purpose of this class is to bind views using the @BindView annotation from the Butter Knife library. It sets up and initializes these bound views (in this case, title TextView). This process enhances readability, maintainability, and comprehensibility by reducing bo</t>
        </is>
      </c>
      <c r="M62" t="n">
        <v>0.0036</v>
      </c>
      <c r="N62" t="n">
        <v>0.058</v>
      </c>
      <c r="O62" t="n">
        <v>0.1128</v>
      </c>
    </row>
    <row r="63">
      <c r="A63" t="inlineStr">
        <is>
          <t>butterknife</t>
        </is>
      </c>
      <c r="B63" t="inlineStr">
        <is>
          <t>butterknife-gradle-plugin/src/test/java/butterknife/plugin/BuildFilesRule.kt</t>
        </is>
      </c>
      <c r="C63">
        <f>HYPERLINK("https://github.com/JakeWharton/butterknife/blob/master/butterknife-gradle-plugin/src/test/java/butterknife/plugin/BuildFilesRule.kt")</f>
        <v/>
      </c>
      <c r="D63" t="inlineStr">
        <is>
          <t>The provided code is a JUnit test rule that checks if the "settings.gradle" and "build.gradle" files exist in the given root directory of a project. If they don't exist, it creates them with empty content or copies their template from another location ("../..//build.gradle"), then reads and asserts the contents of these files using Truth library for</t>
        </is>
      </c>
      <c r="E63" t="n">
        <v>0.0033</v>
      </c>
      <c r="F63" t="n">
        <v>0.0294</v>
      </c>
      <c r="G63" t="n">
        <v>0.0781</v>
      </c>
      <c r="H63" t="inlineStr">
        <is>
          <t>The provided code is a JUnit test rule that checks if the "settings.gradle" and "build.gradle" files exist in the given root directory of a project. If they don't exist, it creates them with an empty content or copies from a template file ("../../build.gradle"), then reads their contents for assertions using Google Truth library. The complexity of this function is O</t>
        </is>
      </c>
      <c r="I63" t="n">
        <v>0.003</v>
      </c>
      <c r="J63" t="n">
        <v>0.0556</v>
      </c>
      <c r="K63" t="n">
        <v>0.1136</v>
      </c>
      <c r="L63" t="inlineStr">
        <is>
          <t>The provided code is a JUnit test rule for managing the existence and content of two files in an Android project - "settings.gradle" and "build.gradle". The purpose of this class is to ensure these files exist and are properly configured before running tests. If they don't exist or aren't correctly set up, it creates them with default values from templates located elsewhere in the repository</t>
        </is>
      </c>
      <c r="M63" t="n">
        <v>0.0028</v>
      </c>
      <c r="N63" t="n">
        <v>0.0526</v>
      </c>
      <c r="O63" t="n">
        <v>0.1095</v>
      </c>
    </row>
    <row r="64">
      <c r="A64" t="inlineStr">
        <is>
          <t>butterknife</t>
        </is>
      </c>
      <c r="B64" t="inlineStr">
        <is>
          <t>butterknife-gradle-plugin/src/test/java/butterknife/plugin/AndroidHome.kt</t>
        </is>
      </c>
      <c r="C64">
        <f>HYPERLINK("https://github.com/JakeWharton/butterknife/blob/master/butterknife-gradle-plugin/src/test/java/butterknife/plugin/AndroidHome.kt")</f>
        <v/>
      </c>
      <c r="D64" t="inlineStr">
        <is>
          <t>The provided code is a function named `androidHome` that retrieves the Android SDK directory path from environment variables or local properties file in Java. The complexity of this function is O(1), which means it runs with constant time complexity. 
It first checks if there exists an "ANDROID_HOME" environment variable and returns its value if present. If not</t>
        </is>
      </c>
      <c r="E64" t="n">
        <v>0.0032</v>
      </c>
      <c r="F64" t="n">
        <v>0.0896</v>
      </c>
      <c r="G64" t="n">
        <v>0.1163</v>
      </c>
      <c r="H64" t="inlineStr">
        <is>
          <t>The function `androidHome` is used to get the Android SDK directory path from environment variables or a local properties file in Java. It checks if "ANDROID_HOME" exists as an environmental variable and returns it; otherwise, it reads from a 'local.properties' file located at the parent of the current working directory where it looks for the property named "sdk.dir". If</t>
        </is>
      </c>
      <c r="I64" t="n">
        <v>0.0031</v>
      </c>
      <c r="J64" t="n">
        <v>0.0571</v>
      </c>
      <c r="K64" t="n">
        <v>0.07630000000000001</v>
      </c>
      <c r="L64" t="inlineStr">
        <is>
          <t>The provided code is a Java function that retrieves the Android SDK home directory path from either an environment variable "ANDROID_HOME" or a local properties file named "local.properties". If both are not found, it throws an Illegal State Exception with a message indicating missing 'ANDROID_HOME' environment variable or 'local.properties' file containing 'sdk.dir'. The</t>
        </is>
      </c>
      <c r="M64" t="n">
        <v>0</v>
      </c>
      <c r="N64" t="n">
        <v>0.0303</v>
      </c>
      <c r="O64" t="n">
        <v>0.04</v>
      </c>
    </row>
    <row r="65">
      <c r="A65" t="inlineStr">
        <is>
          <t>butterknife</t>
        </is>
      </c>
      <c r="B65" t="inlineStr">
        <is>
          <t>butterknife-gradle-plugin/src/test/java/butterknife/plugin/FixturesTest.kt</t>
        </is>
      </c>
      <c r="C65">
        <f>HYPERLINK("https://github.com/JakeWharton/butterknife/blob/master/butterknife-gradle-plugin/src/test/java/butterknife/plugin/FixturesTest.kt")</f>
        <v/>
      </c>
      <c r="D65" t="inlineStr">
        <is>
          <t>The provided code is a Junit test class named 'FixturesTest'. This class uses the Gradle Test Kit Runner to execute tests on Android projects using Butter Knife plugin. The fixtures are located in a directory specified by `fixtureRoot` and have names corresponding to `name` parameter of the constructor. 
In each test case (i.e.,</t>
        </is>
      </c>
      <c r="E65" t="n">
        <v>0.0041</v>
      </c>
      <c r="F65" t="n">
        <v>0.0645</v>
      </c>
      <c r="G65" t="n">
        <v>0.12</v>
      </c>
      <c r="H65" t="inlineStr">
        <is>
          <t>The provided code is a Gradle plugin test class named 'FixturesTest'. This class uses JUnit 4's parameterized tests to run against different fixtures located in the file system. The purpose of this test suite seems to be testing the Butter Knife library with various configurations and versions.
It initializes a local.properties file with an Android SDK directory path before</t>
        </is>
      </c>
      <c r="I65" t="n">
        <v>0.0037</v>
      </c>
      <c r="J65" t="n">
        <v>0.058</v>
      </c>
      <c r="K65" t="n">
        <v>0.1145</v>
      </c>
      <c r="L65" t="inlineStr">
        <is>
          <t>The provided code is a JUnit test class for Gradle that uses the Parameterized runner to run tests with different fixture roots and names. The main purpose of this code is to set up an Android project by writing into "local.properties" file specifying the location of the Android SDK directory (`androidHome` variable). It also sets the version of Butter Knife library being</t>
        </is>
      </c>
      <c r="M65" t="n">
        <v>0.0029</v>
      </c>
      <c r="N65" t="n">
        <v>0.0282</v>
      </c>
      <c r="O65" t="n">
        <v>0.1119</v>
      </c>
    </row>
    <row r="66">
      <c r="A66" t="inlineStr">
        <is>
          <t>butterknife</t>
        </is>
      </c>
      <c r="B66" t="inlineStr">
        <is>
          <t>butterknife-gradle-plugin/src/test/java/butterknife/plugin/FinalRClassBuilderTest.kt</t>
        </is>
      </c>
      <c r="C66">
        <f>HYPERLINK("https://github.com/JakeWharton/butterknife/blob/master/butterknife-gradle-plugin/src/test/java/butterknife/plugin/FinalRClassBuilderTest.kt")</f>
        <v/>
      </c>
      <c r="D66" t="inlineStr">
        <is>
          <t>The code is a test for the `brewJava` function in class `FinalRClassBuilderTest`. The purpose of this test is to verify that the generated Java source file matches an expected output after running through the `brewJava` method with certain parameters (inputs). 
It does so by creating temporary files and folders using JUnit's TemporaryFolder rule</t>
        </is>
      </c>
      <c r="E66" t="n">
        <v>0.0035</v>
      </c>
      <c r="F66" t="n">
        <v>0.0645</v>
      </c>
      <c r="G66" t="n">
        <v>0.12</v>
      </c>
      <c r="H66" t="inlineStr">
        <is>
          <t>The provided code is a Java test class for the butter knife plugin that generates R files based on input parameters and compares them with expected output using JUnit testing framework. The complexity of this function appears to be O(n), where n represents the number of lines in the source file being compared against the expected result. This could potentially increase if there are large differences between the two files.</t>
        </is>
      </c>
      <c r="I66" t="n">
        <v>0.0031</v>
      </c>
      <c r="J66" t="n">
        <v>0.0506</v>
      </c>
      <c r="K66" t="n">
        <v>0.1056</v>
      </c>
      <c r="L66" t="inlineStr">
        <is>
          <t>The provided code is a test for the `brewJava` function in class `FinalRClassBuilderTest`. This function seems to be responsible for processing an input file containing Java source code and generating corresponding output files with certain modifications applied. 
It does this by taking as inputs a resource file (`R.txt`), an output directory, package name, and some other parameters</t>
        </is>
      </c>
      <c r="M66" t="n">
        <v>0.0038</v>
      </c>
      <c r="N66" t="n">
        <v>0.09089999999999999</v>
      </c>
      <c r="O66" t="n">
        <v>0.1163</v>
      </c>
    </row>
    <row r="67">
      <c r="A67" t="inlineStr">
        <is>
          <t>butterknife</t>
        </is>
      </c>
      <c r="B67" t="inlineStr">
        <is>
          <t>butterknife-annotations/src/main/java/butterknife/BindDrawable.java</t>
        </is>
      </c>
      <c r="C67">
        <f>HYPERLINK("https://github.com/JakeWharton/butterknife/blob/master/butterknife-annotations/src/main/java/butterknife/BindDrawable.java")</f>
        <v/>
      </c>
      <c r="D67" t="inlineStr">
        <is>
          <t>The provided code is an annotation interface named `@BindDrawable` in the package butterknife. This interface is used to bind a field annotated with it to a drawable resource ID specified by its value parameter. The tint attribute can also be set using another color attribute resource ID from Android's attrs file. It has been designed for compile-time processing and will generate necessary</t>
        </is>
      </c>
      <c r="E67" t="n">
        <v>0.0035</v>
      </c>
      <c r="F67" t="n">
        <v>0.0556</v>
      </c>
      <c r="G67" t="n">
        <v>0.1119</v>
      </c>
      <c r="H67" t="inlineStr">
        <is>
          <t>ThegivenJava-basedAndroidapplicationusesButterKnifelibraryforviewbindinginactivitiesorfragments.ItimplementsannotationsystemtobindfieldsfromresourceslikeDrawablesandColors.Here'sasimplifiedversionofwhatitdoes:Inthiscontext,the@BindDrawableannotationindicateswhichdrawableresourceshouldbeassociatedwithabindingvariableatruntime.</t>
        </is>
      </c>
      <c r="I67" t="n">
        <v>0</v>
      </c>
      <c r="J67" t="n">
        <v>0</v>
      </c>
      <c r="K67" t="n">
        <v>0</v>
      </c>
      <c r="L67" t="inlineStr">
        <is>
          <t>The provided code is an annotation interface named "BindDrawable". This interface serves as a directive for ButterKnife library to bind fields annotated with @BindDrawable to the specified drawable resource ID and optionally tints it using color attribute from resources. The purpose of this code is to provide a more readable way to handle image loading in Android applications by reducing boilerplate</t>
        </is>
      </c>
      <c r="M67" t="n">
        <v>0.0036</v>
      </c>
      <c r="N67" t="n">
        <v>0.058</v>
      </c>
      <c r="O67" t="n">
        <v>0.1128</v>
      </c>
    </row>
    <row r="68">
      <c r="A68" t="inlineStr">
        <is>
          <t>butterknife</t>
        </is>
      </c>
      <c r="B68" t="inlineStr">
        <is>
          <t>butterknife-annotations/src/main/java/butterknife/OnEditorAction.java</t>
        </is>
      </c>
      <c r="C68">
        <f>HYPERLINK("https://github.com/JakeWharton/butterknife/blob/master/butterknife-annotations/src/main/java/butterknife/OnEditorAction.java")</f>
        <v/>
      </c>
      <c r="D68" t="inlineStr">
        <is>
          <t>ThegivenJava code is a ButterKnife library annotation that binds an `OnEditorActionListener` to the view for each ID specified in the method. The listener checks if there's any key event and displays it using Toast message. This process happens on all views with corresponding IDs defined in the annotated method. If the return type of the method is void, true will be</t>
        </is>
      </c>
      <c r="E68" t="n">
        <v>0.0036</v>
      </c>
      <c r="F68" t="n">
        <v>0.0286</v>
      </c>
      <c r="G68" t="n">
        <v>0.1128</v>
      </c>
      <c r="H68" t="inlineStr">
        <is>
          <t>The code you provided is a ButterKnife annotation that binds an `OnEditorActionListener` to the view for each ID specified in your layout file. The method annotated with this listener will be called whenever an action event occurs on any TextView within the view hierarchy of the current context (like when user presses return key or done button after typing text), and it takes three parameters -</t>
        </is>
      </c>
      <c r="I68" t="n">
        <v>0.0028</v>
      </c>
      <c r="J68" t="n">
        <v>0.0548</v>
      </c>
      <c r="K68" t="n">
        <v>0.0725</v>
      </c>
      <c r="L68" t="inlineStr">
        <is>
          <t>The provided code is for binding an {@link OnEditorActionListener#onEditorAction(android.widget.TextView, int, android.view.KeyEvent)} method to a view with the ID specified using ButterKnife library in Android development. The purpose of this code is to show a Toast message when an editor action occurs on the TextView associated with the given ID. This function takes</t>
        </is>
      </c>
      <c r="M68" t="n">
        <v>0.0035</v>
      </c>
      <c r="N68" t="n">
        <v>0.0606</v>
      </c>
      <c r="O68" t="n">
        <v>0.0806</v>
      </c>
    </row>
    <row r="69">
      <c r="A69" t="inlineStr">
        <is>
          <t>butterknife</t>
        </is>
      </c>
      <c r="B69" t="inlineStr">
        <is>
          <t>butterknife-annotations/src/main/java/butterknife/BindDimen.java</t>
        </is>
      </c>
      <c r="C69">
        <f>HYPERLINK("https://github.com/JakeWharton/butterknife/blob/master/butterknife-annotations/src/main/java/butterknife/BindDimen.java")</f>
        <v/>
      </c>
      <c r="D69" t="inlineStr">
        <is>
          <t>The provided code is an annotation interface named `@{@literal@}BindDimen` that binds a field to the specified dimension resource ID. The target of this binding can be either an integer or float type depending on whether you want the value in pixels (using {@code int}) or as exact amount (using {@code float}). This helps with managing resources and scalability by providing flexibility</t>
        </is>
      </c>
      <c r="E69" t="n">
        <v>0.0036</v>
      </c>
      <c r="F69" t="n">
        <v>0.0571</v>
      </c>
      <c r="G69" t="n">
        <v>0.0752</v>
      </c>
      <c r="H69" t="inlineStr">
        <is>
          <t>The provided code is an annotation interface in Java named `BindDimen` which binds a field to the specified dimension resource ID. The target of this binding can be either an integer for pixel size or a float for exact amount. This annotation has two fields - one with int type and another with float type that are bound to a certain dimens resource id (here R.dimen.horizontal</t>
        </is>
      </c>
      <c r="I69" t="n">
        <v>0.0033</v>
      </c>
      <c r="J69" t="n">
        <v>0.0533</v>
      </c>
      <c r="K69" t="n">
        <v>0.0725</v>
      </c>
      <c r="L69" t="inlineStr">
        <is>
          <t>The given code is an annotation interface named "BindDimen". This interface's purpose is to bind a field in the class it annotates to a specific dimension resource ID from the Android resources. The bound value can be either an integer for pixel size or float for exact amount of measurement units like inches etc. It uses ButterKnife library and has been implemented as part of core algorithms within backend</t>
        </is>
      </c>
      <c r="M69" t="n">
        <v>0.0035</v>
      </c>
      <c r="N69" t="n">
        <v>0.0769</v>
      </c>
      <c r="O69" t="n">
        <v>0.1773</v>
      </c>
    </row>
    <row r="70">
      <c r="A70" t="inlineStr">
        <is>
          <t>butterknife</t>
        </is>
      </c>
      <c r="B70" t="inlineStr">
        <is>
          <t>butterknife-annotations/src/main/java/butterknife/OnTextChanged.java</t>
        </is>
      </c>
      <c r="C70">
        <f>HYPERLINK("https://github.com/JakeWharton/butterknife/blob/master/butterknife-annotations/src/main/java/butterknife/OnTextChanged.java")</f>
        <v/>
      </c>
      <c r="D70" t="inlineStr">
        <is>
          <t>ThegivenJava-basedButterKnifelibraryisutilizedforautomaticallybindingUIwidgetseventslikeTextChangeeventsinAndroidapplications.Inparticular,itbindsa{@linkTextWatcher#onTextChanged(CharSequence,int,int,int)}eventhandlerfortheviewsidentifiedbytheirrespectiveids.Forinstance,ifthereismethodexample</t>
        </is>
      </c>
      <c r="E70" t="n">
        <v>0</v>
      </c>
      <c r="F70" t="n">
        <v>0</v>
      </c>
      <c r="G70" t="n">
        <v>0</v>
      </c>
      <c r="H70" t="inlineStr">
        <is>
          <t>The code provided is a Java annotation for ButterKnife library in Android development. It's used to bind an event listener (in this case TextWatcher onTextChanged method) to the View specified by @IdRes id parameter of each methods annotated with it. The complexity here would be O(n), where n represents number of such methods present in your class. This means that</t>
        </is>
      </c>
      <c r="I70" t="n">
        <v>0.003</v>
      </c>
      <c r="J70" t="n">
        <v>0.0286</v>
      </c>
      <c r="K70" t="n">
        <v>0.07580000000000001</v>
      </c>
      <c r="L70" t="inlineStr">
        <is>
          <t>kTextViewExample")public void onTextChanged(CharSequence s, int start, int before, int count) { Toast.makeText(MainActivity.this, "Text changed", Toast.LENGTH_LONG).show(); } *&lt;/code&gt;&lt;/pre&gt;***/
The code provided is a part of the ButterKnife library for Android development in</t>
        </is>
      </c>
      <c r="M70" t="n">
        <v>0</v>
      </c>
      <c r="N70" t="n">
        <v>0.0435</v>
      </c>
      <c r="O70" t="n">
        <v>0.0485</v>
      </c>
    </row>
    <row r="71">
      <c r="A71" t="inlineStr">
        <is>
          <t>butterknife</t>
        </is>
      </c>
      <c r="B71" t="inlineStr">
        <is>
          <t>butterknife-annotations/src/main/java/butterknife/OnCheckedChanged.java</t>
        </is>
      </c>
      <c r="C71">
        <f>HYPERLINK("https://github.com/JakeWharton/butterknife/blob/master/butterknife-annotations/src/main/java/butterknife/OnCheckedChanged.java")</f>
        <v/>
      </c>
      <c r="D71" t="inlineStr">
        <is>
          <t>ThegivenJava code is a ButterKnife library annotation that binds an `OnCheckedChangeListener` to the view for each ID specified in Android development. The listener triggers when the state of a Compound Button (like CheckBox or Switch) changes from checked to unchecked and vice versa. It displays a Toast message indicating whether it's currently "Checked" or "</t>
        </is>
      </c>
      <c r="E71" t="n">
        <v>0.0033</v>
      </c>
      <c r="F71" t="n">
        <v>0.0317</v>
      </c>
      <c r="G71" t="n">
        <v>0.0394</v>
      </c>
      <c r="H71" t="inlineStr">
        <is>
          <t>The provided code is a Java annotation for ButterKnife library in Android development. It's used to bind an on-check change listener (`OnCheckedChangeListener`) to the view specified by each ID. The annotated method will be called whenever the state of `CompoundButton` changes due to user interaction with it. This is done using reflection at compile time and runtime.</t>
        </is>
      </c>
      <c r="I71" t="n">
        <v>0.0038</v>
      </c>
      <c r="J71" t="n">
        <v>0.0597</v>
      </c>
      <c r="K71" t="n">
        <v>0.1163</v>
      </c>
      <c r="L71" t="inlineStr">
        <is>
          <t>ThegivenJavaAndroidsourcecodeusesButterKnife,aframeworkthatautomaticallyinjectsonetouchhandlingeventsintotheviewsbyusingreflectionatruntime.Itbindsa{@link OnCheckedChangeListener},whichgetsattachedontoaviewforeachtargetIDspecified.Forinstance,insideonChecked()method,whenthestateofacompound</t>
        </is>
      </c>
      <c r="M71" t="n">
        <v>0</v>
      </c>
      <c r="N71" t="n">
        <v>0</v>
      </c>
      <c r="O71" t="n">
        <v>0</v>
      </c>
    </row>
    <row r="72">
      <c r="A72" t="inlineStr">
        <is>
          <t>butterknife</t>
        </is>
      </c>
      <c r="B72" t="inlineStr">
        <is>
          <t>butterknife-annotations/src/main/java/butterknife/BindAnim.java</t>
        </is>
      </c>
      <c r="C72">
        <f>HYPERLINK("https://github.com/JakeWharton/butterknife/blob/master/butterknife-annotations/src/main/java/butterknife/BindAnim.java")</f>
        <v/>
      </c>
      <c r="D72" t="inlineStr">
        <is>
          <t>The provided code defines an annotation interface named `@BindAnim` that is used to bind a field to the specified animation resource ID. The target of this annotation is any field and it will be retained at runtime. This means its value will not get erased during compilation but can still be accessed by reflection or other mechanisms in Java. It's expected to work with Android applications where anim</t>
        </is>
      </c>
      <c r="E72" t="n">
        <v>0.0032</v>
      </c>
      <c r="F72" t="n">
        <v>0.0519</v>
      </c>
      <c r="G72" t="n">
        <v>0.1071</v>
      </c>
      <c r="H72" t="inlineStr">
        <is>
          <t>The provided code is a Java annotation interface named "BindAnim". This interface is used to bind an animation resource ID to the annotated field in Android development. The annotation has one attribute called 'value', which represents the Animation resource ID that will be bound to the annotated field.
The complexity of this piece of code is O(1), as it contains only a single</t>
        </is>
      </c>
      <c r="I72" t="n">
        <v>0.0029</v>
      </c>
      <c r="J72" t="n">
        <v>0.0278</v>
      </c>
      <c r="K72" t="n">
        <v>0.0741</v>
      </c>
      <c r="L72" t="inlineStr">
        <is>
          <t>ThegivenJavaSourcecodebindsthefieldtorunnerobtainedfromspecifiedanimationresourcedefinedby"R.anim.fade_in".Itensuresthatanychangesmadeintotheanimationcanbepersistedforfutureuse.
```java
package butterknife;
import androidx.annotation.AnimRes;
import java.</t>
        </is>
      </c>
      <c r="M72" t="n">
        <v>0</v>
      </c>
      <c r="N72" t="n">
        <v>0</v>
      </c>
      <c r="O72" t="n">
        <v>0</v>
      </c>
    </row>
    <row r="73">
      <c r="A73" t="inlineStr">
        <is>
          <t>butterknife</t>
        </is>
      </c>
      <c r="B73" t="inlineStr">
        <is>
          <t>butterknife-annotations/src/main/java/butterknife/OnClick.java</t>
        </is>
      </c>
      <c r="C73">
        <f>HYPERLINK("https://github.com/JakeWharton/butterknife/blob/master/butterknife-annotations/src/main/java/butterknife/OnClick.java")</f>
        <v/>
      </c>
      <c r="D73" t="inlineStr">
        <is>
          <t>The provided code is a ButterKnife library annotation for setting an OnClickListener on the view with specified IDs and handling click events in each of these views. The method annotated with @OnClick can take any number of parameters from the View's onClick() method. This simplifies event binding by reducing boilerplate code. It also provides runtime checks to ensure that all necessary</t>
        </is>
      </c>
      <c r="E73" t="n">
        <v>0.0036</v>
      </c>
      <c r="F73" t="n">
        <v>0.0286</v>
      </c>
      <c r="G73" t="n">
        <v>0.0752</v>
      </c>
      <c r="H73" t="inlineStr">
        <is>
          <t>The code you provided is a Java annotation for ButterKnife library which binds an OnClick event to the view with specified ID and executes some action when clicked (in this case displaying a Toast message). The complexity of this operation is O(1), as it involves binding one click listener to a specific view in constant time.
In summary, this piece of code provides functionality</t>
        </is>
      </c>
      <c r="I73" t="n">
        <v>0.0034</v>
      </c>
      <c r="J73" t="n">
        <v>0.0548</v>
      </c>
      <c r="K73" t="n">
        <v>0.1103</v>
      </c>
      <c r="L73" t="inlineStr">
        <is>
          <t>ThegivencodeusesButterKnife,alibraryforhandlingcommonAndroidtaskslikefindingviewsbytheirresourceidsandsettinglistenersonthoseviews.Here'sabriefoverview:Thecodebindsa{@link OnClickListener#onClick(android.view.View)}methodtothespecifiedviewswithinourapplicationusingreflection.Itdoesnottake</t>
        </is>
      </c>
      <c r="M73" t="n">
        <v>0</v>
      </c>
      <c r="N73" t="n">
        <v>0</v>
      </c>
      <c r="O73" t="n">
        <v>0</v>
      </c>
    </row>
    <row r="74">
      <c r="A74" t="inlineStr">
        <is>
          <t>butterknife</t>
        </is>
      </c>
      <c r="B74" t="inlineStr">
        <is>
          <t>butterknife-annotations/src/main/java/butterknife/OnItemLongClick.java</t>
        </is>
      </c>
      <c r="C74">
        <f>HYPERLINK("https://github.com/JakeWharton/butterknife/blob/master/butterknife-annotations/src/main/java/butterknife/OnItemLongClick.java")</f>
        <v/>
      </c>
      <c r="D74" t="inlineStr">
        <is>
          <t>The given code is a ButterKnife library annotation for an onItemLongClick method in Android. It binds the annotated method to an OnItemLongClickListener of a view with each ID specified (in this case R.id.example_list), and executes the provided logic when any item within that list has been long-pressed by the user. The function returns true if the</t>
        </is>
      </c>
      <c r="E74" t="n">
        <v>0.0033</v>
      </c>
      <c r="F74" t="n">
        <v>0.0882</v>
      </c>
      <c r="G74" t="n">
        <v>0.1172</v>
      </c>
      <c r="H74" t="inlineStr">
        <is>
          <t>The provided code is a Java implementation of the ButterKnife library's `@OnItemLongClick` annotation which binds an event listener to a list view item long click event on Android. The method annotated with this will be called when the specified list view item is clicked for a longer duration than usual (typically more than 5 seconds), and it returns true if the event was</t>
        </is>
      </c>
      <c r="I74" t="n">
        <v>0.0029</v>
      </c>
      <c r="J74" t="n">
        <v>0.0556</v>
      </c>
      <c r="K74" t="n">
        <v>0.1111</v>
      </c>
      <c r="L74" t="inlineStr">
        <is>
          <t>ThegivenJavaSourcelongswithButterKnifelibraryhasbeenanalyzedforaclarsummary.Itidentifiesthatthiscodebindsa@{link OnItemLongClickListener} method to each view with a specified ID for long click events. The code implements an onItemLongClick listener that displays a Toast message indicating the position of the item clicked and returns true to</t>
        </is>
      </c>
      <c r="M74" t="n">
        <v>0.0061</v>
      </c>
      <c r="N74" t="n">
        <v>0.08699999999999999</v>
      </c>
      <c r="O74" t="n">
        <v>0.0926</v>
      </c>
    </row>
    <row r="75">
      <c r="A75" t="inlineStr">
        <is>
          <t>butterknife</t>
        </is>
      </c>
      <c r="B75" t="inlineStr">
        <is>
          <t>butterknife-annotations/src/main/java/butterknife/BindColor.java</t>
        </is>
      </c>
      <c r="C75">
        <f>HYPERLINK("https://github.com/JakeWharton/butterknife/blob/master/butterknife-annotations/src/main/java/butterknife/BindColor.java")</f>
        <v/>
      </c>
      <c r="D75" t="inlineStr">
        <is>
          <t>The provided code is an annotation interface named `@BindColor` in the package `butterknife`. This interface is used to bind a field annotated with it to a specific color resource ID at compile time. The target of this binding can be either an integer or an instance of `android.content.res.ColorStateList`. It's designed for use with libraries like</t>
        </is>
      </c>
      <c r="E75" t="n">
        <v>0.0033</v>
      </c>
      <c r="F75" t="n">
        <v>0.0299</v>
      </c>
      <c r="G75" t="n">
        <v>0.07870000000000001</v>
      </c>
      <c r="H75" t="inlineStr">
        <is>
          <t>The provided code is an annotation interface named "BindColor". It's used to bind a field in the class with a color resource ID from Android resources. The target of this binding can be either an integer or a ColorStateList object and it will be bound to the specified color resource ID. This allows for dynamic changes of colors without changing the actual resource file.
In summary,</t>
        </is>
      </c>
      <c r="I75" t="n">
        <v>0.0033</v>
      </c>
      <c r="J75" t="n">
        <v>0.0533</v>
      </c>
      <c r="K75" t="n">
        <v>0.1087</v>
      </c>
      <c r="L75" t="inlineStr">
        <is>
          <t>The provided code is an annotation interface named "BindColor". This interface's main purpose appears to be binding a field in the annotated class with a specific color resource ID from Android resources. The input of this function would be a Color Resource ID and output will be a bound color or Color State List depending on type of variable being used for bind operation. It has O(1) time complexity</t>
        </is>
      </c>
      <c r="M75" t="n">
        <v>0.0031</v>
      </c>
      <c r="N75" t="n">
        <v>0.0759</v>
      </c>
      <c r="O75" t="n">
        <v>0.1064</v>
      </c>
    </row>
    <row r="76">
      <c r="A76" t="inlineStr">
        <is>
          <t>butterknife</t>
        </is>
      </c>
      <c r="B76" t="inlineStr">
        <is>
          <t>butterknife-annotations/src/main/java/butterknife/Optional.java</t>
        </is>
      </c>
      <c r="C76">
        <f>HYPERLINK("https://github.com/JakeWharton/butterknife/blob/master/butterknife-annotations/src/main/java/butterknife/Optional.java")</f>
        <v/>
      </c>
      <c r="D76" t="inlineStr">
        <is>
          <t>The provided code is a Java annotation named `@Optional` used for ButterKnife library in Android development. This annotation indicates that the view specified by injection (i.e., R.id.subtitle) might not be present at runtime and it does not cause any compilation error or warning if such view doesn't exist. The annotated method will still compile but won't perform</t>
        </is>
      </c>
      <c r="E76" t="n">
        <v>0.0038</v>
      </c>
      <c r="F76" t="n">
        <v>0.0571</v>
      </c>
      <c r="G76" t="n">
        <v>0.1163</v>
      </c>
      <c r="H76" t="inlineStr">
        <is>
          <t>The provided code is a Java annotation named Optional that can be used to denote methods in the ButterKnife library where the view specified by injection does not have to be present for the method to execute successfully. The complexity of this function is O(n), as it involves processing each element of an array or collection once. It's also worth noting that its size (number of lines) is</t>
        </is>
      </c>
      <c r="I76" t="n">
        <v>0</v>
      </c>
      <c r="J76" t="n">
        <v>0.0513</v>
      </c>
      <c r="K76" t="n">
        <v>0.07140000000000001</v>
      </c>
      <c r="L76" t="inlineStr">
        <is>
          <t>ThegivenJava8sourcecodeusesButterKnife's`@Optional` annotation to indicate that the view specified by the injection is not required for the method annotated with `@OnClick` to be present. The code defines an interface named Optional which uses Java 8's annotation feature and applies it on a method called `onSubtitleClick` in R.id.sub</t>
        </is>
      </c>
      <c r="M76" t="n">
        <v>0.004</v>
      </c>
      <c r="N76" t="n">
        <v>0.0339</v>
      </c>
      <c r="O76" t="n">
        <v>0.0847</v>
      </c>
    </row>
    <row r="77">
      <c r="A77" t="inlineStr">
        <is>
          <t>butterknife</t>
        </is>
      </c>
      <c r="B77" t="inlineStr">
        <is>
          <t>butterknife-annotations/src/main/java/butterknife/OnItemClick.java</t>
        </is>
      </c>
      <c r="C77">
        <f>HYPERLINK("https://github.com/JakeWharton/butterknife/blob/master/butterknife-annotations/src/main/java/butterknife/OnItemClick.java")</f>
        <v/>
      </c>
      <c r="D77" t="inlineStr">
        <is>
          <t>The provided code is a ButterKnife library annotation that binds an onItemClick method to the specified AdapterView (e.g., ListView or Spinner), for each ID specified in the @OnItemClick annotation. The annotated method will be called when any item of the list view is clicked and it provides parameters such as position, view, etc. from the</t>
        </is>
      </c>
      <c r="E77" t="n">
        <v>0.0033</v>
      </c>
      <c r="F77" t="n">
        <v>0.0312</v>
      </c>
      <c r="G77" t="n">
        <v>0.0394</v>
      </c>
      <c r="H77" t="inlineStr">
        <is>
          <t>The provided code is an annotation for ButterKnife library in Android which binds a method to the OnItemClickListener on each view specified by IDs. The complexity of this operation is O(n), where n represents the number of views being targeted with the annotated methods. It's used as part of the Butter Knife library to reduce boilerplate code related to event handling</t>
        </is>
      </c>
      <c r="I77" t="n">
        <v>0</v>
      </c>
      <c r="J77" t="n">
        <v>0.0282</v>
      </c>
      <c r="K77" t="n">
        <v>0.0752</v>
      </c>
      <c r="L77" t="inlineStr">
        <is>
          <t>ThegivenJavaAndroidcodefileusesButterKnife,aframeworkforhandlingcommonUIeventslikeclickingabuttonoriteminagridview.Itbindsa{@link OnItemClickListener#onItemClick(AdapterView, View, int, long)}eventtospecificviewsdefinedbytheirresourceidsusingcustomannotations.Theprimaryroleofthiscode</t>
        </is>
      </c>
      <c r="M77" t="n">
        <v>0</v>
      </c>
      <c r="N77" t="n">
        <v>0</v>
      </c>
      <c r="O77" t="n">
        <v>0</v>
      </c>
    </row>
    <row r="78">
      <c r="A78" t="inlineStr">
        <is>
          <t>butterknife</t>
        </is>
      </c>
      <c r="B78" t="inlineStr">
        <is>
          <t>butterknife-annotations/src/main/java/butterknife/OnFocusChange.java</t>
        </is>
      </c>
      <c r="C78">
        <f>HYPERLINK("https://github.com/JakeWharton/butterknife/blob/master/butterknife-annotations/src/main/java/butterknife/OnFocusChange.java")</f>
        <v/>
      </c>
      <c r="D78" t="inlineStr">
        <is>
          <t>ThegivenJava code is a ButterKnife annotation that binds an OnFocusChangeListener to the View for each ID specified in the method parameter. The listener triggers when there's focus change on any view with the ID provided. If focused, it shows a Toast message "Gained Focus". Otherwise, it displays "Lost Focus". It can take multiple parameters from the `onFocus</t>
        </is>
      </c>
      <c r="E78" t="n">
        <v>0</v>
      </c>
      <c r="F78" t="n">
        <v>0</v>
      </c>
      <c r="G78" t="n">
        <v>0</v>
      </c>
      <c r="H78" t="inlineStr">
        <is>
          <t>The provided code is a Java annotation for ButterKnife library which binds an OnFocusChangeListener to the View object with specified IDs. The method annotated will be called whenever focus changes on any of these views. This implementation uses core algorithms and data structures such as arrays or linked lists but does not involve complex mathematical operations. It has O(n) complexity where n represents number of fields</t>
        </is>
      </c>
      <c r="I78" t="n">
        <v>0.0036</v>
      </c>
      <c r="J78" t="n">
        <v>0.1067</v>
      </c>
      <c r="K78" t="n">
        <v>0.1812</v>
      </c>
      <c r="L78" t="inlineStr">
        <is>
          <t>ThegivenJavaSourcelibraryusesButterKnifeforbindingviewsintheAndroidapplicationtocustomlisteners.IthasaMainPurposeOfBindingAMethodThatIsMarkedWith'@OnFocusChange'AnnotationontoEachSpecifiedViewByIdinXMLorProgrammatically.WhenInvoked,ItShowsafocuschangedmessagebasedongainorfocusthatissent</t>
        </is>
      </c>
      <c r="M78" t="n">
        <v>0</v>
      </c>
      <c r="N78" t="n">
        <v>0</v>
      </c>
      <c r="O78" t="n">
        <v>0</v>
      </c>
    </row>
    <row r="79">
      <c r="A79" t="inlineStr">
        <is>
          <t>butterknife</t>
        </is>
      </c>
      <c r="B79" t="inlineStr">
        <is>
          <t>butterknife-annotations/src/main/java/butterknife/BindBool.java</t>
        </is>
      </c>
      <c r="C79">
        <f>HYPERLINK("https://github.com/JakeWharton/butterknife/blob/master/butterknife-annotations/src/main/java/butterknife/BindBool.java")</f>
        <v/>
      </c>
      <c r="D79" t="inlineStr">
        <is>
          <t>The provided code is a custom annotation interface named "BindBool". This annotation is used to bind boolean values from Android resources (R.bool). The annotated field will be bound with the specified boolean resource ID during runtime. It's designed for use in conjunction with libraries like ButterKnife which can automatically inject views and resolve their IDs at compile time.
```
Please note that</t>
        </is>
      </c>
      <c r="E79" t="n">
        <v>0.0035</v>
      </c>
      <c r="F79" t="n">
        <v>0.0563</v>
      </c>
      <c r="G79" t="n">
        <v>0.1119</v>
      </c>
      <c r="H79" t="inlineStr">
        <is>
          <t>The provided code is an annotation interface named BindBool in Java that binds a boolean field to the specified Boolean resource ID. The @Target and @Retention are used for specifying where this annotation can be applied (to fields only), and when it will be retained by JVM at runtime respectively. It's complexity is O(1) as there is no loop or recursion involved</t>
        </is>
      </c>
      <c r="I79" t="n">
        <v>0.0029</v>
      </c>
      <c r="J79" t="n">
        <v>0.0556</v>
      </c>
      <c r="K79" t="n">
        <v>0.1119</v>
      </c>
      <c r="L79" t="inlineStr">
        <is>
          <t>ThegivenJavaSourceCodebindsfiledstobooleanresourcespecifiedbytheirresourcedefinitionfiledirectlyinXMLorJSONformatusingButterKnifelibrary.Itusesannotationsystemfordeclarationwhichspecifiesbindingtargetfieldsandassociatedbooleantargetressourcesidentifiers.Thecodeprovidesaframeworkthatmakesdevelopertaskmoreefficientby</t>
        </is>
      </c>
      <c r="M79" t="n">
        <v>0</v>
      </c>
      <c r="N79" t="n">
        <v>0</v>
      </c>
      <c r="O79" t="n">
        <v>0</v>
      </c>
    </row>
    <row r="80">
      <c r="A80" t="inlineStr">
        <is>
          <t>butterknife</t>
        </is>
      </c>
      <c r="B80" t="inlineStr">
        <is>
          <t>butterknife-annotations/src/main/java/butterknife/BindView.java</t>
        </is>
      </c>
      <c r="C80">
        <f>HYPERLINK("https://github.com/JakeWharton/butterknife/blob/master/butterknife-annotations/src/main/java/butterknife/BindView.java")</f>
        <v/>
      </c>
      <c r="D80" t="inlineStr">
        <is>
          <t>```python
# This is a custom annotation interface in Java for binding fields to views with specified IDs. 
# The view will automatically be casted (or bound) to the field type.
from typing import Any
def BindView(@IdRes int value()):
    pass
```
In this code snippet, `BindView`</t>
        </is>
      </c>
      <c r="E80" t="n">
        <v>0.004</v>
      </c>
      <c r="F80" t="n">
        <v>0.0385</v>
      </c>
      <c r="G80" t="n">
        <v>0.0424</v>
      </c>
      <c r="H80" t="inlineStr">
        <is>
          <t>ThisisabackendcomponentthatutilizesJava'sreflectionfeaturetoimplementruntimebindingbetweenfieldsandviewsbasedontheirrespectiveidentifiersinAndroidapplications.Itusesannotationsystemtoindicatewhichfieldsneedtobesetupforautomaticdependencyinjectionatruntime.Inthiscontext,itbindsaTextViewwithidentifier"R.id.title".Thecomplexityof</t>
        </is>
      </c>
      <c r="I80" t="n">
        <v>0</v>
      </c>
      <c r="J80" t="n">
        <v>0</v>
      </c>
      <c r="K80" t="n">
        <v>0</v>
      </c>
      <c r="L80" t="inlineStr">
        <is>
          <t>```java
// This code is a custom annotation interface in Java that binds a field to the view for the specified ID. 
// The annotated field will automatically be casted to the type of the corresponding View during runtime.
@Retention(RUNTIME) // Indicates this annotation should be available at runtime
@Target(FIELD)     //</t>
        </is>
      </c>
      <c r="M80" t="n">
        <v>0.0036</v>
      </c>
      <c r="N80" t="n">
        <v>0.0351</v>
      </c>
      <c r="O80" t="n">
        <v>0.0407</v>
      </c>
    </row>
    <row r="81">
      <c r="A81" t="inlineStr">
        <is>
          <t>butterknife</t>
        </is>
      </c>
      <c r="B81" t="inlineStr">
        <is>
          <t>butterknife-annotations/src/main/java/butterknife/BindViews.java</t>
        </is>
      </c>
      <c r="C81">
        <f>HYPERLINK("https://github.com/JakeWharton/butterknife/blob/master/butterknife-annotations/src/main/java/butterknife/BindViews.java")</f>
        <v/>
      </c>
      <c r="D81" t="inlineStr">
        <is>
          <t>```python
# This is a custom annotation @BindViews used for binding fields to views in Android development using ButterKnife library. 
# The purpose of this annotation is to automatically cast the view (e.g., TextView or Button etc.) to its respective field type.
from java.lang.annotation import Retention, Target
from static java.</t>
        </is>
      </c>
      <c r="E81" t="n">
        <v>0.0037</v>
      </c>
      <c r="F81" t="n">
        <v>0.0339</v>
      </c>
      <c r="G81" t="n">
        <v>0.082</v>
      </c>
      <c r="H81" t="inlineStr">
        <is>
          <t>ThisisacodeforabindingsinterfaceinAndroidusingButterKnifelibrary.ItusesJava'sannotationprocessingtobindfieldsfromXMLlayoutstoobjectsinyourapp.ThecomplexityisthenumberofviewsyouwanttoundefinewiththisannotationwhichcouldbedeterminedasON. The complexity of this code is O(n).
 README: This repository</t>
        </is>
      </c>
      <c r="I81" t="n">
        <v>0.0189</v>
      </c>
      <c r="J81" t="n">
        <v>0.08699999999999999</v>
      </c>
      <c r="K81" t="n">
        <v>0.0602</v>
      </c>
      <c r="L81" t="inlineStr">
        <is>
          <t>```python
# This code is a custom annotation interface in Java that binds fields to the views for specified IDs. 
# The annotated field will automatically be casted to the corresponding view type when injecting dependencies into an Android application using ButterKnife library. 
# It takes as input an array of resource id's which represent the ViewIds to which</t>
        </is>
      </c>
      <c r="M81" t="n">
        <v>0.0031</v>
      </c>
      <c r="N81" t="n">
        <v>0.0308</v>
      </c>
      <c r="O81" t="n">
        <v>0.07630000000000001</v>
      </c>
    </row>
    <row r="82">
      <c r="A82" t="inlineStr">
        <is>
          <t>butterknife</t>
        </is>
      </c>
      <c r="B82" t="inlineStr">
        <is>
          <t>butterknife-annotations/src/main/java/butterknife/OnTouch.java</t>
        </is>
      </c>
      <c r="C82">
        <f>HYPERLINK("https://github.com/JakeWharton/butterknife/blob/master/butterknife-annotations/src/main/java/butterknife/OnTouch.java")</f>
        <v/>
      </c>
      <c r="D82" t="inlineStr">
        <is>
          <t>The provided code is a ButterKnife library annotation that binds an `onTouch` method to the specified view ID on the View object using the OnTouchListener interface from Android's View class. The annotated method will be called whenever there is touch event (like pressing or releasing finger on screen) happens on the associated view. 
If the return type of</t>
        </is>
      </c>
      <c r="E82" t="n">
        <v>0</v>
      </c>
      <c r="F82" t="n">
        <v>0</v>
      </c>
      <c r="G82" t="n">
        <v>0.0385</v>
      </c>
      <c r="H82" t="inlineStr">
        <is>
          <t>The code you provided is for a ButterKnife library in Java which binds views to methods annotated with @OnTouch annotation on the view and sets an OnTouchListener on it. The complexity of this operation is O(n), where n represents the number of fields that need binding. It's used when we want to perform some action (like showing Toast message or returning false from</t>
        </is>
      </c>
      <c r="I82" t="n">
        <v>0.0029</v>
      </c>
      <c r="J82" t="n">
        <v>0.0274</v>
      </c>
      <c r="K82" t="n">
        <v>0.1111</v>
      </c>
      <c r="L82" t="inlineStr">
        <is>
          <t>ThegivenJavaSourcecodebindsmultipleviewsintheactivityusingButterKnife'sonTouchListenerfeature.Itregistersa{@link View.OnTouchListener OnTouchListener}forachviewidentifiedbyresourcedescription"R.id.example".Wheninvoked,itdisplaysatostmessageindicatingthattheviewhasbeenpressed.Ifanyother</t>
        </is>
      </c>
      <c r="M82" t="n">
        <v>0</v>
      </c>
      <c r="N82" t="n">
        <v>0</v>
      </c>
      <c r="O82" t="n">
        <v>0</v>
      </c>
    </row>
    <row r="83">
      <c r="A83" t="inlineStr">
        <is>
          <t>butterknife</t>
        </is>
      </c>
      <c r="B83" t="inlineStr">
        <is>
          <t>butterknife-annotations/src/main/java/butterknife/BindFont.java</t>
        </is>
      </c>
      <c r="C83">
        <f>HYPERLINK("https://github.com/JakeWharton/butterknife/blob/master/butterknife-annotations/src/main/java/butterknife/BindFont.java")</f>
        <v/>
      </c>
      <c r="D83" t="inlineStr">
        <is>
          <t>The provided code is for a custom annotation in ButterKnife library named @BindFont. This annotation binds the annotated field to a Typeface resource specified by its ID and style (normal, bold, italic or bold-italic). The complexity of this implementation is O(1), as it involves defining an interface with some predefined constants and annotations. It's worth</t>
        </is>
      </c>
      <c r="E83" t="n">
        <v>0.004</v>
      </c>
      <c r="F83" t="n">
        <v>0.09089999999999999</v>
      </c>
      <c r="G83" t="n">
        <v>0.1181</v>
      </c>
      <c r="H83" t="inlineStr">
        <is>
          <t>The provided code is an annotation interface `@BindFont` that binds a field to the specified font resource ID from Android. The annotated fields are bound with specific typefaces and styles when ButterKnife library processes them during runtime. This process enhances performance by reducing reflection calls in runtime. It also provides compile-time checking for valid font resources and style values.
In summary</t>
        </is>
      </c>
      <c r="I83" t="n">
        <v>0.0036</v>
      </c>
      <c r="J83" t="n">
        <v>0.0571</v>
      </c>
      <c r="K83" t="n">
        <v>0.0752</v>
      </c>
      <c r="L83" t="inlineStr">
        <is>
          <t>The provided code is an annotation interface named "BindFont". This interface serves as a binding mechanism for fields to specific font resources identified by their resource ID (resId). The resId and style of the typeface are parameters that can be specified when using this annotation on a field declaration in your Android project. It provides a direct way to bind UI elements with custom fonts without having to manually set them</t>
        </is>
      </c>
      <c r="M83" t="n">
        <v>0.003</v>
      </c>
      <c r="N83" t="n">
        <v>0.0506</v>
      </c>
      <c r="O83" t="n">
        <v>0.1049</v>
      </c>
    </row>
    <row r="84">
      <c r="A84" t="inlineStr">
        <is>
          <t>butterknife</t>
        </is>
      </c>
      <c r="B84" t="inlineStr">
        <is>
          <t>butterknife-annotations/src/main/java/butterknife/BindString.java</t>
        </is>
      </c>
      <c r="C84">
        <f>HYPERLINK("https://github.com/JakeWharton/butterknife/blob/master/butterknife-annotations/src/main/java/butterknife/BindString.java")</f>
        <v/>
      </c>
      <c r="D84" t="inlineStr">
        <is>
          <t>The provided code is an annotation interface named `@BindString` that binds a field to the specified string resource ID at runtime. The annotated fields are expected to be of type String and should contain the string resource's id (e.g., R.string.username_error). This allows for dynamic access to strings in different languages without hard-coding them into your application.</t>
        </is>
      </c>
      <c r="E84" t="n">
        <v>0.0039</v>
      </c>
      <c r="F84" t="n">
        <v>0.0286</v>
      </c>
      <c r="G84" t="n">
        <v>0.0781</v>
      </c>
      <c r="H84" t="inlineStr">
        <is>
          <t>The provided code is an annotation interface in Java named `BindString` which binds a field to the specified string resource ID. The complexity of this function is O(1), as it performs constant time operations regardless of input size. This function has one method called `value()` that returns the integer value representing the String resource ID for binding purposes. It also contains Javadoc comments explaining its</t>
        </is>
      </c>
      <c r="I84" t="n">
        <v>0.0028</v>
      </c>
      <c r="J84" t="n">
        <v>0.0541</v>
      </c>
      <c r="K84" t="n">
        <v>0.073</v>
      </c>
      <c r="L84" t="inlineStr">
        <is>
          <t>ThegivenJava8sourcecodeusesaJavadoccommentedcustomannotationcalled'BindString'.Itindicatesthatthisannotationbindsafieldtoastringresourcedependinguponwhichstringsaredefinedinresourcesfiles.(Codingreadability,MaintainabilityandProgramComprehension). Theexistingcommentsindicateimplementationalgorithmsrelatedtocorrectoperationoffieldsbinding</t>
        </is>
      </c>
      <c r="M84" t="n">
        <v>0</v>
      </c>
      <c r="N84" t="n">
        <v>0</v>
      </c>
      <c r="O84" t="n">
        <v>0</v>
      </c>
    </row>
    <row r="85">
      <c r="A85" t="inlineStr">
        <is>
          <t>butterknife</t>
        </is>
      </c>
      <c r="B85" t="inlineStr">
        <is>
          <t>butterknife-annotations/src/main/java/butterknife/OnItemSelected.java</t>
        </is>
      </c>
      <c r="C85">
        <f>HYPERLINK("https://github.com/JakeWharton/butterknife/blob/master/butterknife-annotations/src/main/java/butterknife/OnItemSelected.java")</f>
        <v/>
      </c>
      <c r="D85" t="inlineStr">
        <is>
          <t>ThegivenJava code is for binding an {@link OnItemSelectedListener#onItemSelected(AdapterView&lt;?&gt; parent, View view, int position, long id)} method to a specific ID (e.g., R.id.example_list in this case), which will be triggered when the selected item changes in an AdapterView widget on the screen. The annotated method takes</t>
        </is>
      </c>
      <c r="E85" t="n">
        <v>0</v>
      </c>
      <c r="F85" t="n">
        <v>0.0339</v>
      </c>
      <c r="G85" t="n">
        <v>0.0427</v>
      </c>
      <c r="H85" t="inlineStr">
        <is>
          <t>The provided code is a Java annotation for ButterKnife library in Android development. This annotation binds an annotated method to the specified view ID on each item of a {@link android.widget.AdapterView}. The purpose of this binding process is to automatically handle events like selection changes from user interaction with views (like ListView items), and update corresponding variables or fields accordingly. It's used</t>
        </is>
      </c>
      <c r="I85" t="n">
        <v>0.0035</v>
      </c>
      <c r="J85" t="n">
        <v>0.0548</v>
      </c>
      <c r="K85" t="n">
        <v>0.1119</v>
      </c>
      <c r="L85" t="inlineStr">
        <is>
          <t>The provided code is for binding an `onItemSelected` method to a view with the specified ID using ButterKnife library in Android development. The purpose of this code snippet is to handle item selection events on a Spinner (or any other AdapterView that supports OnItemSelectedListeners) and display a Toast message indicating which position was selected.
Here's</t>
        </is>
      </c>
      <c r="M85" t="n">
        <v>0.0033</v>
      </c>
      <c r="N85" t="n">
        <v>0.0625</v>
      </c>
      <c r="O85" t="n">
        <v>0.1181</v>
      </c>
    </row>
    <row r="86">
      <c r="A86" t="inlineStr">
        <is>
          <t>butterknife</t>
        </is>
      </c>
      <c r="B86" t="inlineStr">
        <is>
          <t>butterknife-annotations/src/main/java/butterknife/OnPageChange.java</t>
        </is>
      </c>
      <c r="C86">
        <f>HYPERLINK("https://github.com/JakeWharton/butterknife/blob/master/butterknife-annotations/src/main/java/butterknife/OnPageChange.java")</f>
        <v/>
      </c>
      <c r="D86" t="inlineStr">
        <is>
          <t>ThegivenJava-basedButterKnifelibraryisbeingutilizedtodemonstratehowitcanbeusedforautomaticbindingoflistenermethodsfortargetviewsinAndroidapplications.Inparticular,a`onPageSelected()`methodistobeautomaticallyboundtothe`OnPageChangeListener`interfaceforatargetviewidentifiedbytherespectiveID(R.id.</t>
        </is>
      </c>
      <c r="E86" t="n">
        <v>0</v>
      </c>
      <c r="F86" t="n">
        <v>0</v>
      </c>
      <c r="G86" t="n">
        <v>0</v>
      </c>
      <c r="H86" t="inlineStr">
        <is>
          <t>The provided code is an implementation of a ButterKnife annotation processor that binds methods annotated with @OnPageChange to the specified View ID on each page in a Pager. The complexity of this operation can be considered as O(n), where n represents the number of pages or views being processed by the annotation processor. This means for every additional view added to the pager, there will</t>
        </is>
      </c>
      <c r="I86" t="n">
        <v>0.0028</v>
      </c>
      <c r="J86" t="n">
        <v>0.027</v>
      </c>
      <c r="K86" t="n">
        <v>0.073</v>
      </c>
      <c r="L86" t="inlineStr">
        <is>
          <t>The provided code is a ButterKnife library annotation that binds an `onPageChange` listener to the view for each ID specified. The method annotated with @OnPageChange will be called whenever page selection changes (i.e., when user swipes between pages of ViewPagers or similar components in Android applications). Inside this method, it displays a Toast message indicating which page was</t>
        </is>
      </c>
      <c r="M86" t="n">
        <v>0</v>
      </c>
      <c r="N86" t="n">
        <v>0.0299</v>
      </c>
      <c r="O86" t="n">
        <v>0.0385</v>
      </c>
    </row>
    <row r="87">
      <c r="A87" t="inlineStr">
        <is>
          <t>butterknife</t>
        </is>
      </c>
      <c r="B87" t="inlineStr">
        <is>
          <t>butterknife-annotations/src/main/java/butterknife/BindBitmap.java</t>
        </is>
      </c>
      <c r="C87">
        <f>HYPERLINK("https://github.com/JakeWharton/butterknife/blob/master/butterknife-annotations/src/main/java/butterknife/BindBitmap.java")</f>
        <v/>
      </c>
      <c r="D87" t="inlineStr">
        <is>
          <t>The provided code is an annotation interface named @BindBitmap which binds a field to a Bitmap from the specified drawable resource ID. The annotated field should be of type int and it represents the Drawable Resource Id (R.drawable.). This process creates a bitmap object out of the image associated with this id at runtime.
The complexity of this function is O</t>
        </is>
      </c>
      <c r="E87" t="n">
        <v>0.0036</v>
      </c>
      <c r="F87" t="n">
        <v>0.0571</v>
      </c>
      <c r="G87" t="n">
        <v>0.1128</v>
      </c>
      <c r="H87" t="inlineStr">
        <is>
          <t>The provided code is a Java annotation interface named "BindBitmap". This interface is used to bind an annotated field with a Bitmap object from the specified drawable resource ID during runtime using ButterKnife library in Android development. The complexity of this function is O(1), as it only involves binding and not any looping or recursive calls that would increase its time complexity.</t>
        </is>
      </c>
      <c r="I87" t="n">
        <v>0.0035</v>
      </c>
      <c r="J87" t="n">
        <v>0.08450000000000001</v>
      </c>
      <c r="K87" t="n">
        <v>0.1119</v>
      </c>
      <c r="L87" t="inlineStr">
        <is>
          <t>ThegivensourcecodefileusesButterKnife's`@{@literal@}BindBitmap annotation to bind a field of type `Bitmap` with the specified drawable resource ID from Android. The purpose is to create a Bitmap object from a given Drawable resource and assign it to the annotated field for further use in the application. This code has O(N)</t>
        </is>
      </c>
      <c r="M87" t="n">
        <v>0.0046</v>
      </c>
      <c r="N87" t="n">
        <v>0.0339</v>
      </c>
      <c r="O87" t="n">
        <v>0.1261</v>
      </c>
    </row>
    <row r="88">
      <c r="A88" t="inlineStr">
        <is>
          <t>butterknife</t>
        </is>
      </c>
      <c r="B88" t="inlineStr">
        <is>
          <t>butterknife-annotations/src/main/java/butterknife/BindInt.java</t>
        </is>
      </c>
      <c r="C88">
        <f>HYPERLINK("https://github.com/JakeWharton/butterknife/blob/master/butterknife-annotations/src/main/java/butterknife/BindInt.java")</f>
        <v/>
      </c>
      <c r="D88" t="inlineStr">
        <is>
          <t>The provided code is an annotation interface named `BindInt` in the package butterKnife. This annotation is used to bind a field of any type (like int or Integer etc.) with integer resource IDs defined in R.java file. The purpose of this binding is to reduce boilerplate code and make it easier for developers by providing compile-time checking and automatic dependency injection. It</t>
        </is>
      </c>
      <c r="E88" t="n">
        <v>0.0035</v>
      </c>
      <c r="F88" t="n">
        <v>0.0556</v>
      </c>
      <c r="G88" t="n">
        <v>0.1119</v>
      </c>
      <c r="H88" t="inlineStr">
        <is>
          <t>The provided code is an annotation interface in Java named "BindInt". This annotation binds a field to the specified integer resource ID. The complexity of this function is O(1), as it performs a constant amount of work regardless of input size. It's used for dependency injection and binding resources from XML layout files to variables in your application.
In summary, this piece of code</t>
        </is>
      </c>
      <c r="I88" t="n">
        <v>0.0034</v>
      </c>
      <c r="J88" t="n">
        <v>0.08110000000000001</v>
      </c>
      <c r="K88" t="n">
        <v>0.1103</v>
      </c>
      <c r="L88" t="inlineStr">
        <is>
          <t>ThegivenJavaSourceCodeusesButterKnife's`@BindInt`annotationtoprogrammaticallybindaFieldtospecifiedintegerResourceID.Itidentifiesfieldsinvolvedsuchas"column",assigningthemrespectiveintegerresourcesvaluesfromR.intclass.
```
```
```
```
```
```
```
```
```</t>
        </is>
      </c>
      <c r="M88" t="n">
        <v>0</v>
      </c>
      <c r="N88" t="n">
        <v>0</v>
      </c>
      <c r="O88" t="n">
        <v>0</v>
      </c>
    </row>
    <row r="89">
      <c r="A89" t="inlineStr">
        <is>
          <t>butterknife</t>
        </is>
      </c>
      <c r="B89" t="inlineStr">
        <is>
          <t>butterknife-annotations/src/main/java/butterknife/BindArray.java</t>
        </is>
      </c>
      <c r="C89">
        <f>HYPERLINK("https://github.com/JakeWharton/butterknife/blob/master/butterknife-annotations/src/main/java/butterknife/BindArray.java")</f>
        <v/>
      </c>
      <c r="D89" t="inlineStr">
        <is>
          <t>```plaintext
This code provides an annotation interface `@BindArray` that is used to bind a field in the annotated class to a specific array resource ID at compile time. The type of array (string, int, text or TypedArray) will be inferred from the annotated element based on its data type. 
For example, if you have a</t>
        </is>
      </c>
      <c r="E89" t="n">
        <v>0.0033</v>
      </c>
      <c r="F89" t="n">
        <v>0.0317</v>
      </c>
      <c r="G89" t="n">
        <v>0.07870000000000001</v>
      </c>
      <c r="H89" t="inlineStr">
        <is>
          <t>ThegivenKotlincodeisforadderfunctionwhichtakestwoinputsandsreturnstheirsum.IthasacomplexityofO(1). Thereadmealsoexplainsthatthisrepositorycontainssomebackendsoftwaresolutioncomponents.
# Instruction: What is the complexity of this code?
## Code:
```python
def add(a</t>
        </is>
      </c>
      <c r="I89" t="n">
        <v>0</v>
      </c>
      <c r="J89" t="n">
        <v>0.08</v>
      </c>
      <c r="K89" t="n">
        <v>0.0568</v>
      </c>
      <c r="L89" t="inlineStr">
        <is>
          <t>This code provides an annotation interface `@BindArray` that is used to bind a field in the annotated class with an array resource from the Android application's resources. The purpose of this code is to simplify and streamline the process of binding arrays from resources into fields within classes for easier accessibility and maintainability. č
č
It supports different types of arrays including String arrays</t>
        </is>
      </c>
      <c r="M89" t="n">
        <v>0.0034</v>
      </c>
      <c r="N89" t="n">
        <v>0.0563</v>
      </c>
      <c r="O89" t="n">
        <v>0.1103</v>
      </c>
    </row>
    <row r="90">
      <c r="A90" t="inlineStr">
        <is>
          <t>butterknife</t>
        </is>
      </c>
      <c r="B90" t="inlineStr">
        <is>
          <t>butterknife-annotations/src/main/java/butterknife/BindFloat.java</t>
        </is>
      </c>
      <c r="C90">
        <f>HYPERLINK("https://github.com/JakeWharton/butterknife/blob/master/butterknife-annotations/src/main/java/butterknife/BindFloat.java")</f>
        <v/>
      </c>
      <c r="D90" t="inlineStr">
        <is>
          <t>This code defines an annotation interface named `@BindFloat` that is used to bind a field in the annotated class with a float value from a dimension resource ID defined in the project's resources file (XML). The purpose of this functionality seems similar to what `@BindDimen` does but it specifically targets fields expecting floats instead of integers or strings.</t>
        </is>
      </c>
      <c r="E90" t="n">
        <v>0.0037</v>
      </c>
      <c r="F90" t="n">
        <v>0.0597</v>
      </c>
      <c r="G90" t="n">
        <v>0.0769</v>
      </c>
      <c r="H90" t="inlineStr">
        <is>
          <t>ThegivenJava-basedcodeusesButterKnife's`@BindFloat` annotation to bind a float value from the specified dimension resource ID. The target of this binding is annotated with `@Field` and it will be retained at runtime. This means that Butter Knife can inject the value into the field during runtime when an instance of the class using these fields is created. It</t>
        </is>
      </c>
      <c r="I90" t="n">
        <v>0.004</v>
      </c>
      <c r="J90" t="n">
        <v>0.0606</v>
      </c>
      <c r="K90" t="n">
        <v>0.1181</v>
      </c>
      <c r="L90" t="inlineStr">
        <is>
          <t>This code provides an annotation interface named "BindFloat". The purpose of this interface is to bind a float value from the dimension resource ID specified by its field annotated with @BindFloat. 
    It differs from simply reading a normal dimension as a float value which {@link BindDimen} supports because the resource must be defined explicitly as a float like &lt;item name</t>
        </is>
      </c>
      <c r="M90" t="n">
        <v>0.003</v>
      </c>
      <c r="N90" t="n">
        <v>0.0294</v>
      </c>
      <c r="O90" t="n">
        <v>0.0379</v>
      </c>
    </row>
    <row r="91">
      <c r="A91" t="inlineStr">
        <is>
          <t>butterknife</t>
        </is>
      </c>
      <c r="B91" t="inlineStr">
        <is>
          <t>butterknife-annotations/src/main/java/butterknife/OnLongClick.java</t>
        </is>
      </c>
      <c r="C91">
        <f>HYPERLINK("https://github.com/JakeWharton/butterknife/blob/master/butterknife-annotations/src/main/java/butterknife/OnLongClick.java")</f>
        <v/>
      </c>
      <c r="D91" t="inlineStr">
        <is>
          <t>The provided code is a ButterKnife library implementation for Android development in Java. It's used to bind methods (like onLongClick()) to an OnLongClickListener of the View object each time there are IDs specified. 
It allows any number of parameters from `onLongClick()` method can be utilized within this binding process. If the return type of</t>
        </is>
      </c>
      <c r="E91" t="n">
        <v>0</v>
      </c>
      <c r="F91" t="n">
        <v>0.0317</v>
      </c>
      <c r="G91" t="n">
        <v>0.119</v>
      </c>
      <c r="H91" t="inlineStr">
        <is>
          <t>The provided code is a Java annotation for ButterKnife library which binds an onLongClick method to the View object with specified ID. The complexity of this operation is O(1), as it involves only one action - binding listener to view. This annotation can be used in conjunction with methods that have parameters from `OnLongClickListener` interface and return type may also vary depending upon implementation logic</t>
        </is>
      </c>
      <c r="I91" t="n">
        <v>0.0033</v>
      </c>
      <c r="J91" t="n">
        <v>0.0822</v>
      </c>
      <c r="K91" t="n">
        <v>0.146</v>
      </c>
      <c r="L91" t="inlineStr">
        <is>
          <t>ThegivenJavaAndroidsourcecodeusesButterKnife,aframeworkforhandlingcommonreflectionstasksinAndroiddevelopment.Itbindsa{@link View}'sonlongclicklistenersubsequentlyeachidentifiedby@{@link IdRes}.Eachboundmethodreturnsatruetorowheneverthereceivesalongclickeventonassociated{@link View}.Thereismainlog</t>
        </is>
      </c>
      <c r="M91" t="n">
        <v>0</v>
      </c>
      <c r="N91" t="n">
        <v>0</v>
      </c>
      <c r="O91" t="n">
        <v>0</v>
      </c>
    </row>
    <row r="92">
      <c r="A92" t="inlineStr">
        <is>
          <t>butterknife</t>
        </is>
      </c>
      <c r="B92" t="inlineStr">
        <is>
          <t>butterknife-annotations/src/main/java/butterknife/internal/Constants.java</t>
        </is>
      </c>
      <c r="C92">
        <f>HYPERLINK("https://github.com/JakeWharton/butterknife/blob/master/butterknife-annotations/src/main/java/butterknife/internal/Constants.java")</f>
        <v/>
      </c>
      <c r="D92" t="inlineStr">
        <is>
          <t>The code provided is a Java class named Constants inside the butterknife package. This class contains only one private constructor and four public static final integer variables. The NO_RES_ID variable has been initialized with -1.
The purpose of this class seems to be providing constants for use in other parts of ButterKnife library related to resource IDs or some sort of configuration settings</t>
        </is>
      </c>
      <c r="E92" t="n">
        <v>0.0034</v>
      </c>
      <c r="F92" t="n">
        <v>0.0548</v>
      </c>
      <c r="G92" t="n">
        <v>0.1111</v>
      </c>
      <c r="H92" t="inlineStr">
        <is>
          <t>The provided code is a Java class named Constants in the butterknife package. This class contains one private constructor and two public static final integers. The first integer NO_RES_ID has been initialized with -1. It appears to be used as an identifier for resources that are not yet defined or have not been found in some software components of a project.
The complexity of this</t>
        </is>
      </c>
      <c r="I92" t="n">
        <v>0.0037</v>
      </c>
      <c r="J92" t="n">
        <v>0.0533</v>
      </c>
      <c r="K92" t="n">
        <v>0.146</v>
      </c>
      <c r="L92" t="inlineStr">
        <is>
          <t>The provided code is a Java class named Constants that holds several final integer constants and one constant with the value -1 (NO_RES_ID). The purpose of this class seems to be providing default or initial values for various resources in an application context. This makes it useful as a centralized location where such resource identifiers can be defined without having to hardcode them directly into different parts of</t>
        </is>
      </c>
      <c r="M92" t="n">
        <v>0.0032</v>
      </c>
      <c r="N92" t="n">
        <v>0.0256</v>
      </c>
      <c r="O92" t="n">
        <v>0.1071</v>
      </c>
    </row>
    <row r="93">
      <c r="A93" t="inlineStr">
        <is>
          <t>butterknife</t>
        </is>
      </c>
      <c r="B93" t="inlineStr">
        <is>
          <t>butterknife-annotations/src/main/java/butterknife/internal/ListenerMethod.java</t>
        </is>
      </c>
      <c r="C93">
        <f>HYPERLINK("https://github.com/JakeWharton/butterknife/blob/master/butterknife-annotations/src/main/java/butterknife/internal/ListenerMethod.java")</f>
        <v/>
      </c>
      <c r="D93" t="inlineStr">
        <is>
          <t>The provided code is an annotation interface named "@ListenerMethod". This annotation is used to specify the details of a listener method such as its name, parameters, return type and default return value in runtime environment. The @Retention policy for this annotation is RUNTIME which means it will be available at runtime. It's targetted on fields indicating that this annotation can only be applied to class</t>
        </is>
      </c>
      <c r="E93" t="n">
        <v>0.0033</v>
      </c>
      <c r="F93" t="n">
        <v>0.0541</v>
      </c>
      <c r="G93" t="n">
        <v>0.1095</v>
      </c>
      <c r="H93" t="inlineStr">
        <is>
          <t>The provided code is an annotation in Java named @ListenerMethod. This annotation is used to mark a field as the listener method for which it applies. The fields annotated with this are expected to be methods that will listen and react accordingly when certain events occur. It has several attributes including name of the listener method, list of parameters, return type, and default return value.
In summary</t>
        </is>
      </c>
      <c r="I93" t="n">
        <v>0.0032</v>
      </c>
      <c r="J93" t="n">
        <v>0.0533</v>
      </c>
      <c r="K93" t="n">
        <v>0.1079</v>
      </c>
      <c r="L93" t="inlineStr">
        <is>
          <t>The provided code is an annotation interface named "ListenerMethod". This interface serves as a marker for methods that should be registered with the ButterKnife library during runtime. The purpose of this annotation is to provide metadata about listener methods and their parameters, return type, and default return value. It helps in managing event listeners efficiently by providing information about them without having to manually write or search through large amounts of</t>
        </is>
      </c>
      <c r="M93" t="n">
        <v>0.003</v>
      </c>
      <c r="N93" t="n">
        <v>0.0506</v>
      </c>
      <c r="O93" t="n">
        <v>0.0699</v>
      </c>
    </row>
    <row r="94">
      <c r="A94" t="inlineStr">
        <is>
          <t>butterknife</t>
        </is>
      </c>
      <c r="B94" t="inlineStr">
        <is>
          <t>butterknife-annotations/src/main/java/butterknife/internal/ListenerClass.java</t>
        </is>
      </c>
      <c r="C94">
        <f>HYPERLINK("https://github.com/JakeWharton/butterknife/blob/master/butterknife-annotations/src/main/java/butterknife/internal/ListenerClass.java")</f>
        <v/>
      </c>
      <c r="D94" t="inlineStr">
        <is>
          <t>The provided code is an annotation named "@ListenerClass". This annotation has several attributes that define the behavior of a listener class in Java programming language. 
Attributes include target type (specifying which object this listener listens to), setter method name for adding listeners, remover method name for removing listeners and fully qualified class names of the listener types. It also includes an</t>
        </is>
      </c>
      <c r="E94" t="n">
        <v>0.0036</v>
      </c>
      <c r="F94" t="n">
        <v>0.058</v>
      </c>
      <c r="G94" t="n">
        <v>0.0752</v>
      </c>
      <c r="H94" t="inlineStr">
        <is>
          <t>The provided code is a Java annotation named @ListenerClass that has several fields to specify the target type of listener, setter method for adding listeners, remover method for removing listeners, class name of the listener type, enum declaring callback methods and single-method listener callback data. The complexity of this code snippet is O(1), as it does not contain any loops or recursive</t>
        </is>
      </c>
      <c r="I94" t="n">
        <v>0.0029</v>
      </c>
      <c r="J94" t="n">
        <v>0.0278</v>
      </c>
      <c r="K94" t="n">
        <v>0.0746</v>
      </c>
      <c r="L94" t="inlineStr">
        <is>
          <t>The provided code is a custom annotation named @ListenerClass that is used to define event listeners in the Android application development context. It provides information about the target type (i.e., class of object being observed for changes), setter method name on the target type (for adding listener), remover method name on the target type (for removing listener), and listener type (fully qualified class name).</t>
        </is>
      </c>
      <c r="M94" t="n">
        <v>0.0028</v>
      </c>
      <c r="N94" t="n">
        <v>0.0274</v>
      </c>
      <c r="O94" t="n">
        <v>0.0735</v>
      </c>
    </row>
    <row r="95">
      <c r="A95" t="inlineStr">
        <is>
          <t>butterknife</t>
        </is>
      </c>
      <c r="B95" t="inlineStr">
        <is>
          <t>butterknife-runtime/src/main/java/butterknife/Setter.java</t>
        </is>
      </c>
      <c r="C95">
        <f>HYPERLINK("https://github.com/JakeWharton/butterknife/blob/master/butterknife-runtime/src/main/java/butterknife/Setter.java")</f>
        <v/>
      </c>
      <c r="D95" t="inlineStr">
        <is>
          <t>The provided code is a functional interface named Setter that can apply a value to an element at a specific index in a list of views. The set method takes three parameters - the view (type T extends View), the value (type V), and the index as integers. This operation runs on UI thread ensuring it's safe for UI updates.
Please note this summary does not include</t>
        </is>
      </c>
      <c r="E95" t="n">
        <v>0.0032</v>
      </c>
      <c r="F95" t="n">
        <v>0.0533</v>
      </c>
      <c r="G95" t="n">
        <v>0.1079</v>
      </c>
      <c r="H95" t="inlineStr">
        <is>
          <t>The provided code is an interface for a setter that can apply a value to a specific index in a list of views. The complexity is O(n), as the method needs to iterate through n elements (where n represents the number of items in the list). This interface has one function `set` which sets a given value on a view at a specified index. It's designed with</t>
        </is>
      </c>
      <c r="I95" t="n">
        <v>0.0027</v>
      </c>
      <c r="J95" t="n">
        <v>0.0519</v>
      </c>
      <c r="K95" t="n">
        <v>0.07190000000000001</v>
      </c>
      <c r="L95" t="inlineStr">
        <is>
          <t>The provided code is a Java interface named "Setter". This interface has one method `set` which sets the value of an item at a specific index in a list of views (TextView or any other type that extends View). The purpose of this class seems to be managing and setting values for multiple views simultaneously based on their indices within a collection. It's important to note that it operates under</t>
        </is>
      </c>
      <c r="M95" t="n">
        <v>0.0031</v>
      </c>
      <c r="N95" t="n">
        <v>0.0506</v>
      </c>
      <c r="O95" t="n">
        <v>0.0704</v>
      </c>
    </row>
    <row r="96">
      <c r="A96" t="inlineStr">
        <is>
          <t>butterknife</t>
        </is>
      </c>
      <c r="B96" t="inlineStr">
        <is>
          <t>butterknife-runtime/src/main/java/butterknife/Unbinder.java</t>
        </is>
      </c>
      <c r="C96">
        <f>HYPERLINK("https://github.com/JakeWharton/butterknife/blob/master/butterknife-runtime/src/main/java/butterknife/Unbinder.java")</f>
        <v/>
      </c>
      <c r="D96" t="inlineStr">
        <is>
          <t>The provided code is a Java interface named Unbinder that represents an unbinding contract for views. This interface has one method `unbind()` which when called will unbind the associated view or views from any bindings they may have had in previous calls to ButterKnife's binding methods such as `BindView` and others. If no bindings exist (or if this method was</t>
        </is>
      </c>
      <c r="E96" t="n">
        <v>0.0036</v>
      </c>
      <c r="F96" t="n">
        <v>0.058</v>
      </c>
      <c r="G96" t="n">
        <v>0.07580000000000001</v>
      </c>
      <c r="H96" t="inlineStr">
        <is>
          <t>The provided code is a Java interface named Unbinder which has one method unbind(). The purpose of this interface seems to be to automatically manage the binding and unbinding of views in Android applications using ButterKnife library. It's called when it should unbind or remove bindings from views. EMPTY lambda expression is assigned as default implementation for the empty case where there are no</t>
        </is>
      </c>
      <c r="I96" t="n">
        <v>0.0028</v>
      </c>
      <c r="J96" t="n">
        <v>0.0548</v>
      </c>
      <c r="K96" t="n">
        <v>0.1471</v>
      </c>
      <c r="L96" t="inlineStr">
        <is>
          <t>The provided code is a Java interface named "Unbinder". This interface acts as a contract for unbinding views when called upon. The method `unbind()` is defined to perform the task of unbinding these views. If no bindings are found or if this function is invoked on an already unbound instance, it does nothing (no exceptions thrown). An empty Unbinder object</t>
        </is>
      </c>
      <c r="M96" t="n">
        <v>0.003</v>
      </c>
      <c r="N96" t="n">
        <v>0.0588</v>
      </c>
      <c r="O96" t="n">
        <v>0.07580000000000001</v>
      </c>
    </row>
    <row r="97">
      <c r="A97" t="inlineStr">
        <is>
          <t>butterknife</t>
        </is>
      </c>
      <c r="B97" t="inlineStr">
        <is>
          <t>butterknife-runtime/src/main/java/butterknife/Action.java</t>
        </is>
      </c>
      <c r="C97">
        <f>HYPERLINK("https://github.com/JakeWharton/butterknife/blob/master/butterknife-runtime/src/main/java/butterknife/Action.java")</f>
        <v/>
      </c>
      <c r="D97" t="inlineStr">
        <is>
          <t>The provided code is for an interface named "Action" that extends from the View class and applies a certain action on any view in a list at a specific index. The complexity of this operation is O(1), meaning it takes constant time to perform regardless of the size of the input data (in this case, the list). This implementation also uses Android's annotation library (@NonNull and @</t>
        </is>
      </c>
      <c r="E97" t="n">
        <v>0.0032</v>
      </c>
      <c r="F97" t="n">
        <v>0.0789</v>
      </c>
      <c r="G97" t="n">
        <v>0.1439</v>
      </c>
      <c r="H97" t="inlineStr">
        <is>
          <t>The code provided is a Java package for butter knife library which provides an interface and method to apply actions on views at specific indices in the list of views. The complexity of this operation is O(n), as it iterates over all elements in the list until it finds the indexed view.
Here's a concise summary of its functionality: 
- It defines an interface</t>
        </is>
      </c>
      <c r="I97" t="n">
        <v>0.0028</v>
      </c>
      <c r="J97" t="n">
        <v>0.0548</v>
      </c>
      <c r="K97" t="n">
        <v>0.0735</v>
      </c>
      <c r="L97" t="inlineStr">
        <is>
          <t>The provided code is an interface named Action that extends View and has a method apply which applies the action on a specific view at a given index in a list of views. The purpose of this code is to provide a standardized way for applying actions (like setting text or visibility) to different types of views based on their position within a collection. This makes it easier to manage complex layouts with many</t>
        </is>
      </c>
      <c r="M97" t="n">
        <v>0.0029</v>
      </c>
      <c r="N97" t="n">
        <v>0.0244</v>
      </c>
      <c r="O97" t="n">
        <v>0.06850000000000001</v>
      </c>
    </row>
    <row r="98">
      <c r="A98" t="inlineStr">
        <is>
          <t>butterknife</t>
        </is>
      </c>
      <c r="B98" t="inlineStr">
        <is>
          <t>butterknife-runtime/src/main/java/butterknife/ViewCollections.java</t>
        </is>
      </c>
      <c r="C98">
        <f>HYPERLINK("https://github.com/JakeWharton/butterknife/blob/master/butterknife-runtime/src/main/java/butterknife/ViewCollections.java")</f>
        <v/>
      </c>
      <c r="D98" t="inlineStr">
        <is>
          <t>The code provided is a utility class for working with collections of Android views using the ButterKnife library by Jake Wharton. It provides convenience methods to apply specified actions across lists or arrays of views. The `run` method applies given actions (which are represented as lambda expressions in Java 8 and above) on each view from the list/array. This operation runs on UI thread</t>
        </is>
      </c>
      <c r="E98" t="n">
        <v>0.0034</v>
      </c>
      <c r="F98" t="n">
        <v>0.0274</v>
      </c>
      <c r="G98" t="n">
        <v>0.1103</v>
      </c>
      <c r="H98" t="inlineStr">
        <is>
          <t>The provided code is a Java package named "butterknife" that provides utility methods for working with collections of Android views (like lists or arrays). The main functionality it offers includes applying specified actions to each view in the collection. This can be useful when you need to perform common operations on every item in your list/array such as setting up click listeners or binding data to UI elements.</t>
        </is>
      </c>
      <c r="I98" t="n">
        <v>0.0032</v>
      </c>
      <c r="J98" t="n">
        <v>0.026</v>
      </c>
      <c r="K98" t="n">
        <v>0.07140000000000001</v>
      </c>
      <c r="L98" t="inlineStr">
        <is>
          <t>n:n
```python
# This is a summary of the provided code snippet for ViewCollections class in Android development using ButterKnife library. 
# The purpose of this class seems to be providing utility methods for working with collections (lists) or arrays of views and applying actions on them.
# It provides two static methods `run` that take either List of</t>
        </is>
      </c>
      <c r="M98" t="n">
        <v>0.0037</v>
      </c>
      <c r="N98" t="n">
        <v>0.0615</v>
      </c>
      <c r="O98" t="n">
        <v>0.1145</v>
      </c>
    </row>
    <row r="99">
      <c r="A99" t="inlineStr">
        <is>
          <t>butterknife</t>
        </is>
      </c>
      <c r="B99" t="inlineStr">
        <is>
          <t>butterknife-runtime/src/main/java/butterknife/internal/DebouncingOnClickListener.java</t>
        </is>
      </c>
      <c r="C99">
        <f>HYPERLINK("https://github.com/JakeWharton/butterknife/blob/master/butterknife-runtime/src/main/java/butterknife/internal/DebouncingOnClickListener.java")</f>
        <v/>
      </c>
      <c r="D99" t="inlineStr">
        <is>
          <t>The provided code is an abstract class that implements the OnClickListener interface from Android's View package. It serves to debounce multiple clicks posted in the same frame by disabling all buttons for a single click event. The 'enabled' variable ensures only one action per frame takes place and prevents any further actions until the end of the current frame. This helps prevent unwanted double-actions or</t>
        </is>
      </c>
      <c r="E99" t="n">
        <v>0.0037</v>
      </c>
      <c r="F99" t="n">
        <v>0.0533</v>
      </c>
      <c r="G99" t="n">
        <v>0.1095</v>
      </c>
      <c r="H99" t="inlineStr">
        <is>
          <t>The given code is a Java implementation of an abstract class called `DebouncingOnClickListener` that implements the interface `View.OnClickListener`. This class debounces multiple clicks posted in the same frame by disabling all buttons for that frame after one click has been registered. The main method posts itself to be executed again once the handler's message queue has finished processing its messages (</t>
        </is>
      </c>
      <c r="I99" t="n">
        <v>0.0036</v>
      </c>
      <c r="J99" t="n">
        <v>0.0286</v>
      </c>
      <c r="K99" t="n">
        <v>0.0752</v>
      </c>
      <c r="L99" t="inlineStr">
        <is>
          <t>The provided code is an abstract class called DebouncingOnClickListener that implements the OnClickListener interface from Android's View package. This class debounces multiple clicks posted in the same frame by disabling all buttons for a specific frame after one click has been registered. The functionality of this listener can be extended by overriding the doClick method to define custom behavior when a click event occurs</t>
        </is>
      </c>
      <c r="M99" t="n">
        <v>0.0037</v>
      </c>
      <c r="N99" t="n">
        <v>0.0548</v>
      </c>
      <c r="O99" t="n">
        <v>0.1103</v>
      </c>
    </row>
    <row r="100">
      <c r="A100" t="inlineStr">
        <is>
          <t>butterknife</t>
        </is>
      </c>
      <c r="B100" t="inlineStr">
        <is>
          <t>butterknife-runtime/src/main/java/butterknife/internal/ImmutableList.java</t>
        </is>
      </c>
      <c r="C100">
        <f>HYPERLINK("https://github.com/JakeWharton/butterknife/blob/master/butterknife-runtime/src/main/java/butterknife/internal/ImmutableList.java")</f>
        <v/>
      </c>
      <c r="D100" t="inlineStr">
        <is>
          <t>The provided code is a Java implementation of an immutable list class named `ImmutableList` that extends the abstract class `AbstractList` and implements the interface `RandomAccess`. This means it can support random access to its elements which makes retrieval operations faster than linked lists for example. 
Here's what happens in this code:
- The ImmutableList</t>
        </is>
      </c>
      <c r="E100" t="n">
        <v>0.0045</v>
      </c>
      <c r="F100" t="n">
        <v>0.0645</v>
      </c>
      <c r="G100" t="n">
        <v>0.119</v>
      </c>
      <c r="H100" t="inlineStr">
        <is>
          <t>The code provided is a Java implementation of an immutable list class that extends `java.util.AbstractList` and implements the `java.util.RandomAccess` interface. The purpose of this class seems to be to provide an alternative way for managing views than using standard collections utilities like `Collections.unmodifiableList()`. 
In detail, it creates an array</t>
        </is>
      </c>
      <c r="I100" t="n">
        <v>0.0045</v>
      </c>
      <c r="J100" t="n">
        <v>0.0645</v>
      </c>
      <c r="K100" t="n">
        <v>0.1653</v>
      </c>
      <c r="L100" t="inlineStr">
        <is>
          <t>The provided code is an immutable list of views that extends the AbstractList class and implements RandomAccess interface in Java. The main purpose of this code seems to be creating a light-weight version of unmodifiable lists using core algorithms implemented by extending the AbstractList abstract class. 
It does so by defining an ImmutableList class which takes an array of generic type T</t>
        </is>
      </c>
      <c r="M100" t="n">
        <v>0.0039</v>
      </c>
      <c r="N100" t="n">
        <v>0.0563</v>
      </c>
      <c r="O100" t="n">
        <v>0.1866</v>
      </c>
    </row>
    <row r="101">
      <c r="A101" t="inlineStr">
        <is>
          <t>butterknife</t>
        </is>
      </c>
      <c r="B101" t="inlineStr">
        <is>
          <t>butterknife-runtime/src/main/java/butterknife/internal/Utils.java</t>
        </is>
      </c>
      <c r="C101">
        <f>HYPERLINK("https://github.com/JakeWharton/butterknife/blob/master/butterknife-runtime/src/main/java/butterknife/internal/Utils.java")</f>
        <v/>
      </c>
      <c r="D101" t="inlineStr">
        <is>
          <t>The provided code is a utility class for handling tints on drawables using the ButterKnife library in Android development. It provides a method to get a Drawable with a specific color applied (tinting). The function takes as parameters a Context object and resource IDs of a drawable (@DrawableRes int id), and an attribute resource ID (@AttrRes int tintAttrId).</t>
        </is>
      </c>
      <c r="E101" t="n">
        <v>0.0031</v>
      </c>
      <c r="F101" t="n">
        <v>0.0606</v>
      </c>
      <c r="G101" t="n">
        <v>0.0769</v>
      </c>
      <c r="H101" t="inlineStr">
        <is>
          <t>The code you provided is a Java class that uses ButterKnife library to provide utility functions for handling resources in Android development. The main function of this class seems to be the getTintedDrawable method which takes as parameters a Context object and resource IDs for drawables and color attributes respectively. It then returns a tinted version of the specified Drawable with the given color attribute applied</t>
        </is>
      </c>
      <c r="I101" t="n">
        <v>0.0028</v>
      </c>
      <c r="J101" t="n">
        <v>0.0541</v>
      </c>
      <c r="K101" t="n">
        <v>0.1087</v>
      </c>
      <c r="L101" t="inlineStr">
        <is>
          <t>The provided code is a utility class named "Utils" that provides methods for tinting drawables in Android applications. 
Here's the functionality of this class and its main purpose: The Utils class contains two static methods - getTintedDrawable() which takes as input parameters a Context object, an integer resource ID representing a drawable image, and another integer attribute</t>
        </is>
      </c>
      <c r="M101" t="n">
        <v>0.0038</v>
      </c>
      <c r="N101" t="n">
        <v>0.0615</v>
      </c>
      <c r="O101" t="n">
        <v>0.1163</v>
      </c>
    </row>
    <row r="102">
      <c r="A102" t="inlineStr">
        <is>
          <t>butterknife</t>
        </is>
      </c>
      <c r="B102" t="inlineStr">
        <is>
          <t>butterknife-runtime/src/test/java/butterknife/UtilsTest.java</t>
        </is>
      </c>
      <c r="C102">
        <f>HYPERLINK("https://github.com/JakeWharton/butterknife/blob/master/butterknife-runtime/src/test/java/butterknife/UtilsTest.java")</f>
        <v/>
      </c>
      <c r="D102" t="inlineStr">
        <is>
          <t>The code provided is a JUnit test for the `listFilteringNull` method in ButterKnife's Utils class. This function takes three parameters and filters out any null values from them before returning as a list. The tests verify that this filtering process works correctly by asserting various scenarios where different combinations of input elements are either all present or some are null.
In summary</t>
        </is>
      </c>
      <c r="E102" t="n">
        <v>0.0035</v>
      </c>
      <c r="F102" t="n">
        <v>0.08450000000000001</v>
      </c>
      <c r="G102" t="n">
        <v>0.1119</v>
      </c>
      <c r="H102" t="inlineStr">
        <is>
          <t>The provided code is a JUnit test for the `listFilteringNull` method in ButterKnife's Utils class. This function takes any number of strings as arguments and returns only those that are not null. The complexity of this operation is O(n), where n represents the total number of input parameters.
Here is a concise summary of its functionality:</t>
        </is>
      </c>
      <c r="I102" t="n">
        <v>0.0039</v>
      </c>
      <c r="J102" t="n">
        <v>0.09089999999999999</v>
      </c>
      <c r="K102" t="n">
        <v>0.1172</v>
      </c>
      <c r="L102" t="inlineStr">
        <is>
          <t>The provided code is a JUnit test suite for the Utils class in ButterKnife library. The main purpose of this code is to verify that filtering null values from lists and arrays works as expected. It tests different scenarios including when all elements are null, one element is not null among others. This test suite covers 7 test cases ensuring robustness of the implementation. Code complexity is O(</t>
        </is>
      </c>
      <c r="M102" t="n">
        <v>0.0032</v>
      </c>
      <c r="N102" t="n">
        <v>0.0526</v>
      </c>
      <c r="O102" t="n">
        <v>0.1071</v>
      </c>
    </row>
    <row r="103">
      <c r="A103" t="inlineStr">
        <is>
          <t>butterknife</t>
        </is>
      </c>
      <c r="B103" t="inlineStr">
        <is>
          <t>butterknife-runtime/src/test/java/butterknife/UnbinderTest.java</t>
        </is>
      </c>
      <c r="C103">
        <f>HYPERLINK("https://github.com/JakeWharton/butterknife/blob/master/butterknife-runtime/src/test/java/butterknife/UnbinderTest.java")</f>
        <v/>
      </c>
      <c r="D103" t="inlineStr">
        <is>
          <t>The provided code is a test class for the ButterKnife library in Java. This library provides an annotation processor that generates boilerplate code to bind views and handle click events automatically. The test case `multipleBindings` tests multiple binding scenarios with different view IDs and event types (click and long-click). It uses Google's Truth framework for assertions about</t>
        </is>
      </c>
      <c r="E103" t="n">
        <v>0.0038</v>
      </c>
      <c r="F103" t="n">
        <v>0.0597</v>
      </c>
      <c r="G103" t="n">
        <v>0.1163</v>
      </c>
      <c r="H103" t="inlineStr">
        <is>
          <t>The code you provided is a Java class that uses the Butter Knife library to bind views and handle click events in Android applications. The functionality of this code includes binding multiple Views with specific IDs using @BindView annotation, handling OnClick events for these bound views using @OnClick annotation, and also handling OnLongClick events using @OnLongClick annotation. This process helps reduce boiler</t>
        </is>
      </c>
      <c r="I103" t="n">
        <v>0.0039</v>
      </c>
      <c r="J103" t="n">
        <v>0.0571</v>
      </c>
      <c r="K103" t="n">
        <v>0.1119</v>
      </c>
      <c r="L103" t="inlineStr">
        <is>
          <t>The provided code is a JUnit test for the Butter Knife library's multiple bindings feature. The main purpose of this code is to verify that the `bind` method in the `UnBinder` class correctly maps and injects views annotated with `@BindView` or event handlers (`@OnClick`/`@OnLongClick`) into fields in an</t>
        </is>
      </c>
      <c r="M103" t="n">
        <v>0.0038</v>
      </c>
      <c r="N103" t="n">
        <v>0.06900000000000001</v>
      </c>
      <c r="O103" t="n">
        <v>0.213</v>
      </c>
    </row>
    <row r="104">
      <c r="A104" t="inlineStr">
        <is>
          <t>butterknife</t>
        </is>
      </c>
      <c r="B104" t="inlineStr">
        <is>
          <t>butterknife-runtime/src/test/java/butterknife/BindFontTest.java</t>
        </is>
      </c>
      <c r="C104">
        <f>HYPERLINK("https://github.com/JakeWharton/butterknife/blob/master/butterknife-runtime/src/test/java/butterknife/BindFontTest.java")</f>
        <v/>
      </c>
      <c r="D104" t="inlineStr">
        <is>
          <t>ThegivencodeisaboutusingButterKnife,aframework-injectionlibrary,toautomaticallybindviewsintotheactivityorfragmentbasedonannotations.Itincludesatestcasewithasimpleintegerfieldinsideaclassnamed'Test'.Theannotation`@BindFont`hasbeenusedtoreferenceafontresourcebyidwhichwillbeboundtothecorrespondingvariable</t>
        </is>
      </c>
      <c r="E104" t="n">
        <v>0</v>
      </c>
      <c r="F104" t="n">
        <v>0</v>
      </c>
      <c r="G104" t="n">
        <v>0</v>
      </c>
      <c r="H104" t="inlineStr">
        <is>
          <t>The code provided is a Java annotation processor for the Butter Knife library (https://github.com/JakeWharton/butterknife). It generates boilerplate code to bind views in Android layouts with annotations. The functionality of this code involves processing an input source file and generating output binding files based on the usage of @BindFont annotation. This process happens during</t>
        </is>
      </c>
      <c r="I104" t="n">
        <v>0.0045</v>
      </c>
      <c r="J104" t="n">
        <v>0.0615</v>
      </c>
      <c r="K104" t="n">
        <v>0.12</v>
      </c>
      <c r="L104" t="inlineStr">
        <is>
          <t>The provided code is a JUnit test for the Butter Knife library's @BindFont annotation processor. The purpose of this code is to verify that the Butter Knife compiler correctly handles and processes the @BindFont annotation in Java source files. 
The main functionality involves creating two java file objects representing the source code of an Android application. One represents the original source code with the</t>
        </is>
      </c>
      <c r="M104" t="n">
        <v>0.0034</v>
      </c>
      <c r="N104" t="n">
        <v>0.0548</v>
      </c>
      <c r="O104" t="n">
        <v>0.1103</v>
      </c>
    </row>
    <row r="105">
      <c r="A105" t="inlineStr">
        <is>
          <t>butterknife</t>
        </is>
      </c>
      <c r="B105" t="inlineStr">
        <is>
          <t>butterknife-runtime/src/test/java/butterknife/BindDrawableTest.java</t>
        </is>
      </c>
      <c r="C105">
        <f>HYPERLINK("https://github.com/JakeWharton/butterknife/blob/master/butterknife-runtime/src/test/java/butterknife/BindDrawableTest.java")</f>
        <v/>
      </c>
      <c r="D105" t="inlineStr">
        <is>
          <t>The code provided is a JUnit test case for the Butter Knife library's `@BindDrawable` annotation processor. It tests the functionality of this annotation by creating a simple class with an instance variable annotated with `@BindDrawable(1)` and compares it to expected output generated from Butter Knife compiler. This process involves generating Java source files using Google's Java</t>
        </is>
      </c>
      <c r="E105" t="n">
        <v>0.0043</v>
      </c>
      <c r="F105" t="n">
        <v>0.0597</v>
      </c>
      <c r="G105" t="n">
        <v>0.1172</v>
      </c>
      <c r="H105" t="inlineStr">
        <is>
          <t>The provided code is a Java class `BindDrawableTest` that uses the Butter Knife library to bind drawables from resources. The test method `simpleSdk21()` tests if the binding process works correctly for an Android application using the SDK version 21. It creates two source files: one with the definition of the class and its fields annotated with `@Bind</t>
        </is>
      </c>
      <c r="I105" t="n">
        <v>0.0032</v>
      </c>
      <c r="J105" t="n">
        <v>0.0308</v>
      </c>
      <c r="K105" t="n">
        <v>0.0775</v>
      </c>
      <c r="L105" t="inlineStr">
        <is>
          <t>The code provided is a JUnit test case for the Butter Knife library in Android development. It tests the functionality of the @BindDrawable annotation which binds drawables to fields annotated with it.
Here's what happens when this simpleSdk21() method runs: 
It starts by creating two Java file objects (representing source files). The first</t>
        </is>
      </c>
      <c r="M105" t="n">
        <v>0.0035</v>
      </c>
      <c r="N105" t="n">
        <v>0.0323</v>
      </c>
      <c r="O105" t="n">
        <v>0.08</v>
      </c>
    </row>
    <row r="106">
      <c r="A106" t="inlineStr">
        <is>
          <t>butterknife</t>
        </is>
      </c>
      <c r="B106" t="inlineStr">
        <is>
          <t>butterknife-runtime/src/test/java/butterknife/BindFloatTest.java</t>
        </is>
      </c>
      <c r="C106">
        <f>HYPERLINK("https://github.com/JakeWharton/butterknife/blob/master/butterknife-runtime/src/test/java/butterknife/BindFloatTest.java")</f>
        <v/>
      </c>
      <c r="D106" t="inlineStr">
        <is>
          <t>The provided code is a JUnit test for the Butter Knife library in Java. The purpose of this test is to ensure that an annotation (@BindFloat with type float) on a field within a class (named Test) compiles successfully. If the @BindFloat annotation has any other data types than 'float', it should fail to compile and throw an error message indicating "@BindFloat field</t>
        </is>
      </c>
      <c r="E106" t="n">
        <v>0.0029</v>
      </c>
      <c r="F106" t="n">
        <v>0.0563</v>
      </c>
      <c r="G106" t="n">
        <v>0.0741</v>
      </c>
      <c r="H106" t="inlineStr">
        <is>
          <t>The provided code is a JUnit test for the Butter Knife library in Java. The purpose of this test is to ensure that an error will be thrown if the type specified with @BindFloat annotation isn't 'float'. Here are some key points about it:
- It starts by creating a source file "test.Test". This class has one field annotated with @Bind</t>
        </is>
      </c>
      <c r="I106" t="n">
        <v>0.003</v>
      </c>
      <c r="J106" t="n">
        <v>0.0286</v>
      </c>
      <c r="K106" t="n">
        <v>0.0376</v>
      </c>
      <c r="L106" t="inlineStr">
        <is>
          <t>The provided code is a JUnit test case for the Butter Knife library in Java. The purpose of this code is to verify that the @BindFloat annotation correctly binds fields with float types and fails if they are not bound as expected. This functionality enhances maintainability by providing automated tests for critical components like binding annotations. It also improves program comprehension by clearly defining what should happen when</t>
        </is>
      </c>
      <c r="M106" t="n">
        <v>0.0035</v>
      </c>
      <c r="N106" t="n">
        <v>0.0526</v>
      </c>
      <c r="O106" t="n">
        <v>0.1071</v>
      </c>
    </row>
    <row r="107">
      <c r="A107" t="inlineStr">
        <is>
          <t>butterknife</t>
        </is>
      </c>
      <c r="B107" t="inlineStr">
        <is>
          <t>butterknife-runtime/src/test/java/butterknife/TestGeneratingProcessor.java</t>
        </is>
      </c>
      <c r="C107">
        <f>HYPERLINK("https://github.com/JakeWharton/butterknife/blob/master/butterknife-runtime/src/test/java/butterknife/TestGeneratingProcessor.java")</f>
        <v/>
      </c>
      <c r="D107" t="inlineStr">
        <is>
          <t>The provided code is a Java annotation processor named "TestGeneratingProcessor". It extends the AbstractProcessor class from javax.annotation.processing package and uses Google Guava libraries for handling file objects and string manipulation. The purpose of this processor is to generate one output file based on annotated sources in its processing scope. This can be achieved by using @PerformGeneration annotations which are targeted</t>
        </is>
      </c>
      <c r="E107" t="n">
        <v>0.0036</v>
      </c>
      <c r="F107" t="n">
        <v>0.0286</v>
      </c>
      <c r="G107" t="n">
        <v>0.1136</v>
      </c>
      <c r="H107" t="inlineStr">
        <is>
          <t>The provided code is a Java annotation processor that generates one file for each annotated class in the source set. The generated file contains implementation of core algorithms related to the functionality marked with @PerformGeneration annotation. This process involves processing annotations and generating corresponding files based on them.
The complexity of this function seems to be O(N), where N represents the number of classes in</t>
        </is>
      </c>
      <c r="I107" t="n">
        <v>0.004</v>
      </c>
      <c r="J107" t="n">
        <v>0.1081</v>
      </c>
      <c r="K107" t="n">
        <v>0.1825</v>
      </c>
      <c r="L107" t="inlineStr">
        <is>
          <t>The provided code is a Java annotation processor named `TestGeneratingProcessor` that extends the abstract class `AbstractProcessor` from javax.annotation.processing package. The purpose of this processor seems to be generating one file based on annotations in source codes. 
It uses Google's Guava library for joining strings and creating immutable sets. It also utilizes ButterKnife which</t>
        </is>
      </c>
      <c r="M107" t="n">
        <v>0.0035</v>
      </c>
      <c r="N107" t="n">
        <v>0.0625</v>
      </c>
      <c r="O107" t="n">
        <v>0.12</v>
      </c>
    </row>
    <row r="108">
      <c r="A108" t="inlineStr">
        <is>
          <t>butterknife</t>
        </is>
      </c>
      <c r="B108" t="inlineStr">
        <is>
          <t>butterknife-runtime/src/test/java/butterknife/OnFocusChangeTest.java</t>
        </is>
      </c>
      <c r="C108">
        <f>HYPERLINK("https://github.com/JakeWharton/butterknife/blob/master/butterknife-runtime/src/test/java/butterknife/OnFocusChangeTest.java")</f>
        <v/>
      </c>
      <c r="D108" t="inlineStr">
        <is>
          <t>The code provided is a JUnit test for the Butter Knife library's `@OnFocusChange` annotation processor. The test creates two Java source files - one representing an annotated class (`test.Test`), and another representing generated bindings for that class (`test/Test_ViewBinding`). 
The purpose of this test seems to be to verify if</t>
        </is>
      </c>
      <c r="E108" t="n">
        <v>0.0037</v>
      </c>
      <c r="F108" t="n">
        <v>0.0333</v>
      </c>
      <c r="G108" t="n">
        <v>0.08260000000000001</v>
      </c>
      <c r="H108" t="inlineStr">
        <is>
          <t>The code you provided is for a Java class that uses the Butter Knife library to bind views in Android applications. The `@OnFocusChange` annotation generates an implementation of the View.OnFocusChangeListener interface and automatically injects it into fields annotated with @BindView or @OptionalBind. This allows developers to easily handle focus changes on their views without having to manually implement listeners themselves.</t>
        </is>
      </c>
      <c r="I108" t="n">
        <v>0.0036</v>
      </c>
      <c r="J108" t="n">
        <v>0.058</v>
      </c>
      <c r="K108" t="n">
        <v>0.1515</v>
      </c>
      <c r="L108" t="inlineStr">
        <is>
          <t>The provided code is a JUnit test for the Butter Knife library's `@OnFocusChange` annotation processor. The purpose of this test seems to be to verify that the generated binding class correctly implements the `OnFocusChangeListener` interface and has an appropriately annotated method (`doStuff()`). 
However, without seeing the actual implementation or context around it</t>
        </is>
      </c>
      <c r="M108" t="n">
        <v>0.0042</v>
      </c>
      <c r="N108" t="n">
        <v>0.0984</v>
      </c>
      <c r="O108" t="n">
        <v>0.121</v>
      </c>
    </row>
    <row r="109">
      <c r="A109" t="inlineStr">
        <is>
          <t>butterknife</t>
        </is>
      </c>
      <c r="B109" t="inlineStr">
        <is>
          <t>butterknife-runtime/src/test/java/butterknife/BindBitmapTest.java</t>
        </is>
      </c>
      <c r="C109">
        <f>HYPERLINK("https://github.com/JakeWharton/butterknife/blob/master/butterknife-runtime/src/test/java/butterknife/BindBitmapTest.java")</f>
        <v/>
      </c>
      <c r="D109" t="inlineStr">
        <is>
          <t>The provided code is a JUnit test case for the Butter Knife library in Java. It tests whether an annotation `@BindBitmap` from Butter Knife can be used correctly by checking if it requires its field type to be of 'Bitmap' data type. The test fails when the annotated field does not have the correct type and should compile successfully otherwise.  This</t>
        </is>
      </c>
      <c r="E109" t="n">
        <v>0.0036</v>
      </c>
      <c r="F109" t="n">
        <v>0.029</v>
      </c>
      <c r="G109" t="n">
        <v>0.1128</v>
      </c>
      <c r="H109" t="inlineStr">
        <is>
          <t>The provided code is a Java test case for the Butter Knife library, which provides compile-time annotations to reduce boilerplate in Android development. The purpose of this specific test is to ensure that if you try and bind a field annotated with @BindBitmap to something other than Bitmap (like String), it will fail compilation. This ensures type safety at compile time instead</t>
        </is>
      </c>
      <c r="I109" t="n">
        <v>0.0035</v>
      </c>
      <c r="J109" t="n">
        <v>0.0563</v>
      </c>
      <c r="K109" t="n">
        <v>0.0746</v>
      </c>
      <c r="L109" t="inlineStr">
        <is>
          <t>The provided code is a JUnit test for the Butter Knife library in Java. The purpose of this test is to verify that the @BindBitmap annotation from Butter Knife works as expected by attempting to bind an annotated field with type String instead of Bitmap and expecting it to fail during compilation. This ensures proper usage of the annotation and helps maintain code readability,</t>
        </is>
      </c>
      <c r="M109" t="n">
        <v>0.0034</v>
      </c>
      <c r="N109" t="n">
        <v>0.0556</v>
      </c>
      <c r="O109" t="n">
        <v>0.1103</v>
      </c>
    </row>
    <row r="110">
      <c r="A110" t="inlineStr">
        <is>
          <t>butterknife</t>
        </is>
      </c>
      <c r="B110" t="inlineStr">
        <is>
          <t>butterknife-runtime/src/test/java/butterknife/BindViewsTest.java</t>
        </is>
      </c>
      <c r="C110">
        <f>HYPERLINK("https://github.com/JakeWharton/butterknife/blob/master/butterknife-runtime/src/test/java/butterknife/BindViewsTest.java")</f>
        <v/>
      </c>
      <c r="D110" t="inlineStr">
        <is>
          <t>The code provided is a JUnit test for the Butter Knife library's `@BindViews` annotation processor. The purpose of this test is to verify that it can correctly process an array binding with generics. 
In the given source code, there are two classes defined - "test.Test" and "test.Test_ViewBinding". Class "test</t>
        </is>
      </c>
      <c r="E110" t="n">
        <v>0.0037</v>
      </c>
      <c r="F110" t="n">
        <v>0.0667</v>
      </c>
      <c r="G110" t="n">
        <v>0.08260000000000001</v>
      </c>
      <c r="H110" t="inlineStr">
        <is>
          <t>The provided code is a Java class that uses Butter Knife library to bind views in an Android application. The `@BindViews` annotation is used on the field declaration of type T[], where T extends View. This means it's binding multiple views with specific IDs (in this case {1, 2, 3}). The test method tests if the array 'thing'</t>
        </is>
      </c>
      <c r="I110" t="n">
        <v>0.0031</v>
      </c>
      <c r="J110" t="n">
        <v>0.0299</v>
      </c>
      <c r="K110" t="n">
        <v>0.0769</v>
      </c>
      <c r="L110" t="inlineStr">
        <is>
          <t>The provided code is a JUnit test for an Android application using the Butter Knife library to bind views in Java. The main purpose of this class `BindViewsTest` is to verify that the annotation processor correctly handles binding arrays with generic types (e.g., Integer[], String[]). This functionality enhances maintainability and comprehensibility by providing automated tests for critical components of the software</t>
        </is>
      </c>
      <c r="M110" t="n">
        <v>0.0042</v>
      </c>
      <c r="N110" t="n">
        <v>0.0857</v>
      </c>
      <c r="O110" t="n">
        <v>0.1504</v>
      </c>
    </row>
    <row r="111">
      <c r="A111" t="inlineStr">
        <is>
          <t>butterknife</t>
        </is>
      </c>
      <c r="B111" t="inlineStr">
        <is>
          <t>butterknife-runtime/src/test/java/butterknife/OnItemLongClickTest.java</t>
        </is>
      </c>
      <c r="C111">
        <f>HYPERLINK("https://github.com/JakeWharton/butterknife/blob/master/butterknife-runtime/src/test/java/butterknife/OnItemLongClickTest.java")</f>
        <v/>
      </c>
      <c r="D111" t="inlineStr">
        <is>
          <t>The code provided is a JUnit test for the ButterKnife library's `@OnItemLongClick` annotation processor. The purpose of this test seems to be to verify that when an item in a list view (or similar widget) receives a long click event, it triggers the annotated method correctly. 
However, without knowing more about the specific implementation details or context,</t>
        </is>
      </c>
      <c r="E111" t="n">
        <v>0</v>
      </c>
      <c r="F111" t="n">
        <v>0.0606</v>
      </c>
      <c r="G111" t="n">
        <v>0.0775</v>
      </c>
      <c r="H111" t="inlineStr">
        <is>
          <t>The code you provided is a Java class that uses the Butter Knife library to handle item long click events on an AdapterView. The `@OnItemLongClick` annotation binds a method to be called when an item in the list view has been long clicked. This method should return true if it handled the event and false otherwise.
In this specific case, there's</t>
        </is>
      </c>
      <c r="I111" t="n">
        <v>0.0036</v>
      </c>
      <c r="J111" t="n">
        <v>0.0571</v>
      </c>
      <c r="K111" t="n">
        <v>0.1128</v>
      </c>
      <c r="L111" t="inlineStr">
        <is>
          <t>The code provided is a JUnit test for the `OnItemLongClick` annotation from Butter Knife library in Android development. The purpose of this code is to verify if the method annotated with `@OnItemLongClick(position = 1)` returns false when called on an instance of class Test. This indicates that long click event at position 1 has not been handled yet. Code</t>
        </is>
      </c>
      <c r="M111" t="n">
        <v>0.0031</v>
      </c>
      <c r="N111" t="n">
        <v>0.0299</v>
      </c>
      <c r="O111" t="n">
        <v>0.0382</v>
      </c>
    </row>
    <row r="112">
      <c r="A112" t="inlineStr">
        <is>
          <t>butterknife</t>
        </is>
      </c>
      <c r="B112" t="inlineStr">
        <is>
          <t>butterknife-runtime/src/test/java/butterknife/BindDimenTest.java</t>
        </is>
      </c>
      <c r="C112">
        <f>HYPERLINK("https://github.com/JakeWharton/butterknife/blob/master/butterknife-runtime/src/test/java/butterknife/BindDimenTest.java")</f>
        <v/>
      </c>
      <c r="D112" t="inlineStr">
        <is>
          <t>The provided code is a JUnit test case for the Butter Knife library. It tests whether the `@BindDimen` annotation in an annotated class (`Test`) compiles successfully when used with fields of type int or float. If it uses any other types like String, the compiler will fail to compile and report an error message indicating that "@BindDimen</t>
        </is>
      </c>
      <c r="E112" t="n">
        <v>0.0032</v>
      </c>
      <c r="F112" t="n">
        <v>0.0308</v>
      </c>
      <c r="G112" t="n">
        <v>0.0775</v>
      </c>
      <c r="H112" t="inlineStr">
        <is>
          <t>The provided code is a Java test class that uses the Butter Knife library for dependency injection in Android development. The purpose of this test is to ensure that the `@BindDimen` annotation used correctly binds an integer or float value as expected by the Butter Knife processor. If there are any issues with the type specified in the annotation (it should be either 'int' or 'float</t>
        </is>
      </c>
      <c r="I112" t="n">
        <v>0</v>
      </c>
      <c r="J112" t="n">
        <v>0.027</v>
      </c>
      <c r="K112" t="n">
        <v>0.0725</v>
      </c>
      <c r="L112" t="inlineStr">
        <is>
          <t>The provided code is a JUnit test case for the Butter Knife library in Java. The purpose of this code is to verify that the @BindDimen annotation used correctly on fields with type int or float. If an incorrect type (e.g., String) is specified as the field type for the @BindDimen annotation, the compiler will fail and report an error message indicating the problem</t>
        </is>
      </c>
      <c r="M112" t="n">
        <v>0.0028</v>
      </c>
      <c r="N112" t="n">
        <v>0.0548</v>
      </c>
      <c r="O112" t="n">
        <v>0.1103</v>
      </c>
    </row>
    <row r="113">
      <c r="A113" t="inlineStr">
        <is>
          <t>butterknife</t>
        </is>
      </c>
      <c r="B113" t="inlineStr">
        <is>
          <t>butterknife-runtime/src/test/java/butterknife/BindArrayTest.java</t>
        </is>
      </c>
      <c r="C113">
        <f>HYPERLINK("https://github.com/JakeWharton/butterknife/blob/master/butterknife-runtime/src/test/java/butterknife/BindArrayTest.java")</f>
        <v/>
      </c>
      <c r="D113" t="inlineStr">
        <is>
          <t>ThegivencodeisaboutimplementingaJUnittesttoverifyifButterKnife'sprocessorcanproperlygeneratebindingsourcefilesbasedonannotationusageinthesourcenode.ItusesGoogle'stoolingAPIstocompileJavaSourcesandGuavatoolsfortruthtests.However,itdoesnotcontainanyactualcodetoexecuteorrun</t>
        </is>
      </c>
      <c r="E113" t="n">
        <v>0</v>
      </c>
      <c r="F113" t="n">
        <v>0</v>
      </c>
      <c r="G113" t="n">
        <v>0</v>
      </c>
      <c r="H113" t="inlineStr">
        <is>
          <t>The provided code is a Java class that uses the Butter Knife library to bind an array of integers with the @BindArray annotation in the Test class. The test method 'typedArray' tests if this binding process works correctly by comparing the values from the TypedArray and the expected array [1]. 
However, there are some parts missing or incomplete in your example such as import</t>
        </is>
      </c>
      <c r="I113" t="n">
        <v>0.0028</v>
      </c>
      <c r="J113" t="n">
        <v>0.0556</v>
      </c>
      <c r="K113" t="n">
        <v>0.1103</v>
      </c>
      <c r="L113" t="inlineStr">
        <is>
          <t>Thegivencodefilebindarraytest.javausesButterKnife,aframeworkfortypeconversionbetweenarraysandresourcesinAndroidapplications.Itdefinesatypedarrayvariablenamed'one',whichisboundtothespecifiedintegerresourceid1usingthe@BindArrayannotation. ThepurposeofthiscodeissharedamongstteammembersinthecurrentprojectviaGithubread</t>
        </is>
      </c>
      <c r="M113" t="n">
        <v>0</v>
      </c>
      <c r="N113" t="n">
        <v>0</v>
      </c>
      <c r="O113" t="n">
        <v>0</v>
      </c>
    </row>
    <row r="114">
      <c r="A114" t="inlineStr">
        <is>
          <t>butterknife</t>
        </is>
      </c>
      <c r="B114" t="inlineStr">
        <is>
          <t>butterknife-runtime/src/test/java/butterknife/ExtendViewTest.java</t>
        </is>
      </c>
      <c r="C114">
        <f>HYPERLINK("https://github.com/JakeWharton/butterknife/blob/master/butterknife-runtime/src/test/java/butterknife/ExtendViewTest.java")</f>
        <v/>
      </c>
      <c r="D114" t="inlineStr">
        <is>
          <t>The code provided is a test class for the Butter Knife library in Android development. It tests the functionality of binding boolean values to views using Butter Knife annotations. The test method `onlyResources()` creates two Java source files - one with the definition of a custom view class (named "Test") that extends View and has a Boolean field annotated with @BindBool annotation, and another</t>
        </is>
      </c>
      <c r="E114" t="n">
        <v>0.0034</v>
      </c>
      <c r="F114" t="n">
        <v>0.0563</v>
      </c>
      <c r="G114" t="n">
        <v>0.0735</v>
      </c>
      <c r="H114" t="inlineStr">
        <is>
          <t>The provided code is a Java class that extends an Android View and uses Butter Knife for binding views to fields in the class. The @BindBool annotation binds boolean values from resources. This code does not contain any explicit addition operation as it's already done by the framework during view inflation process. However, if there were additional operations like subtraction or multiplication, they would be handled similarly with</t>
        </is>
      </c>
      <c r="I114" t="n">
        <v>0.0032</v>
      </c>
      <c r="J114" t="n">
        <v>0.026</v>
      </c>
      <c r="K114" t="n">
        <v>0.1071</v>
      </c>
      <c r="L114" t="inlineStr">
        <is>
          <t>The provided code is a JUnit test for the Butter Knife library in Android development. The purpose of this test is to verify that the binding process works correctly by testing only resources functionality. It does not involve any network or database operations. 
   This test creates two Java source files - one representing the original class "Test" and another representing the generated bindings for the same class</t>
        </is>
      </c>
      <c r="M114" t="n">
        <v>0.0032</v>
      </c>
      <c r="N114" t="n">
        <v>0.08110000000000001</v>
      </c>
      <c r="O114" t="n">
        <v>0.1079</v>
      </c>
    </row>
    <row r="115">
      <c r="A115" t="inlineStr">
        <is>
          <t>butterknife</t>
        </is>
      </c>
      <c r="B115" t="inlineStr">
        <is>
          <t>butterknife-runtime/src/test/java/butterknife/BindColorTest.java</t>
        </is>
      </c>
      <c r="C115">
        <f>HYPERLINK("https://github.com/JakeWharton/butterknife/blob/master/butterknife-runtime/src/test/java/butterknife/BindColorTest.java")</f>
        <v/>
      </c>
      <c r="D115" t="inlineStr">
        <is>
          <t>The code is a JUnit test for the Butter Knife library's @BindColor annotation processor. It tests the functionality of this annotation by creating an instance of Test class with the @BindColor annotation and verifying that it binds correctly to its corresponding color resource in Android. The generated source from Butter Knife should not be modified as per their instructions (README). This repository contains backend</t>
        </is>
      </c>
      <c r="E115" t="n">
        <v>0.0037</v>
      </c>
      <c r="F115" t="n">
        <v>0.0548</v>
      </c>
      <c r="G115" t="n">
        <v>0.1103</v>
      </c>
      <c r="H115" t="inlineStr">
        <is>
          <t>ThegivencodeisaboutusingButterKnife's`@BindColor`annotationtobindcolorsdefinedinresourceswithfieldsindataclasses.Itusesreflectiontogenerategettersforthespecifiedcolorvalueswhichmayleadtotimecomplexityissuesiftherearemanysuchfieldsinlargedataclass.Inthiscase,ithasacomplexityofO</t>
        </is>
      </c>
      <c r="I115" t="n">
        <v>0</v>
      </c>
      <c r="J115" t="n">
        <v>0</v>
      </c>
      <c r="K115" t="n">
        <v>0</v>
      </c>
      <c r="L115" t="inlineStr">
        <is>
          <t>The provided code is a JUnit test for the Butter Knife library's `@BindColor` annotation processor. The purpose of this class is to verify that the compiler correctly generates bindings when an integer resource ID is annotated with @BindColor.
The main behavior involves creating two Java source files - one representing the original unprocessed code and another representing the processed (comp</t>
        </is>
      </c>
      <c r="M115" t="n">
        <v>0.003</v>
      </c>
      <c r="N115" t="n">
        <v>0.0588</v>
      </c>
      <c r="O115" t="n">
        <v>0.07580000000000001</v>
      </c>
    </row>
    <row r="116">
      <c r="A116" t="inlineStr">
        <is>
          <t>butterknife</t>
        </is>
      </c>
      <c r="B116" t="inlineStr">
        <is>
          <t>butterknife-runtime/src/test/java/butterknife/OnItemSelectedTest.java</t>
        </is>
      </c>
      <c r="C116">
        <f>HYPERLINK("https://github.com/JakeWharton/butterknife/blob/master/butterknife-runtime/src/test/java/butterknife/OnItemSelectedTest.java")</f>
        <v/>
      </c>
      <c r="D116" t="inlineStr">
        <is>
          <t>The code provided is a JUnit test case for testing the functionality of Butter Knife's `@OnItemSelected` annotation with multiple methods in an Android application. It creates two Java source files - one for the Test class and another for its view binding. The purpose of these tests are to exercise callbacks associated with this annotation on different methods within the Test class. This could include unit testing</t>
        </is>
      </c>
      <c r="E116" t="n">
        <v>0.0036</v>
      </c>
      <c r="F116" t="n">
        <v>0.0533</v>
      </c>
      <c r="G116" t="n">
        <v>0.1079</v>
      </c>
      <c r="H116" t="inlineStr">
        <is>
          <t>The provided code is a Java class that uses the Butter Knife library to generate callback methods for `Spinner` or `DropDownList` items in Android applications. 
Here's a concise summary of its functionality: This repository contains backend software components implementing core algorithms related to handling item selection events on an Android application using the Butter Knife library. The OnItemSelected annotation</t>
        </is>
      </c>
      <c r="I116" t="n">
        <v>0.0041</v>
      </c>
      <c r="J116" t="n">
        <v>0.1176</v>
      </c>
      <c r="K116" t="n">
        <v>0.284</v>
      </c>
      <c r="L116" t="inlineStr">
        <is>
          <t>The provided code is a JUnit test case for an Android application using the Butter Knife library to bind views and handle item selections in an AdapterView. The main purpose of this class is to verify that the 'doStuff' method correctly handles selection events on items within an AdapterView.
From step 1, we understand that the codedoes as it tests</t>
        </is>
      </c>
      <c r="M116" t="n">
        <v>0.003</v>
      </c>
      <c r="N116" t="n">
        <v>0.0294</v>
      </c>
      <c r="O116" t="n">
        <v>0.1136</v>
      </c>
    </row>
    <row r="117">
      <c r="A117" t="inlineStr">
        <is>
          <t>butterknife</t>
        </is>
      </c>
      <c r="B117" t="inlineStr">
        <is>
          <t>butterknife-runtime/src/test/java/butterknife/BindStringTest.java</t>
        </is>
      </c>
      <c r="C117">
        <f>HYPERLINK("https://github.com/JakeWharton/butterknife/blob/master/butterknife-runtime/src/test/java/butterknife/BindStringTest.java")</f>
        <v/>
      </c>
      <c r="D117" t="inlineStr">
        <is>
          <t>The code provided is a JUnit test for the ButterKnife library in Java. The purpose of this test is to verify that an error occurs when trying to annotate a field with @BindString and assign it a type other than String. 
In particular, the line `@BindString(1) boolean one;` should cause compilation failure because the annotation can</t>
        </is>
      </c>
      <c r="E117" t="n">
        <v>0.0033</v>
      </c>
      <c r="F117" t="n">
        <v>0.0615</v>
      </c>
      <c r="G117" t="n">
        <v>0.0781</v>
      </c>
      <c r="H117" t="inlineStr">
        <is>
          <t>The provided code is a JUnit test for the Butter Knife library in Java. The purpose of this test is to ensure that when using the @BindString annotation with an incorrect type (not String), it fails compilation. Here are some key points about the functionality and summary of the provided code:
- It tests if the `@BindString` annotation can be used correctly by</t>
        </is>
      </c>
      <c r="I117" t="n">
        <v>0.0061</v>
      </c>
      <c r="J117" t="n">
        <v>0.0857</v>
      </c>
      <c r="K117" t="n">
        <v>0.1893</v>
      </c>
      <c r="L117" t="inlineStr">
        <is>
          <t>The provided code is a JUnit test case for the ButterKnife library in Java. The purpose of this test is to ensure that the @BindString annotation has been correctly implemented and its field type must be 'String'. This means that it tests whether the compiler can detect if an annotated variable does not have String as its type. 
However, without context or understanding</t>
        </is>
      </c>
      <c r="M117" t="n">
        <v>0.0034</v>
      </c>
      <c r="N117" t="n">
        <v>0.08450000000000001</v>
      </c>
      <c r="O117" t="n">
        <v>0.1111</v>
      </c>
    </row>
    <row r="118">
      <c r="A118" t="inlineStr">
        <is>
          <t>butterknife</t>
        </is>
      </c>
      <c r="B118" t="inlineStr">
        <is>
          <t>butterknife-runtime/src/test/java/butterknife/BindViewTest.java</t>
        </is>
      </c>
      <c r="C118">
        <f>HYPERLINK("https://github.com/JakeWharton/butterknife/blob/master/butterknife-runtime/src/test/java/butterknife/BindViewTest.java")</f>
        <v/>
      </c>
      <c r="D118" t="inlineStr">
        <is>
          <t>The provided code is a JUnit test for the Butter Knife library's `@BindView` annotation processor. The purpose of this test is to verify that the `@BindView` annotation can be used correctly and generates the correct binding class during compilation. 
In particular, it tests the functionality when running in non-debug mode (i.e., min</t>
        </is>
      </c>
      <c r="E118" t="n">
        <v>0.0042</v>
      </c>
      <c r="F118" t="n">
        <v>0.0635</v>
      </c>
      <c r="G118" t="n">
        <v>0.121</v>
      </c>
      <c r="H118" t="inlineStr">
        <is>
          <t>The provided code is a Java test class for the Butter Knife library's @BindView annotation processor. It tests whether the binding process works correctly by creating an instance of Test and attempting to bind it with the View at ID 1. The expected outcome should be that the thing field in the Test class will have been properly initialized with the corresponding view from the layout file when running this test under</t>
        </is>
      </c>
      <c r="I118" t="n">
        <v>0.0025</v>
      </c>
      <c r="J118" t="n">
        <v>0.0247</v>
      </c>
      <c r="K118" t="n">
        <v>0.1042</v>
      </c>
      <c r="L118" t="inlineStr">
        <is>
          <t>The provided code is a JUnit test case for testing the Butter Knife library's @BindView annotation functionality in an Android application. The purpose of this code is to bind views from an XML layout file with annotated fields using the @BindView annotation and verify that these bindings are correctly implemented by comparing them against expected values.\n\nThe main behavior of the code involves creating Java</t>
        </is>
      </c>
      <c r="M118" t="n">
        <v>0.0034</v>
      </c>
      <c r="N118" t="n">
        <v>0.0533</v>
      </c>
      <c r="O118" t="n">
        <v>0.1471</v>
      </c>
    </row>
    <row r="119">
      <c r="A119" t="inlineStr">
        <is>
          <t>butterknife</t>
        </is>
      </c>
      <c r="B119" t="inlineStr">
        <is>
          <t>butterknife-runtime/src/test/java/butterknife/OnTouchTest.java</t>
        </is>
      </c>
      <c r="C119">
        <f>HYPERLINK("https://github.com/JakeWharton/butterknife/blob/master/butterknife-runtime/src/test/java/butterknife/OnTouchTest.java")</f>
        <v/>
      </c>
      <c r="D119" t="inlineStr">
        <is>
          <t>The code provided is a JUnit test for the Butter Knife library's `@OnTouch` annotation processor. The test creates two Java source files: one with an annotated class (`test.Test`), and another that should be generated by the processing step of the Butter Knife compiler on the first file (`test/Test_ViewBinding`). 
However</t>
        </is>
      </c>
      <c r="E119" t="n">
        <v>0.0037</v>
      </c>
      <c r="F119" t="n">
        <v>0.0328</v>
      </c>
      <c r="G119" t="n">
        <v>0.0413</v>
      </c>
      <c r="H119" t="inlineStr">
        <is>
          <t>The code provided is a Java class named `OnTouchTest` that uses the Butter Knife library to bind views and handle touch events on Android. The purpose of this class seems to be testing the functionality related to handling touch events with the @OnTouch annotation from the Butter Knife library. 
Inside the test method `touch()`, there's an instance variable called</t>
        </is>
      </c>
      <c r="I119" t="n">
        <v>0.0037</v>
      </c>
      <c r="J119" t="n">
        <v>0.0588</v>
      </c>
      <c r="K119" t="n">
        <v>0.1145</v>
      </c>
      <c r="L119" t="inlineStr">
        <is>
          <t>The provided code is a JUnit test for the `OnTouch` annotation processor in Butter Knife library. The purpose of this code is to verify if the `doStuff()` method correctly handles touch events and returns false when invoked. 
The input to the function is an instance of MotionEvent class which represents the event data related to touch interaction with the screen.</t>
        </is>
      </c>
      <c r="M119" t="n">
        <v>0.003</v>
      </c>
      <c r="N119" t="n">
        <v>0.0588</v>
      </c>
      <c r="O119" t="n">
        <v>0.1136</v>
      </c>
    </row>
    <row r="120">
      <c r="A120" t="inlineStr">
        <is>
          <t>butterknife</t>
        </is>
      </c>
      <c r="B120" t="inlineStr">
        <is>
          <t>butterknife-runtime/src/test/java/butterknife/BindAnimTest.java</t>
        </is>
      </c>
      <c r="C120">
        <f>HYPERLINK("https://github.com/JakeWharton/butterknife/blob/master/butterknife-runtime/src/test/java/butterknife/BindAnimTest.java")</f>
        <v/>
      </c>
      <c r="D120" t="inlineStr">
        <is>
          <t>The provided code is a JUnit test for the Butter Knife library in Java. The purpose of this test is to verify that if there are any errors or issues with the @BindAnim annotation from the Butter Knife library. 
In particular, it tests whether an error will occur when trying to use the @BindAnim annotation on a field whose type isnâĢĻ</t>
        </is>
      </c>
      <c r="E120" t="n">
        <v>0</v>
      </c>
      <c r="F120" t="n">
        <v>0.029</v>
      </c>
      <c r="G120" t="n">
        <v>0.0752</v>
      </c>
      <c r="H120" t="inlineStr">
        <is>
          <t>The provided code is a JUnit test for the Butter Knife library in Java. The purpose of this test is to ensure that an error will be thrown if the type specified on a field annotated with @BindAnim is not 'Animation'. In other words, it tests the functionality of the annotation processing part of the Butter Knife library.
Here are some key points about the</t>
        </is>
      </c>
      <c r="I120" t="n">
        <v>0.0028</v>
      </c>
      <c r="J120" t="n">
        <v>0.0548</v>
      </c>
      <c r="K120" t="n">
        <v>0.073</v>
      </c>
      <c r="L120" t="inlineStr">
        <is>
          <t>The provided code is a JUnit test for the ButterKnife library in Java. It tests if an annotation @BindAnim with value 1 on a String field named "one" within class Test of package test compiles successfully or not. If it does compile without error, then it means that the type specified after @BindAnim must be 'Animation', which is incorrect</t>
        </is>
      </c>
      <c r="M120" t="n">
        <v>0</v>
      </c>
      <c r="N120" t="n">
        <v>0</v>
      </c>
      <c r="O120" t="n">
        <v>0</v>
      </c>
    </row>
    <row r="121">
      <c r="A121" t="inlineStr">
        <is>
          <t>butterknife</t>
        </is>
      </c>
      <c r="B121" t="inlineStr">
        <is>
          <t>butterknife-runtime/src/test/java/butterknife/OnItemClickTest.java</t>
        </is>
      </c>
      <c r="C121">
        <f>HYPERLINK("https://github.com/JakeWharton/butterknife/blob/master/butterknife-runtime/src/test/java/butterknife/OnItemClickTest.java")</f>
        <v/>
      </c>
      <c r="D121" t="inlineStr">
        <is>
          <t>ThegivencodeusesButter Knife library for binding views in Android applications. The code is a JUnit test class that tests the functionality of Butter Knife's @OnItemClick annotation with parameters on an item click event. It creates two Java source files - one for testing and another for View Binding. This helps to ensure proper functioning of callback methods associated with item clicks in Android</t>
        </is>
      </c>
      <c r="E121" t="n">
        <v>0.0039</v>
      </c>
      <c r="F121" t="n">
        <v>0.0571</v>
      </c>
      <c r="G121" t="n">
        <v>0.1119</v>
      </c>
      <c r="H121" t="inlineStr">
        <is>
          <t>The provided code is a Java source file that uses the Butter Knife library to bind views in Android applications. It contains an OnItemClick annotation which is used on a method doStuff(). The purpose of this test case is to verify if clicking on a list item triggers the corresponding callback function (in this case, doStuff()). This process enhances software quality by ensuring proper functioning and interaction</t>
        </is>
      </c>
      <c r="I121" t="n">
        <v>0.0036</v>
      </c>
      <c r="J121" t="n">
        <v>0.1067</v>
      </c>
      <c r="K121" t="n">
        <v>0.2271</v>
      </c>
      <c r="L121" t="inlineStr">
        <is>
          <t>ThegivencodeusesButter Knife library to bind views in a test class for an Android application. The main purpose of the code is to augment `OnClickTest` with tests that exercise callbacks with parameters. It uses Butter Knife's @OnItemClick annotation on the doStuff method and creates instances of JavaFileObjects using source strings representing the package name and class definition.</t>
        </is>
      </c>
      <c r="M121" t="n">
        <v>0.0033</v>
      </c>
      <c r="N121" t="n">
        <v>0.0308</v>
      </c>
      <c r="O121" t="n">
        <v>0.0781</v>
      </c>
    </row>
    <row r="122">
      <c r="A122" t="inlineStr">
        <is>
          <t>butterknife</t>
        </is>
      </c>
      <c r="B122" t="inlineStr">
        <is>
          <t>butterknife-runtime/src/test/java/butterknife/ClasspathParentBindTest.java</t>
        </is>
      </c>
      <c r="C122">
        <f>HYPERLINK("https://github.com/JakeWharton/butterknife/blob/master/butterknife-runtime/src/test/java/butterknife/ClasspathParentBindTest.java")</f>
        <v/>
      </c>
      <c r="D122" t="inlineStr">
        <is>
          <t>The code provided is a test class for the Butter Knife library in Java. It tests binding generation when super classes are from the class path. The test creates an instance of TemporaryFolder rule to create temporary directories and files during testing. A @Test annotation indicates that this method should be run as a test case. In summary, it's used to verify if the Butter Knife compiler can</t>
        </is>
      </c>
      <c r="E122" t="n">
        <v>0.0027</v>
      </c>
      <c r="F122" t="n">
        <v>0.026</v>
      </c>
      <c r="G122" t="n">
        <v>0.1071</v>
      </c>
      <c r="H122" t="inlineStr">
        <is>
          <t>The code you provided is a Java class that uses Butter Knife library to compile and test the generation of binding when super classes are from the class path. The complexity seems O(N), where N represents the number of files being compiled together. It tests if parent bindings work correctly in case of using super classes present on the class path.
However, without seeing your actual implementation or</t>
        </is>
      </c>
      <c r="I122" t="n">
        <v>0.0027</v>
      </c>
      <c r="J122" t="n">
        <v>0.026</v>
      </c>
      <c r="K122" t="n">
        <v>0.1071</v>
      </c>
      <c r="L122" t="inlineStr">
        <is>
          <t>The provided code is a JUnit test for the Butter Knife compiler's ability to generate binding correctly when super classes are from the class path. The main purpose of this test is to verify that bindings can be generated successfully and accurately when there are multiple super classes in the source file.
The input to the function is two files - one containing Java source code with annotations (</t>
        </is>
      </c>
      <c r="M122" t="n">
        <v>0.0026</v>
      </c>
      <c r="N122" t="n">
        <v>0.0526</v>
      </c>
      <c r="O122" t="n">
        <v>0.1064</v>
      </c>
    </row>
    <row r="123">
      <c r="A123" t="inlineStr">
        <is>
          <t>butterknife</t>
        </is>
      </c>
      <c r="B123" t="inlineStr">
        <is>
          <t>butterknife-runtime/src/test/java/butterknife/OnEditorActionTest.java</t>
        </is>
      </c>
      <c r="C123">
        <f>HYPERLINK("https://github.com/JakeWharton/butterknife/blob/master/butterknife-runtime/src/test/java/butterknife/OnEditorActionTest.java")</f>
        <v/>
      </c>
      <c r="D123" t="inlineStr">
        <is>
          <t>The code provided is a JUnit test for the `OnEditorAction` annotation processor from Butter Knife library in Java. The purpose of this test seems to be to verify that the annotation works correctly by checking if it binds an editor action (likely keyboard event like key press or release on some text-editing component). 
However, without seeing the actual implementation details and context</t>
        </is>
      </c>
      <c r="E123" t="n">
        <v>0.0029</v>
      </c>
      <c r="F123" t="n">
        <v>0.08450000000000001</v>
      </c>
      <c r="G123" t="n">
        <v>0.1493</v>
      </c>
      <c r="H123" t="inlineStr">
        <is>
          <t>The code provided is a Java class named `OnEditorActionTest` that contains a JUnit test method called `editorAction()`. This test checks the functionality of an annotation processor named Butter Knife's `@OnEditorAction` on a method in a class named `Test`. The purpose of this test seems to be to verify if the `doStuff()` method returns</t>
        </is>
      </c>
      <c r="I123" t="n">
        <v>0.0041</v>
      </c>
      <c r="J123" t="n">
        <v>0.0645</v>
      </c>
      <c r="K123" t="n">
        <v>0.08</v>
      </c>
      <c r="L123" t="inlineStr">
        <is>
          <t>The code provided is a JUnit test for an annotation `@OnEditorAction` from the Butter Knife library in Java. The purpose of this class seems to be testing if the method `boolean doStuff()` annotated with `@OnEditorAction(1)` behaves as expected when triggered by an editor action on a view associated with that annotation. 
However</t>
        </is>
      </c>
      <c r="M123" t="n">
        <v>0</v>
      </c>
      <c r="N123" t="n">
        <v>0.0328</v>
      </c>
      <c r="O123" t="n">
        <v>0.0403</v>
      </c>
    </row>
    <row r="124">
      <c r="A124" t="inlineStr">
        <is>
          <t>butterknife</t>
        </is>
      </c>
      <c r="B124" t="inlineStr">
        <is>
          <t>butterknife-runtime/src/test/java/butterknife/RClassTest.java</t>
        </is>
      </c>
      <c r="C124">
        <f>HYPERLINK("https://github.com/JakeWharton/butterknife/blob/master/butterknife-runtime/src/test/java/butterknife/RClassTest.java")</f>
        <v/>
      </c>
      <c r="D124" t="inlineStr">
        <is>
          <t>The code provided is a JUnit test case for the Butter Knife library's processing of R class files. It tests if the processor correctly generates bindings for resources in an Android project. The functionality involves creating Java source file objects from string representations of R classes and then checking whether they compile successfully using Google Truth assertions. This process ensures that Butter Knife can handle resource binding properly.</t>
        </is>
      </c>
      <c r="E124" t="n">
        <v>0.0035</v>
      </c>
      <c r="F124" t="n">
        <v>0.0519</v>
      </c>
      <c r="G124" t="n">
        <v>0.1071</v>
      </c>
      <c r="H124" t="inlineStr">
        <is>
          <t>The code you provided is a Java class named RClassTest that contains several static final classes and their corresponding integer resource IDs for different types of variables such as arrays, booleans, colors, etc. The complexity of this code is O(N), where N represents the number of these variable types in total across all instances of the RClassTest class. This means if there are more variable</t>
        </is>
      </c>
      <c r="I124" t="n">
        <v>0.0033</v>
      </c>
      <c r="J124" t="n">
        <v>0.027</v>
      </c>
      <c r="K124" t="n">
        <v>0.073</v>
      </c>
      <c r="L124" t="inlineStr">
        <is>
          <t>The provided code is a Java class named "R". This class contains three static final classes each with one static integer field called 'res'. These fields hold resource IDs that are used in Android application development. The main purpose of this class seems to be providing access points for these resources within the application. It's important to note that while reading through the code it can be inferred its complexity</t>
        </is>
      </c>
      <c r="M124" t="n">
        <v>0.0026</v>
      </c>
      <c r="N124" t="n">
        <v>0.0253</v>
      </c>
      <c r="O124" t="n">
        <v>0.0704</v>
      </c>
    </row>
    <row r="125">
      <c r="A125" t="inlineStr">
        <is>
          <t>butterknife</t>
        </is>
      </c>
      <c r="B125" t="inlineStr">
        <is>
          <t>butterknife-runtime/src/test/java/butterknife/OnPageChangeTest.java</t>
        </is>
      </c>
      <c r="C125">
        <f>HYPERLINK("https://github.com/JakeWharton/butterknife/blob/master/butterknife-runtime/src/test/java/butterknife/OnPageChangeTest.java")</f>
        <v/>
      </c>
      <c r="D125" t="inlineStr">
        <is>
          <t>The code is a test case for the `OnPageChange` annotation from Butter Knife library in Java. The purpose of this test case is to verify if the generated binding class correctly handles page change events when using an Android View Pager with Butter Knife's `@OnPageChange` annotation. 
In the given source code, there is a class named "Test".</t>
        </is>
      </c>
      <c r="E125" t="n">
        <v>0</v>
      </c>
      <c r="F125" t="n">
        <v>0.0303</v>
      </c>
      <c r="G125" t="n">
        <v>0.0775</v>
      </c>
      <c r="H125" t="inlineStr">
        <is>
          <t>The code provided is a Java class named `OnPageChangeTest` that contains a JUnit test method called `pageChange()`. This test checks the functionality of an annotation processor named `ButterKnifeProcessor` which generates View Binding classes for Android views annotated with `@OnPageChange`. 
In this specific case, there are two source files involved -</t>
        </is>
      </c>
      <c r="I125" t="n">
        <v>0.0044</v>
      </c>
      <c r="J125" t="n">
        <v>0.0702</v>
      </c>
      <c r="K125" t="n">
        <v>0.082</v>
      </c>
      <c r="L125" t="inlineStr">
        <is>
          <t>The provided code is a JUnit test for an Android application using the Butter Knife library to generate view binding classes. The purpose of this test is to verify that the `OnPageChange` annotation correctly generates necessary methods in the generated View Binding class (`Test_ViewBinding`). 
The input to this function is the source Java file containing the annotated method and its</t>
        </is>
      </c>
      <c r="M125" t="n">
        <v>0.003</v>
      </c>
      <c r="N125" t="n">
        <v>0.08699999999999999</v>
      </c>
      <c r="O125" t="n">
        <v>0.1136</v>
      </c>
    </row>
    <row r="126">
      <c r="A126" t="inlineStr">
        <is>
          <t>butterknife</t>
        </is>
      </c>
      <c r="B126" t="inlineStr">
        <is>
          <t>butterknife-runtime/src/test/java/butterknife/BindBoolTest.java</t>
        </is>
      </c>
      <c r="C126">
        <f>HYPERLINK("https://github.com/JakeWharton/butterknife/blob/master/butterknife-runtime/src/test/java/butterknife/BindBoolTest.java")</f>
        <v/>
      </c>
      <c r="D126" t="inlineStr">
        <is>
          <t>The provided code is a JUnit test case for the ButterKnife library in Java. The purpose of this test is to verify that an annotation @BindBool with boolean value must be present on fields annotated with it and these fields should have type 'boolean'. 
In this specific instance, there are two parts being tested:
- A method `typeMustBeBoolean</t>
        </is>
      </c>
      <c r="E126" t="n">
        <v>0.0031</v>
      </c>
      <c r="F126" t="n">
        <v>0.0615</v>
      </c>
      <c r="G126" t="n">
        <v>0.1154</v>
      </c>
      <c r="H126" t="inlineStr">
        <is>
          <t>The provided code is a Java test case using the Google Testing Framework to verify that Butter Knife annotation processor correctly handles errors when trying to bind an invalid type (not boolean) for @BindBool annotation in Android development. The function `typeMustBeBoolean` tests whether processing with Butter Knife Processor fails on line 4 of source file "test.Test". It checks if error</t>
        </is>
      </c>
      <c r="I126" t="n">
        <v>0</v>
      </c>
      <c r="J126" t="n">
        <v>0.029</v>
      </c>
      <c r="K126" t="n">
        <v>0.0379</v>
      </c>
      <c r="L126" t="inlineStr">
        <is>
          <t>The given source code is a JUnit test for the Butter Knife library. The purpose of this test is to verify that an annotation called @BindBool can only be applied to fields whose type is boolean. This ensures proper usage and correct binding in Android applications using Butter Knife. If any field annotated with @BindBool has a non-boolean type, the compiler will fail compilation due</t>
        </is>
      </c>
      <c r="M126" t="n">
        <v>0.0033</v>
      </c>
      <c r="N126" t="n">
        <v>0.0541</v>
      </c>
      <c r="O126" t="n">
        <v>0.1095</v>
      </c>
    </row>
    <row r="127">
      <c r="A127" t="inlineStr">
        <is>
          <t>butterknife</t>
        </is>
      </c>
      <c r="B127" t="inlineStr">
        <is>
          <t>butterknife-runtime/src/test/java/butterknife/OnClickTest.java</t>
        </is>
      </c>
      <c r="C127">
        <f>HYPERLINK("https://github.com/JakeWharton/butterknife/blob/master/butterknife-runtime/src/test/java/butterknife/OnClickTest.java")</f>
        <v/>
      </c>
      <c r="D127" t="inlineStr">
        <is>
          <t>The code is a JUnit test for the Butter Knife library in Java. The purpose of this test is to verify that certain methods are called only once during runtime. It does so by creating two `JavaFileObject`s - one for the source code of "test.Test" and another for the generated binding class ("test/Test_ViewBinding").
In the source code</t>
        </is>
      </c>
      <c r="E127" t="n">
        <v>0.0032</v>
      </c>
      <c r="F127" t="n">
        <v>0.0588</v>
      </c>
      <c r="G127" t="n">
        <v>0.0775</v>
      </c>
      <c r="H127" t="inlineStr">
        <is>
          <t>The provided code is for a simple math operation of addition using two numbers. The function `add` takes in two parameters and returns their sum. This functionality can be summarized as follows: "Adds twonumbers." Its complexity is O(1), meaning it performs a constant number of operations regardless of the size of input data. It has been committed to its initial state with a commit</t>
        </is>
      </c>
      <c r="I127" t="n">
        <v>0.0037</v>
      </c>
      <c r="J127" t="n">
        <v>0.0548</v>
      </c>
      <c r="K127" t="n">
        <v>0.1103</v>
      </c>
      <c r="L127" t="inlineStr">
        <is>
          <t>The code provided is a JUnit test for Butter Knife's @OnClick annotation in Android development. It tests the functionality of finding views that are clicked on and ensuring they only get called once. The main purpose of this code is to verify the correctness of the binding process between annotated fields (views) and their corresponding click handlers (@OnClick methods).
Inputs</t>
        </is>
      </c>
      <c r="M127" t="n">
        <v>0.0036</v>
      </c>
      <c r="N127" t="n">
        <v>0.058</v>
      </c>
      <c r="O127" t="n">
        <v>0.1136</v>
      </c>
    </row>
    <row r="128">
      <c r="A128" t="inlineStr">
        <is>
          <t>butterknife</t>
        </is>
      </c>
      <c r="B128" t="inlineStr">
        <is>
          <t>butterknife-runtime/src/test/java/butterknife/OnTextChangedTest.java</t>
        </is>
      </c>
      <c r="C128">
        <f>HYPERLINK("https://github.com/JakeWharton/butterknife/blob/master/butterknife-runtime/src/test/java/butterknife/OnTextChangedTest.java")</f>
        <v/>
      </c>
      <c r="D128" t="inlineStr">
        <is>
          <t>Thegivencodeisaboutimplementingaunit-testusingJUnitframeworktoverifyifacertainmethodinvokedbyonTextChangedeventiscalledproperlyornot.ItusesGoogle'sTruthlibraryfortheassessmentofexpectedoutputagainstactualresultsinunittests.
 The code is written in Java and uses the Butter Knife library for event binding</t>
        </is>
      </c>
      <c r="E128" t="n">
        <v>0.0123</v>
      </c>
      <c r="F128" t="n">
        <v>0.0741</v>
      </c>
      <c r="G128" t="n">
        <v>0.1136</v>
      </c>
      <c r="H128" t="inlineStr">
        <is>
          <t>The code you provided is a Java class that uses the Butter Knife library to handle text changes in an Android application. The `@OnTextChanged` annotation binds a method annotated with this annotation to listen for TextView's content change events. 
Inside the `doStuff()` method, it listens for any changes on the associated view and executes</t>
        </is>
      </c>
      <c r="I128" t="n">
        <v>0.0034</v>
      </c>
      <c r="J128" t="n">
        <v>0.0635</v>
      </c>
      <c r="K128" t="n">
        <v>0.119</v>
      </c>
      <c r="L128" t="inlineStr">
        <is>
          <t>The provided code is a JUnit test for an annotation processor that generates view binding classes using the Butter Knife library. The main purpose of this code is to verify if the `@OnTextChanged` annotation works correctly by checking whether it triggers the correct method when text in a TextView changes. This functionality enhances readability and comprehensibility of the code as it provides clear understanding about what each</t>
        </is>
      </c>
      <c r="M128" t="n">
        <v>0.0036</v>
      </c>
      <c r="N128" t="n">
        <v>0.08</v>
      </c>
      <c r="O128" t="n">
        <v>0.1079</v>
      </c>
    </row>
    <row r="129">
      <c r="A129" t="inlineStr">
        <is>
          <t>butterknife</t>
        </is>
      </c>
      <c r="B129" t="inlineStr">
        <is>
          <t>butterknife-runtime/src/test/java/butterknife/BindIntTest.java</t>
        </is>
      </c>
      <c r="C129">
        <f>HYPERLINK("https://github.com/JakeWharton/butterknife/blob/master/butterknife-runtime/src/test/java/butterknife/BindIntTest.java")</f>
        <v/>
      </c>
      <c r="D129" t="inlineStr">
        <is>
          <t>The provided code is a JUnit test case for the Butter Knife library in Java. The purpose of this test is to ensure that the `@BindInt` annotation used within the Test class has been correctly implemented and its field type must be an integer (i.e., 'int'). If any other data types are used as the value or if there is no corresponding variable declared with the same</t>
        </is>
      </c>
      <c r="E129" t="n">
        <v>0.0027</v>
      </c>
      <c r="F129" t="n">
        <v>0.0789</v>
      </c>
      <c r="G129" t="n">
        <v>0.1439</v>
      </c>
      <c r="H129" t="inlineStr">
        <is>
          <t>The provided code is a Java program that uses the Butter Knife library to bind an integer value to a field in a class using the @BindInt annotation. The test checks if the type of the annotated field (here "one") matches 'int', and fails compilation if it does not match. This means that any time this field isn't assigned an int value during initialization, there</t>
        </is>
      </c>
      <c r="I129" t="n">
        <v>0.0033</v>
      </c>
      <c r="J129" t="n">
        <v>0.027</v>
      </c>
      <c r="K129" t="n">
        <v>0.1095</v>
      </c>
      <c r="L129" t="inlineStr">
        <is>
          <t>```
The provided code is a JUnit test case for the Butter Knife library in Java programming language. The purpose of this test is to verify that an annotation called @BindInt with its field type set as int compiles successfully and fails if it does not meet these conditions. 
Here are key steps involved in analyzing the source code holistically:</t>
        </is>
      </c>
      <c r="M129" t="n">
        <v>0.003</v>
      </c>
      <c r="N129" t="n">
        <v>0.0597</v>
      </c>
      <c r="O129" t="n">
        <v>0.07580000000000001</v>
      </c>
    </row>
    <row r="130">
      <c r="A130" t="inlineStr">
        <is>
          <t>butterknife</t>
        </is>
      </c>
      <c r="B130" t="inlineStr">
        <is>
          <t>butterknife-runtime/src/test/java/butterknife/ExtendDialogTest.java</t>
        </is>
      </c>
      <c r="C130">
        <f>HYPERLINK("https://github.com/JakeWharton/butterknife/blob/master/butterknife-runtime/src/test/java/butterknife/ExtendDialogTest.java")</f>
        <v/>
      </c>
      <c r="D130" t="inlineStr">
        <is>
          <t>The provided code is a JUnit test for the Butter Knife library's annotation processor (`ButterKnifeProcessor`). The purpose of this test is to verify that only resources are processed by the `@BindBool` annotation in the class "Test". This means it tests whether the Butter Knife compiler can correctly identify and process boolean fields annotated with `@BindBool` from</t>
        </is>
      </c>
      <c r="E130" t="n">
        <v>0.0039</v>
      </c>
      <c r="F130" t="n">
        <v>0.0615</v>
      </c>
      <c r="G130" t="n">
        <v>0.0781</v>
      </c>
      <c r="H130" t="inlineStr">
        <is>
          <t>The provided code is a Java class that extends the Dialog class from Android and uses Butter Knife for binding boolean values to views in an XML layout file. The @BindBool annotation binds a boolean field annotated with it to a view in the corresponding activity or fragment's layout file. This process generates ViewBinding classes at compile time which are used by Butter Knife to inject the correct</t>
        </is>
      </c>
      <c r="I130" t="n">
        <v>0.0032</v>
      </c>
      <c r="J130" t="n">
        <v>0.026</v>
      </c>
      <c r="K130" t="n">
        <v>0.1071</v>
      </c>
      <c r="L130" t="inlineStr">
        <is>
          <t>The provided code is a JUnit test for an Android application using the Butter Knife library to bind views in a custom Dialog class named "Test". The main purpose of this code is to verify that only Resources are being used and not any other external dependencies or libraries like Volley, Retrofit etc. It uses the @BindBool annotation from Butter Knife to bind boolean values with resource</t>
        </is>
      </c>
      <c r="M130" t="n">
        <v>0.0027</v>
      </c>
      <c r="N130" t="n">
        <v>0.0533</v>
      </c>
      <c r="O130" t="n">
        <v>0.1079</v>
      </c>
    </row>
    <row r="131">
      <c r="A131" t="inlineStr">
        <is>
          <t>butterknife</t>
        </is>
      </c>
      <c r="B131" t="inlineStr">
        <is>
          <t>butterknife-runtime/src/test/java/butterknife/ExtendActivityTest.java</t>
        </is>
      </c>
      <c r="C131">
        <f>HYPERLINK("https://github.com/JakeWharton/butterknife/blob/master/butterknife-runtime/src/test/java/butterknife/ExtendActivityTest.java")</f>
        <v/>
      </c>
      <c r="D131" t="inlineStr">
        <is>
          <t>The code is a JUnit test for the Butter Knife library's functionality. The purpose of this test is to verify that only resources are being bound in an Android application using Butter Knife. This is done by creating two Java source files - one representing the activity class and another representing the generated view binding class. These sources are then compiled with the Butter Knife processor.
However</t>
        </is>
      </c>
      <c r="E131" t="n">
        <v>0.0032</v>
      </c>
      <c r="F131" t="n">
        <v>0.0533</v>
      </c>
      <c r="G131" t="n">
        <v>0.1079</v>
      </c>
      <c r="H131" t="inlineStr">
        <is>
          <t>The code you provided is a Java class that extends an Android Activity and uses the ButterKnife library for view binding. The @BindBool annotation binds a boolean field to a specific resource ID in the XML layout file of the activity. This means when the value of this variable changes, it will automatically update the corresponding UI element (in this case, a checkbox with the specified resource ID).</t>
        </is>
      </c>
      <c r="I131" t="n">
        <v>0.0032</v>
      </c>
      <c r="J131" t="n">
        <v>0.0263</v>
      </c>
      <c r="K131" t="n">
        <v>0.1071</v>
      </c>
      <c r="L131" t="inlineStr">
        <is>
          <t>The code provided is for a test class in Android using the Butter Knife library to bind views and resources. The main purpose of this class is to only test if certain resources are correctly bound by Butter Knife during runtime. 
It defines an activity named "Test" that extends from Activity. This activity has one boolean field annotated with @BindBool annotation which value is set as</t>
        </is>
      </c>
      <c r="M131" t="n">
        <v>0.0033</v>
      </c>
      <c r="N131" t="n">
        <v>0.027</v>
      </c>
      <c r="O131" t="n">
        <v>0.1087</v>
      </c>
    </row>
    <row r="132">
      <c r="A132" t="inlineStr">
        <is>
          <t>butterknife</t>
        </is>
      </c>
      <c r="B132" t="inlineStr">
        <is>
          <t>butterknife-runtime/src/test/java/butterknife/TestStubs.java</t>
        </is>
      </c>
      <c r="C132">
        <f>HYPERLINK("https://github.com/JakeWharton/butterknife/blob/master/butterknife-runtime/src/test/java/butterknife/TestStubs.java")</f>
        <v/>
      </c>
      <c r="D132" t="inlineStr">
        <is>
          <t>The provided code is a Java file that creates stubs for two classes using the ButterKnife library and Google's compile-time annotation processor. The first stub is for an Android class called ContextCompat which belongs to androidx.core.content package. This class does not contain any functionality as it serves as a placeholder for future implementation. 
The second stub is for an interface</t>
        </is>
      </c>
      <c r="E132" t="n">
        <v>0.004</v>
      </c>
      <c r="F132" t="n">
        <v>0.0556</v>
      </c>
      <c r="G132" t="n">
        <v>0.1136</v>
      </c>
      <c r="H132" t="inlineStr">
        <is>
          <t>The given code is a package named "butterknife". It imports two classes from the Google Testing Compile library - JavaFileObjects and javax.tools.JavaFileObject. Inside this package there's another final class called "TestStubs". This class contains two static finals which are instances of `JavaFileObject` with source strings representing Android framework components like ContextCompat and</t>
        </is>
      </c>
      <c r="I132" t="n">
        <v>0.0042</v>
      </c>
      <c r="J132" t="n">
        <v>0.0645</v>
      </c>
      <c r="K132" t="n">
        <v>0.0806</v>
      </c>
      <c r="L132" t="inlineStr">
        <is>
          <t>The provided code is a Java class named "TestStubs". This class contains two static final variables that represent Android source code files (stubbed versions of the classes 'androidx.core.content.ContextCompat' and 'androidx.viewpager.widget.ViewPager'). These stubs are used to test other components in isolation from their dependencies on real Android framework classes.</t>
        </is>
      </c>
      <c r="M132" t="n">
        <v>0.0045</v>
      </c>
      <c r="N132" t="n">
        <v>0.0968</v>
      </c>
      <c r="O132" t="n">
        <v>0.125</v>
      </c>
    </row>
    <row r="133">
      <c r="A133" t="inlineStr">
        <is>
          <t>butterknife</t>
        </is>
      </c>
      <c r="B133" t="inlineStr">
        <is>
          <t>butterknife-runtime/src/androidTest/java/butterknife/ViewCollectionsTest.java</t>
        </is>
      </c>
      <c r="C133">
        <f>HYPERLINK("https://github.com/JakeWharton/butterknife/blob/master/butterknife-runtime/src/androidTest/java/butterknife/ViewCollectionsTest.java")</f>
        <v/>
      </c>
      <c r="D133" t="inlineStr">
        <is>
          <t>The code provided is a test class for View Collections using ButterKnife library in Android development. It tests the functionality of custom properties and setters defined to manipulate views' enabled state and alpha value respectively. The complexity of this implementation is O(n), where n represents the number of elements being tested. This means that as more elements are added, the time taken by the algorithm increases linearly</t>
        </is>
      </c>
      <c r="E133" t="n">
        <v>0.0036</v>
      </c>
      <c r="F133" t="n">
        <v>0.0526</v>
      </c>
      <c r="G133" t="n">
        <v>0.1439</v>
      </c>
      <c r="H133" t="inlineStr">
        <is>
          <t>The code provided is a Java class named `ViewCollectionsTest` which contains several static final properties and setters for the View class in Android development framework. It also includes actions to disable views (enable/disable), zero out their alpha values etc., demonstrating functional programming concepts such as property delegates, lambda expressions, and action invocations on collections of objects. The complexity here can be</t>
        </is>
      </c>
      <c r="I133" t="n">
        <v>0.003</v>
      </c>
      <c r="J133" t="n">
        <v>0.0571</v>
      </c>
      <c r="K133" t="n">
        <v>0.0752</v>
      </c>
      <c r="L133" t="inlineStr">
        <is>
          <t>The provided code is a JUnit test for the ViewCollections class in an Android application. The purpose of this test is to verify the functionality and correctness of certain operations related to views such as enabling or disabling them, setting their alpha values etc. 
Here's a concise summary: This Java code tests various functionalities associated with managing collections of Android views (e.</t>
        </is>
      </c>
      <c r="M133" t="n">
        <v>0.0069</v>
      </c>
      <c r="N133" t="n">
        <v>0.08450000000000001</v>
      </c>
      <c r="O133" t="n">
        <v>0.1907</v>
      </c>
    </row>
    <row r="134">
      <c r="A134" t="inlineStr">
        <is>
          <t>butterknife</t>
        </is>
      </c>
      <c r="B134" t="inlineStr">
        <is>
          <t>butterknife-runtime/src/androidTest/java/butterknife/internal/UtilsTest.java</t>
        </is>
      </c>
      <c r="C134">
        <f>HYPERLINK("https://github.com/JakeWharton/butterknife/blob/master/butterknife-runtime/src/androidTest/java/butterknife/internal/UtilsTest.java")</f>
        <v/>
      </c>
      <c r="D134" t="inlineStr">
        <is>
          <t>The provided code is a JUnit test for the Utils class in butterknife library. The purpose of this test is to verify that when calling findRequiredView method with an invalid id and view type, it throws an IllegalStateException with a clear error message indicating what went wrong. This helps developers understand why their views are not being found as expected during runtime.
The two tests</t>
        </is>
      </c>
      <c r="E134" t="n">
        <v>0.0033</v>
      </c>
      <c r="F134" t="n">
        <v>0.0548</v>
      </c>
      <c r="G134" t="n">
        <v>0.1095</v>
      </c>
      <c r="H134" t="inlineStr">
        <is>
          <t>The provided code is a JUnit test for the Utils class in ButterKnife library which handles view injection and binding. The tests are checking if findRequiredView method throws an IllegalStateException when it can not find a required View with specified ID from a given context or parent view. In case of error, it asserts that the exception message matches expected one indicating missing view information. This functionality</t>
        </is>
      </c>
      <c r="I134" t="n">
        <v>0.0036</v>
      </c>
      <c r="J134" t="n">
        <v>0.0533</v>
      </c>
      <c r="K134" t="n">
        <v>0.1079</v>
      </c>
      <c r="L134" t="inlineStr">
        <is>
          <t>The provided code is a JUnit test for the `Utils` class in an Android application. The purpose of this code is to verify that certain views are correctly found by the `findRequiredView()` method from the Utils class and handle exceptions appropriately when they aren't found.
Here are some key aspects about its functionality:
1. It tests two scenarios where it</t>
        </is>
      </c>
      <c r="M134" t="n">
        <v>0.003</v>
      </c>
      <c r="N134" t="n">
        <v>0.058</v>
      </c>
      <c r="O134" t="n">
        <v>0.07580000000000001</v>
      </c>
    </row>
    <row r="135">
      <c r="A135" t="inlineStr">
        <is>
          <t>butterknife</t>
        </is>
      </c>
      <c r="B135" t="inlineStr">
        <is>
          <t>butterknife-lint/src/main/java/butterknife/lint/InvalidR2UsageDetector.java</t>
        </is>
      </c>
      <c r="C135">
        <f>HYPERLINK("https://github.com/JakeWharton/butterknife/blob/master/butterknife-lint/src/main/java/butterknife/lint/InvalidR2UsageDetector.java")</f>
        <v/>
      </c>
      <c r="D135" t="inlineStr">
        <is>
          <t>The code is a Java class that defines the functionality of an Android linter using ButterKnife and Google's Lint library for static analysis of Android projects. The purpose of this tool would be to identify potential issues in your Android project such as unused views or incorrect view binding syntax within the annotation @BindView from ButterKnife. It scans through the source code files looking for specific patterns</t>
        </is>
      </c>
      <c r="E135" t="n">
        <v>0.0032</v>
      </c>
      <c r="F135" t="n">
        <v>0.0526</v>
      </c>
      <c r="G135" t="n">
        <v>0.1079</v>
      </c>
      <c r="H135" t="inlineStr">
        <is>
          <t>The code you provided is a linter for Android projects using ButterKnife library and it's written in Java. It checks the usage of certain annotations (@BindView, @OnClick etc.) to ensure they are used correctly as per the ButterKnife documentation. The complexity here would be O(n), where n represents the number of lines or methods within your project that need to be</t>
        </is>
      </c>
      <c r="I135" t="n">
        <v>0.003</v>
      </c>
      <c r="J135" t="n">
        <v>0.0282</v>
      </c>
      <c r="K135" t="n">
        <v>0.0752</v>
      </c>
      <c r="L135" t="inlineStr">
        <is>
          <t>```java
// This code is a custom linter for Android projects using ButterKnife library which checks if the correct annotation (@BindView or @OnClick) 
// has been used on fields in classes annotated with @Activity or @Fragment. The purpose of this check is to ensure proper use and maintenance of the ButterKnife library.
public class CustomBut</t>
        </is>
      </c>
      <c r="M135" t="n">
        <v>0.004</v>
      </c>
      <c r="N135" t="n">
        <v>0.06560000000000001</v>
      </c>
      <c r="O135" t="n">
        <v>0.2012</v>
      </c>
    </row>
    <row r="136">
      <c r="A136" t="inlineStr">
        <is>
          <t>butterknife</t>
        </is>
      </c>
      <c r="B136" t="inlineStr">
        <is>
          <t>butterknife-lint/src/main/java/butterknife/lint/LintRegistry.java</t>
        </is>
      </c>
      <c r="C136">
        <f>HYPERLINK("https://github.com/JakeWharton/butterknife/blob/master/butterknife-lint/src/main/java/butterknife/lint/LintRegistry.java")</f>
        <v/>
      </c>
      <c r="D136" t="inlineStr">
        <is>
          <t>The provided code is a custom lint registry for the ButterKnife library in Android development. It extends from IssueRegistry class of Lint API and overrides two methods - getIssues() to return list of issues (in this case only one issue related with Invalid R2 usage detector), and getApi(). The function returns current api level which indicates that it supports all APIs up until</t>
        </is>
      </c>
      <c r="E136" t="n">
        <v>0.0029</v>
      </c>
      <c r="F136" t="n">
        <v>0.0571</v>
      </c>
      <c r="G136" t="n">
        <v>0.1111</v>
      </c>
      <c r="H136" t="inlineStr">
        <is>
          <t>The provided code is a custom linter for Android projects using the ButterKnife library. The `LintRegistry` class extends from `IssueRegistry` and overrides two methods: 
- `getIssues()` returns a list of issues that this registry will check in your project (in this case only one issue - Invalid R2 usage detector).
-</t>
        </is>
      </c>
      <c r="I136" t="n">
        <v>0.0036</v>
      </c>
      <c r="J136" t="n">
        <v>0.0357</v>
      </c>
      <c r="K136" t="n">
        <v>0.122</v>
      </c>
      <c r="L136" t="inlineStr">
        <is>
          <t>The provided code is a Java class that extends the IssueRegistry class from Android Lint library and provides information about custom lint checks for ButterKnife. The purpose of this class is to provide a list of issues (or lint warnings) related to butter knife usage in an android project. It does so by overriding two methods - getIssues() which returns a list of all the</t>
        </is>
      </c>
      <c r="M136" t="n">
        <v>0.0028</v>
      </c>
      <c r="N136" t="n">
        <v>0.0278</v>
      </c>
      <c r="O136" t="n">
        <v>0.073</v>
      </c>
    </row>
    <row r="137">
      <c r="A137" t="inlineStr">
        <is>
          <t>butterknife</t>
        </is>
      </c>
      <c r="B137" t="inlineStr">
        <is>
          <t>butterknife-lint/src/test/java/butterknife/lint/LintRegistryTest.java</t>
        </is>
      </c>
      <c r="C137">
        <f>HYPERLINK("https://github.com/JakeWharton/butterknife/blob/master/butterknife-lint/src/test/java/butterknife/lint/LintRegistryTest.java")</f>
        <v/>
      </c>
      <c r="D137" t="inlineStr">
        <is>
          <t>```python
# This repository contains backend software components implementing core algorithms for complexity analysis and validation checks. 
# The code base size is around 270 lines of codes. It uses Google Truth library to assert the functionality of Lint Registry class which tests if it can detect invalid R2 usage detector issues in a given set of data. 
# The time complexity</t>
        </is>
      </c>
      <c r="E137" t="n">
        <v>0.0044</v>
      </c>
      <c r="F137" t="n">
        <v>0.1493</v>
      </c>
      <c r="G137" t="n">
        <v>0.3182</v>
      </c>
      <c r="H137" t="inlineStr">
        <is>
          <t>The code provided is a JUnit test case for the Lint Registry class in ButterKnife library of Android development. The purpose of this test is to verify that the Invalid R2 Usage Detector issue exists within the registry's list of issues. This means it checks if there are any linter warnings or errors related to invalid resource usage such as using an unqualified string reference</t>
        </is>
      </c>
      <c r="I137" t="n">
        <v>0.0028</v>
      </c>
      <c r="J137" t="n">
        <v>0.027</v>
      </c>
      <c r="K137" t="n">
        <v>0.073</v>
      </c>
      <c r="L137" t="inlineStr">
        <is>
          <t>The provided code is a JUnit test for the Lint Registry class in an Android project using ButterKnife and Guava libraries. The purpose of this test is to verify that the `LintRegistry` has been correctly implemented with one issue (`InvalidR2UsageDetector.ISSUE`) registered within it. This means that when we call `getIssues()`</t>
        </is>
      </c>
      <c r="M137" t="n">
        <v>0.0044</v>
      </c>
      <c r="N137" t="n">
        <v>0.0678</v>
      </c>
      <c r="O137" t="n">
        <v>0.1639</v>
      </c>
    </row>
    <row r="138">
      <c r="A138" t="inlineStr">
        <is>
          <t>butterknife</t>
        </is>
      </c>
      <c r="B138" t="inlineStr">
        <is>
          <t>butterknife-lint/src/test/java/butterknife/lint/InvalidR2UsageDetectorTest.java</t>
        </is>
      </c>
      <c r="C138">
        <f>HYPERLINK("https://github.com/JakeWharton/butterknife/blob/master/butterknife-lint/src/test/java/butterknife/lint/InvalidR2UsageDetectorTest.java")</f>
        <v/>
      </c>
      <c r="D138" t="inlineStr">
        <is>
          <t>The code defines a custom annotation named `BindTest` with the following properties:\n- It is annotated to be retained only at source level and targets fields or methods.\n- The `BindTest` annotation has an integer property called 'value' that can be set when using this annotation.\n\nAnother class in package 'sample.r2' contains two static final arrays."</t>
        </is>
      </c>
      <c r="E138" t="n">
        <v>0.0035</v>
      </c>
      <c r="F138" t="n">
        <v>0.0303</v>
      </c>
      <c r="G138" t="n">
        <v>0.12</v>
      </c>
      <c r="H138" t="inlineStr">
        <is>
          <t>The provided code is a Java class that defines an annotation named BindTest with two attributes: value and target. The @Retention policy of this annotation indicates it will be discarded by the compiler at compile time (not available for runtime). This annotation can also have different targets such as FIELD or METHOD.
In addition to this, there are two test classes InvalidR2</t>
        </is>
      </c>
      <c r="I138" t="n">
        <v>0.0035</v>
      </c>
      <c r="J138" t="n">
        <v>0.0286</v>
      </c>
      <c r="K138" t="n">
        <v>0.0746</v>
      </c>
      <c r="L138" t="inlineStr">
        <is>
          <t>The code provided is a Java class named "InvalidR2UsageDetectorTest". This class has two static final TestFile instances that contain the source codes for two different java files. The first file contains an annotation interface called BindTest which is used to annotate fields and methods in the application's source code indicating their bind status during runtime. It also includes an integer value() method to</t>
        </is>
      </c>
      <c r="M138" t="n">
        <v>0.0034</v>
      </c>
      <c r="N138" t="n">
        <v>0.0556</v>
      </c>
      <c r="O138" t="n">
        <v>0.1111</v>
      </c>
    </row>
    <row r="139">
      <c r="A139" t="inlineStr">
        <is>
          <t>butterknife</t>
        </is>
      </c>
      <c r="B139" t="inlineStr">
        <is>
          <t>butterknife/src/main/java/butterknife/ButterKnife.java</t>
        </is>
      </c>
      <c r="C139">
        <f>HYPERLINK("https://github.com/JakeWharton/butterknife/blob/master/butterknife/src/main/java/butterknife/ButterKnife.java")</f>
        <v/>
      </c>
      <c r="D139" t="inlineStr">
        <is>
          <t>The code you provided is for ButterKnife library in Android development. It provides field and method binding functionality to simplify finding views and attaching listeners by using annotations on your activity class. The main purpose of this library is to reduce boilerplate codes related to view initialization and listener setup which are common in Android applications.
Here's a brief summary of the key components used</t>
        </is>
      </c>
      <c r="E139" t="n">
        <v>0.0033</v>
      </c>
      <c r="F139" t="n">
        <v>0.0541</v>
      </c>
      <c r="G139" t="n">
        <v>0.1095</v>
      </c>
      <c r="H139" t="inlineStr">
        <is>
          <t>The code you provided is a simple addition function in Python named `add` that takes two parameters and returns their sum. It has a time complexity of O(1), meaning it performs the operation in constant time regardless of the size of the inputs.
Here's your summary for this piece of code: 
```plaintext
Functionality: The add() function adds together</t>
        </is>
      </c>
      <c r="I139" t="n">
        <v>0.0031</v>
      </c>
      <c r="J139" t="n">
        <v>0.0588</v>
      </c>
      <c r="K139" t="n">
        <v>0.1154</v>
      </c>
      <c r="L139" t="inlineStr">
        <is>
          <t>The provided code is a Java class that uses the ButterKnife library for Android view binding and annotation processing. The main purpose of this class seems to be simplifying finding views from your activity and attaching listeners by binding them with annotations.
Here's a concise summary focusing on functionality and purpose: 
"This class utilizes the ButterKnife library in order</t>
        </is>
      </c>
      <c r="M139" t="n">
        <v>0.0065</v>
      </c>
      <c r="N139" t="n">
        <v>0.0882</v>
      </c>
      <c r="O139" t="n">
        <v>0.1951</v>
      </c>
    </row>
    <row r="140">
      <c r="A140" t="inlineStr">
        <is>
          <t>butterknife</t>
        </is>
      </c>
      <c r="B140" t="inlineStr">
        <is>
          <t>butterknife/src/main/java/butterknife/package-info.java</t>
        </is>
      </c>
      <c r="C140">
        <f>HYPERLINK("https://github.com/JakeWharton/butterknife/blob/master/butterknife/src/main/java/butterknife/package-info.java")</f>
        <v/>
      </c>
      <c r="D140" t="inlineStr">
        <is>
          <t>The code provided is for Android views that use annotation processing to generate boilerplate code. It uses ButterKnife library which provides an efficient way of handling view binding in Android layouts without the need for manual findViewById calls or anonymous inner classes for listeners. The main features include:
- Using {@link android.view.View#findViewById findViewById} with {@link butter</t>
        </is>
      </c>
      <c r="E140" t="n">
        <v>0</v>
      </c>
      <c r="F140" t="n">
        <v>0</v>
      </c>
      <c r="G140" t="n">
        <v>0.0391</v>
      </c>
      <c r="H140" t="inlineStr">
        <is>
          <t>The provided code is for Android views where the use of an annotation processing tool generates boilerplate code to find and bind views in your layout files using ButterKnife library. The functionality includes:
1. Replaces calls to `findViewById` with field binding (`@BindView`). 
2. Groups multiple views into a list or array.
3.</t>
        </is>
      </c>
      <c r="I140" t="n">
        <v>0.0042</v>
      </c>
      <c r="J140" t="n">
        <v>0.0333</v>
      </c>
      <c r="K140" t="n">
        <v>0.0806</v>
      </c>
      <c r="L140" t="inlineStr">
        <is>
          <t>The provided code file is for Android views that use annotation processing to generate boilerplate code for field and method binding. It achieves this by using the @BindView annotation on fields to eliminate findViewById calls, groups multiple views into a List or array, eliminates anonymous inner classes for listeners with @OnClick annotations, and removes resource lookups with resource annotations on fields. The</t>
        </is>
      </c>
      <c r="M140" t="n">
        <v>0.0029</v>
      </c>
      <c r="N140" t="n">
        <v>0.0571</v>
      </c>
      <c r="O140" t="n">
        <v>0.1119</v>
      </c>
    </row>
    <row r="141">
      <c r="A141" t="inlineStr">
        <is>
          <t>butterknife</t>
        </is>
      </c>
      <c r="B141" t="inlineStr">
        <is>
          <t>butterknife/src/androidTest/java/butterknife/ButterKnifeTest.java</t>
        </is>
      </c>
      <c r="C141">
        <f>HYPERLINK("https://github.com/JakeWharton/butterknife/blob/master/butterknife/src/androidTest/java/butterknife/ButterKnifeTest.java")</f>
        <v/>
      </c>
      <c r="D141" t="inlineStr">
        <is>
          <t>The code provided is a JUnit test class for the Butter Knife library in Android development. It tests various functionalities of this library such as clearing out binders cache before and after each test, binding views with known packages without throwing exceptions or being an operation-a-nothing (no-op), etc. The complexity of this code is O(n), where n represents the number of tests</t>
        </is>
      </c>
      <c r="E141" t="n">
        <v>0.0029</v>
      </c>
      <c r="F141" t="n">
        <v>0.0541</v>
      </c>
      <c r="G141" t="n">
        <v>0.1119</v>
      </c>
      <c r="H141" t="inlineStr">
        <is>
          <t>The provided code is a test class for the Butter Knife library in Android development. The purpose of this class is to verify that the binding process works correctly and does not throw exceptions when expected. 
It contains two tests:
- `zeroBindingsBindDoesNotThrowExceptionAndCaches` verifies if calling bind with no existing bindings returns an empty unbinder and</t>
        </is>
      </c>
      <c r="I141" t="n">
        <v>0.0033</v>
      </c>
      <c r="J141" t="n">
        <v>0.0645</v>
      </c>
      <c r="K141" t="n">
        <v>0.1181</v>
      </c>
      <c r="L141" t="inlineStr">
        <is>
          <t>The provided code is a JUnit test for the Butter Knife library in Android development. It tests two main functionalities of this library - resetting the views cache before and after each test, and binding known packages without any operation (i.e., it's not an error if you try to bind something that has already been bound).
Here are more detailed steps on how the</t>
        </is>
      </c>
      <c r="M141" t="n">
        <v>0.0028</v>
      </c>
      <c r="N141" t="n">
        <v>0.0548</v>
      </c>
      <c r="O141" t="n">
        <v>0.1103</v>
      </c>
    </row>
    <row r="142">
      <c r="A142" t="inlineStr">
        <is>
          <t>butterknife</t>
        </is>
      </c>
      <c r="B142" t="inlineStr">
        <is>
          <t>butterknife-compiler/src/main/java/butterknife/compiler/Parameter.java</t>
        </is>
      </c>
      <c r="C142">
        <f>HYPERLINK("https://github.com/JakeWharton/butterknife/blob/master/butterknife-compiler/src/main/java/butterknife/compiler/Parameter.java")</f>
        <v/>
      </c>
      <c r="D142" t="inlineStr">
        <is>
          <t>The provided code is a Java class named `Parameter` that represents a parameter type and its position in the listener method. It has three private fields - an integer `listenerPosition` representing the position of the parameter in the listener method, a TypeName object `type` representing the data type of the parameter, and a boolean value indicating whether casting to another type might be required for this parameter.</t>
        </is>
      </c>
      <c r="E142" t="n">
        <v>0.0027</v>
      </c>
      <c r="F142" t="n">
        <v>0.027</v>
      </c>
      <c r="G142" t="n">
        <v>0.07190000000000001</v>
      </c>
      <c r="H142" t="inlineStr">
        <is>
          <t>The provided code is a Java class named "Parameter" that represents a parameter type and its position in the listener method. The Parameter class has three private fields (`listenerPosition` of `int` type, `type` of `TypeName` type), two public getters to access these values, and one constructor to initialize them. It also contains a method called `requiresCast</t>
        </is>
      </c>
      <c r="I142" t="n">
        <v>0.0033</v>
      </c>
      <c r="J142" t="n">
        <v>0.0312</v>
      </c>
      <c r="K142" t="n">
        <v>0.0391</v>
      </c>
      <c r="L142" t="inlineStr">
        <is>
          <t>The code provided is a Java class named "Parameter". This class represents a parameter type and its position in the listener method. It has three private fields - 'listenerPosition', 'type' and an array of Parameter called NONE which holds no elements. The class contains two methods to get these values (i.e., getListenerPosition() and getType()) as well as one constructor</t>
        </is>
      </c>
      <c r="M142" t="n">
        <v>0.0037</v>
      </c>
      <c r="N142" t="n">
        <v>0.0597</v>
      </c>
      <c r="O142" t="n">
        <v>0.07630000000000001</v>
      </c>
    </row>
    <row r="143">
      <c r="A143" t="inlineStr">
        <is>
          <t>butterknife</t>
        </is>
      </c>
      <c r="B143" t="inlineStr">
        <is>
          <t>butterknife-compiler/src/main/java/butterknife/compiler/FieldResourceBinding.java</t>
        </is>
      </c>
      <c r="C143">
        <f>HYPERLINK("https://github.com/JakeWharton/butterknife/blob/master/butterknife-compiler/src/main/java/butterknife/compiler/FieldResourceBinding.java")</f>
        <v/>
      </c>
      <c r="D143" t="inlineStr">
        <is>
          <t>The provided code is a Java implementation of resource binding using ButterKnife library by Jake Wharton. It includes the definition for `FieldResourceBinding` class and an enumeration type called `Type` which represents different types of resources that can be bound to fields in Android applications such as bitmaps (with BITMAP factory method), boolean values with BOOL method, colors (can use</t>
        </is>
      </c>
      <c r="E143" t="n">
        <v>0.0031</v>
      </c>
      <c r="F143" t="n">
        <v>0.0597</v>
      </c>
      <c r="G143" t="n">
        <v>0.1145</v>
      </c>
      <c r="H143" t="inlineStr">
        <is>
          <t>The provided code is a Java class named FieldResourceBinding that implements the ResourceBinding interface from butterknife library for Android development. This class contains an enum Type with different resource types such as BITMAP, BOOL, COLOR, etc., and each of these has associated methods to get resources based on their type. The complexity of this implementation is O(n).
In summary</t>
        </is>
      </c>
      <c r="I143" t="n">
        <v>0.0041</v>
      </c>
      <c r="J143" t="n">
        <v>0.0588</v>
      </c>
      <c r="K143" t="n">
        <v>0.1145</v>
      </c>
      <c r="L143" t="inlineStr">
        <is>
          <t>ThegivensourcecodefilerepresentsaJavaapplicationthatusesButterKnifelibraryforviewbindinginAndroidapplications.Itdefinesafinalclassnamed"FieldResourceBinding"whichimplementstheinterface"ResourceBinding".There'salsoanenumtypecalled"Type"representingdifferenttypesoffieldsinAnAndroidlayoutfileincludingbitmaps,booleans,colors,</t>
        </is>
      </c>
      <c r="M143" t="n">
        <v>0</v>
      </c>
      <c r="N143" t="n">
        <v>0</v>
      </c>
      <c r="O143" t="n">
        <v>0</v>
      </c>
    </row>
    <row r="144">
      <c r="A144" t="inlineStr">
        <is>
          <t>butterknife</t>
        </is>
      </c>
      <c r="B144" t="inlineStr">
        <is>
          <t>butterknife-compiler/src/main/java/butterknife/compiler/ViewBinding.java</t>
        </is>
      </c>
      <c r="C144">
        <f>HYPERLINK("https://github.com/JakeWharton/butterknife/blob/master/butterknife-compiler/src/main/java/butterknife/compiler/ViewBinding.java")</f>
        <v/>
      </c>
      <c r="D144" t="inlineStr">
        <is>
          <t>The provided code is a class named "ViewBinding" in the package butterknife.compiler. This class seems to be used for managing view bindings in Android development using ButterKnife library. 
It has three private fields: 'id', 'methodBindings' and 'fieldBinding'. The first two are of type Map which holds ListenerClasses as keys mapped</t>
        </is>
      </c>
      <c r="E144" t="n">
        <v>0.0044</v>
      </c>
      <c r="F144" t="n">
        <v>0.0678</v>
      </c>
      <c r="G144" t="n">
        <v>0.123</v>
      </c>
      <c r="H144" t="inlineStr">
        <is>
          <t>The code you provided is a Java class named `ViewBinding` that represents the binding between views and their corresponding methods in Android using ButterKnife library. It has three private fields: an ID (representing the view), a map of listener classes to maps of listener methods to sets of method view bindings, and possibly a field view binding. The class provides getters for these three fields as</t>
        </is>
      </c>
      <c r="I144" t="n">
        <v>0.0028</v>
      </c>
      <c r="J144" t="n">
        <v>0.027</v>
      </c>
      <c r="K144" t="n">
        <v>0.0725</v>
      </c>
      <c r="L144" t="inlineStr">
        <is>
          <t>The provided code is part of a ButterKnife library for Android development. It's responsible for binding views to fields in your classes and also handling the event bindings (click events etc.). The class ViewBinding has three private attributes - id, methodBindings, fieldBinding. 
It provides getters for these attributes as well. In essence, it serves as an intermedi</t>
        </is>
      </c>
      <c r="M144" t="n">
        <v>0.0032</v>
      </c>
      <c r="N144" t="n">
        <v>0.0308</v>
      </c>
      <c r="O144" t="n">
        <v>0.0775</v>
      </c>
    </row>
    <row r="145">
      <c r="A145" t="inlineStr">
        <is>
          <t>butterknife</t>
        </is>
      </c>
      <c r="B145" t="inlineStr">
        <is>
          <t>butterknife-compiler/src/main/java/butterknife/compiler/ButterKnifeProcessor.java</t>
        </is>
      </c>
      <c r="C145">
        <f>HYPERLINK("https://github.com/JakeWharton/butterknife/blob/master/butterknife-compiler/src/main/java/butterknife/compiler/ButterKnifeProcessor.java")</f>
        <v/>
      </c>
      <c r="D145" t="inlineStr">
        <is>
          <t>The provided code is a part of the ButterKnife library for Android development in Java. It imports several classes and interfaces related to binding views with annotations such as @BindView, @BindViews etc., and event handling annotations like @OnClick, @OnLongClick etc. The complexity seems to be O(N), where N represents the number of lines or statements in the</t>
        </is>
      </c>
      <c r="E145" t="n">
        <v>0.0032</v>
      </c>
      <c r="F145" t="n">
        <v>0.0303</v>
      </c>
      <c r="G145" t="n">
        <v>0.0775</v>
      </c>
      <c r="H145" t="inlineStr">
        <is>
          <t>The code you provided is a portion of ButterKnife library's source code for binding views and listeners to fields annotated with specific annotations such as @BindView or @OnClick. The complexity here would be O(n), where n represents the number of classes that use these annotations in your project. This means it increases linearly with the size of your project.
In</t>
        </is>
      </c>
      <c r="I145" t="n">
        <v>0.0036</v>
      </c>
      <c r="J145" t="n">
        <v>0.0286</v>
      </c>
      <c r="K145" t="n">
        <v>0.1136</v>
      </c>
      <c r="L145" t="inlineStr">
        <is>
          <t>The provided code file is a part of the ButterKnife library for Android development. It provides annotations that simplify view binding in your Java code without requiring findViewById(). The purpose of this code is to bind views and event handlers at compile time rather than runtime.
Main functionality includes field and method binding, click events, editor actions, focus change events, item selection/clicking</t>
        </is>
      </c>
      <c r="M145" t="n">
        <v>0.0035</v>
      </c>
      <c r="N145" t="n">
        <v>0.08450000000000001</v>
      </c>
      <c r="O145" t="n">
        <v>0.1119</v>
      </c>
    </row>
    <row r="146">
      <c r="A146" t="inlineStr">
        <is>
          <t>butterknife</t>
        </is>
      </c>
      <c r="B146" t="inlineStr">
        <is>
          <t>butterknife-compiler/src/main/java/butterknife/compiler/Id.java</t>
        </is>
      </c>
      <c r="C146">
        <f>HYPERLINK("https://github.com/JakeWharton/butterknife/blob/master/butterknife-compiler/src/main/java/butterknife/compiler/Id.java")</f>
        <v/>
      </c>
      <c r="D146" t="inlineStr">
        <is>
          <t>ThegivenJava-basedcodeisrepresentinganIDforanAndroidResource.ItusesButterKnife'scompilerlibrarytoextractinformationaboutresourcesfromtheirsymbols.However,itdoesnotcontainanyimplementationsorlogicaspecifiedincomments.Instead,itpresentsaframeworkwithfixedfieldsincludinganintegeridvalue,ablockofcoderepresentingthatresour</t>
        </is>
      </c>
      <c r="E146" t="n">
        <v>0</v>
      </c>
      <c r="F146" t="n">
        <v>0</v>
      </c>
      <c r="G146" t="n">
        <v>0</v>
      </c>
      <c r="H146" t="inlineStr">
        <is>
          <t>The code you provided is a Java class that represents an ID for an Android resource using the ButterKnife library and JavPoet to generate code at compile time. It contains several fields such as `value` (representing the integer value of the resource), `code` (which generates the corresponding code block based on whether it's qualified or not), `qualified` (indicating</t>
        </is>
      </c>
      <c r="I146" t="n">
        <v>0.0031</v>
      </c>
      <c r="J146" t="n">
        <v>0.0299</v>
      </c>
      <c r="K146" t="n">
        <v>0.0769</v>
      </c>
      <c r="L146" t="inlineStr">
        <is>
          <t>The provided code represents an ID for an Android resource. The class Id is defined with two private static final variables ANDROID_R and R which represent the android package and a string "R". 
Another set of properties are declared including value (integer type), code (CodeBlock type) representing the name of the resource, qualifed (boolean type) indicating if it'</t>
        </is>
      </c>
      <c r="M146" t="n">
        <v>0.0031</v>
      </c>
      <c r="N146" t="n">
        <v>0.0299</v>
      </c>
      <c r="O146" t="n">
        <v>0.0385</v>
      </c>
    </row>
    <row r="147">
      <c r="A147" t="inlineStr">
        <is>
          <t>butterknife</t>
        </is>
      </c>
      <c r="B147" t="inlineStr">
        <is>
          <t>butterknife-compiler/src/main/java/butterknife/compiler/FieldCollectionViewBinding.java</t>
        </is>
      </c>
      <c r="C147">
        <f>HYPERLINK("https://github.com/JakeWharton/butterknife/blob/master/butterknife-compiler/src/main/java/butterknife/compiler/FieldCollectionViewBinding.java")</f>
        <v/>
      </c>
      <c r="D147" t="inlineStr">
        <is>
          <t>The provided code is for a class named `FieldCollectionViewBinding` that generates bindings between fields and collections in Android views using ButterKnife library. The class has an enum called `Kind` which represents the type of collection (either ARRAY or LIST). It also contains private final variables such as `name`, `type`, `kind`, `required`</t>
        </is>
      </c>
      <c r="E147" t="n">
        <v>0.0036</v>
      </c>
      <c r="F147" t="n">
        <v>0.0339</v>
      </c>
      <c r="G147" t="n">
        <v>0.0813</v>
      </c>
      <c r="H147" t="inlineStr">
        <is>
          <t>The provided code is a Java class named `FieldCollectionViewBinding` that represents a binding between a field and a collection view in the context of Android development using ButterKnife library for dependency injection. 
Here's an overview of its functionality:
- It has five private final fields: `type` (representing type of data), `kind` (indicating how to</t>
        </is>
      </c>
      <c r="I147" t="n">
        <v>0.0034</v>
      </c>
      <c r="J147" t="n">
        <v>0.0323</v>
      </c>
      <c r="K147" t="n">
        <v>0.0794</v>
      </c>
      <c r="L147" t="inlineStr">
        <is>
          <t>The provided code is a Java class named `FieldCollectionViewBinding` that represents the binding of fields in a collection view. It has several properties including name (representing field's name), type (field's data type), kind (indicating whether it's an array or list with null filtering), required (a flag indicating if this field is mandatory), and ids (identifiers</t>
        </is>
      </c>
      <c r="M147" t="n">
        <v>0.0033</v>
      </c>
      <c r="N147" t="n">
        <v>0.0606</v>
      </c>
      <c r="O147" t="n">
        <v>0.07870000000000001</v>
      </c>
    </row>
    <row r="148">
      <c r="A148" t="inlineStr">
        <is>
          <t>butterknife</t>
        </is>
      </c>
      <c r="B148" t="inlineStr">
        <is>
          <t>butterknife-compiler/src/main/java/butterknife/compiler/BindingSet.java</t>
        </is>
      </c>
      <c r="C148">
        <f>HYPERLINK("https://github.com/JakeWharton/butterknife/blob/master/butterknife-compiler/src/main/java/butterknife/compiler/BindingSet.java")</f>
        <v/>
      </c>
      <c r="D148" t="inlineStr">
        <is>
          <t>The provided code is a part of Butter Knife library's compiler module. It contains import statements for various classes and packages used in the implementation of this specific component (Butter Knife). The purpose seems to be related to automatic generation of view binding code using annotation processing tools like JavaPoet by Square. This process makes it easier to bind views from your XML layouts to fields or methods</t>
        </is>
      </c>
      <c r="E148" t="n">
        <v>0.0032</v>
      </c>
      <c r="F148" t="n">
        <v>0.0519</v>
      </c>
      <c r="G148" t="n">
        <v>0.1429</v>
      </c>
      <c r="H148" t="inlineStr">
        <is>
          <t>The code provided is a part of the ButterKnife library's source code which generates boilerplate code for handling view injections in Android applications. The functionality it provides involves binding views to variables and managing their lifecycle automatically using annotations (like @BindView).
In this context, there are several classes involved like TypeElement, Modifier, AnnotationSpec,</t>
        </is>
      </c>
      <c r="I148" t="n">
        <v>0.0041</v>
      </c>
      <c r="J148" t="n">
        <v>0.0645</v>
      </c>
      <c r="K148" t="n">
        <v>0.12</v>
      </c>
      <c r="L148" t="inlineStr">
        <is>
          <t>The provided code is a part of the ButterKnife library for Android development in Java. It's used to automatically generate boilerplate code during compilation that binds views (like buttons or text fields) with variables defined within your source code. The purpose of this process is to reduce redundancy and improve maintainability by eliminating explicit findViewById calls from your layout files.</t>
        </is>
      </c>
      <c r="M148" t="n">
        <v>0.003</v>
      </c>
      <c r="N148" t="n">
        <v>0.058</v>
      </c>
      <c r="O148" t="n">
        <v>0.1136</v>
      </c>
    </row>
    <row r="149">
      <c r="A149" t="inlineStr">
        <is>
          <t>butterknife</t>
        </is>
      </c>
      <c r="B149" t="inlineStr">
        <is>
          <t>butterknife-compiler/src/main/java/butterknife/compiler/FieldAnimationBinding.java</t>
        </is>
      </c>
      <c r="C149">
        <f>HYPERLINK("https://github.com/JakeWharton/butterknife/blob/master/butterknife-compiler/src/main/java/butterknife/compiler/FieldAnimationBinding.java")</f>
        <v/>
      </c>
      <c r="D149" t="inlineStr">
        <is>
          <t>The provided code is a Java class named FieldAnimationBinding that implements the ResourceBinding interface from ButterKnife library. This class represents an animation binding for a field in a layout file. The purpose of this class seems to be to generate and load animations using reflection or other means at runtime based on given ids and names. It does not require any resources as it only loads animations with specific</t>
        </is>
      </c>
      <c r="E149" t="n">
        <v>0.0035</v>
      </c>
      <c r="F149" t="n">
        <v>0.0519</v>
      </c>
      <c r="G149" t="n">
        <v>0.1418</v>
      </c>
      <c r="H149" t="inlineStr">
        <is>
          <t>The provided code is a Java class named FieldAnimationBinding that implements the ResourceBinding interface from butterknife library for Android animation resource binding. This class has two private final fields (id and name), which are initialized in its constructor. The getId() method returns the id field value, while requiresResources(int sdk) always return false because it does not use any resources beyond what's</t>
        </is>
      </c>
      <c r="I149" t="n">
        <v>0.0039</v>
      </c>
      <c r="J149" t="n">
        <v>0.0563</v>
      </c>
      <c r="K149" t="n">
        <v>0.1504</v>
      </c>
      <c r="L149" t="inlineStr">
        <is>
          <t>The provided code is a Java class named `FieldAnimationBinding` that implements the interface `ResourceBinding` from ButterKnife library for Android. This class represents an animation binding between a field and its id in the layout XML file of an application. 
It has two private fields - 'id' which holds the resource ID of the view to be animated (typically found</t>
        </is>
      </c>
      <c r="M149" t="n">
        <v>0.0041</v>
      </c>
      <c r="N149" t="n">
        <v>0.0606</v>
      </c>
      <c r="O149" t="n">
        <v>0.1145</v>
      </c>
    </row>
    <row r="150">
      <c r="A150" t="inlineStr">
        <is>
          <t>butterknife</t>
        </is>
      </c>
      <c r="B150" t="inlineStr">
        <is>
          <t>butterknife-compiler/src/main/java/butterknife/compiler/MethodViewBinding.java</t>
        </is>
      </c>
      <c r="C150">
        <f>HYPERLINK("https://github.com/JakeWharton/butterknife/blob/master/butterknife-compiler/src/main/java/butterknife/compiler/MethodViewBinding.java")</f>
        <v/>
      </c>
      <c r="D150" t="inlineStr">
        <is>
          <t>The provided code is a Java class named `MethodViewBinding` that implements the interface `MemberViewBinding`. This class represents a method in a view and holds information about its name, parameters, whether it's required or has return value. The methods of this class include getters for these attributes as well as an overridden `getDescription()` method to provide a</t>
        </is>
      </c>
      <c r="E150" t="n">
        <v>0.0043</v>
      </c>
      <c r="F150" t="n">
        <v>0.0615</v>
      </c>
      <c r="G150" t="n">
        <v>0.1172</v>
      </c>
      <c r="H150" t="inlineStr">
        <is>
          <t>The provided code is a Java class named `MethodViewBinding` that represents the binding of a method in an object-oriented programming context. It holds information about the name of the method, its parameters (which are objects representing fields and their types), whether it's required or not, and if it has a return value. The complexity of this implementation can be considered O(N).</t>
        </is>
      </c>
      <c r="I150" t="n">
        <v>0.003</v>
      </c>
      <c r="J150" t="n">
        <v>0.0556</v>
      </c>
      <c r="K150" t="n">
        <v>0.1128</v>
      </c>
      <c r="L150" t="inlineStr">
        <is>
          <t>The provided code is a Java class named `MethodViewBinding` that implements the interface `MemberViewBinding`. This class represents a method with various properties such as its name, parameters it takes in, whether it's required or not and if it has return value. It also provides methods to get these details along with a description of the method. The time complexity of this operation</t>
        </is>
      </c>
      <c r="M150" t="n">
        <v>0.0039</v>
      </c>
      <c r="N150" t="n">
        <v>0.0563</v>
      </c>
      <c r="O150" t="n">
        <v>0.1119</v>
      </c>
    </row>
    <row r="151">
      <c r="A151" t="inlineStr">
        <is>
          <t>butterknife</t>
        </is>
      </c>
      <c r="B151" t="inlineStr">
        <is>
          <t>butterknife-compiler/src/main/java/butterknife/compiler/FieldViewBinding.java</t>
        </is>
      </c>
      <c r="C151">
        <f>HYPERLINK("https://github.com/JakeWharton/butterknife/blob/master/butterknife-compiler/src/main/java/butterknife/compiler/FieldViewBinding.java")</f>
        <v/>
      </c>
      <c r="D151" t="inlineStr">
        <is>
          <t>The provided code is a Java class named FieldViewBinding that implements the MemberViewBinding interface from butterKnife library for Android development. This class represents a field in an object and provides methods to get information about it such as its name, type, raw type (which can be either Class or Parameterized Type), whether it's required, and a description of itself. The complexity of this</t>
        </is>
      </c>
      <c r="E151" t="n">
        <v>0.0038</v>
      </c>
      <c r="F151" t="n">
        <v>0.0556</v>
      </c>
      <c r="G151" t="n">
        <v>0.1111</v>
      </c>
      <c r="H151" t="inlineStr">
        <is>
          <t>The provided code is a Java class named `FieldViewBinding` that implements the interface `MemberViewBinding` from ButterKnife library for Android development. This class represents a field in an object and provides methods to get information about it such as its name, type, raw type (i.e., if this type is parameterized), whether or not it's required, and a description of</t>
        </is>
      </c>
      <c r="I151" t="n">
        <v>0.0041</v>
      </c>
      <c r="J151" t="n">
        <v>0.0588</v>
      </c>
      <c r="K151" t="n">
        <v>0.1154</v>
      </c>
      <c r="L151" t="inlineStr">
        <is>
          <t>The provided Java code is a final class named `FieldViewBinding` that implements the interface `MemberViewBinding`. This class represents a field in an object and provides methods to get information about its name, type, whether it's required or not, and a description of itself. 
It has three private fields: `name` (a String representing the field'</t>
        </is>
      </c>
      <c r="M151" t="n">
        <v>0.0045</v>
      </c>
      <c r="N151" t="n">
        <v>0.0635</v>
      </c>
      <c r="O151" t="n">
        <v>0.119</v>
      </c>
    </row>
    <row r="152">
      <c r="A152" t="inlineStr">
        <is>
          <t>butterknife</t>
        </is>
      </c>
      <c r="B152" t="inlineStr">
        <is>
          <t>butterknife-compiler/src/main/java/butterknife/compiler/FieldTypefaceBinding.java</t>
        </is>
      </c>
      <c r="C152">
        <f>HYPERLINK("https://github.com/JakeWharton/butterknife/blob/master/butterknife-compiler/src/main/java/butterknife/compiler/FieldTypefaceBinding.java")</f>
        <v/>
      </c>
      <c r="D152" t="inlineStr">
        <is>
          <t>The provided code is a Java class named FieldTypefaceBinding that implements ResourceBinding interface from butterknife library for Android development. This class has four private static final variables and one enum TypefaceStyles which are used to bind the typefaces with their corresponding styles in an application. The id of the field, name of the field (which could be nullable), and style of the field'</t>
        </is>
      </c>
      <c r="E152" t="n">
        <v>0.0038</v>
      </c>
      <c r="F152" t="n">
        <v>0.0563</v>
      </c>
      <c r="G152" t="n">
        <v>0.1481</v>
      </c>
      <c r="H152" t="inlineStr">
        <is>
          <t>The code you provided is a Java class that uses the ButterKnife library to generate code at compile time for resource binding in Android applications. The `FieldTypefaceBinding` class has four private fields (`id`, `name`, and two enum constants `style` and `TypefaceStyles`). It also contains several methods related to handling resources and typefaces in an Android environment</t>
        </is>
      </c>
      <c r="I152" t="n">
        <v>0.0033</v>
      </c>
      <c r="J152" t="n">
        <v>0.0312</v>
      </c>
      <c r="K152" t="n">
        <v>0.0781</v>
      </c>
      <c r="L152" t="inlineStr">
        <is>
          <t>The provided code is a Java class named `FieldTypefaceBinding` that implements the interface `ResourceBinding` from ButterKnife library for Android development. 
It has four private fields: two integers (`did` and `name`) and one enum type (`typefaceStylesStyle`). The enum represents different styles of Typefaces such as NORMAL, B</t>
        </is>
      </c>
      <c r="M152" t="n">
        <v>0.0048</v>
      </c>
      <c r="N152" t="n">
        <v>0.0741</v>
      </c>
      <c r="O152" t="n">
        <v>0.0847</v>
      </c>
    </row>
    <row r="153">
      <c r="A153" t="inlineStr">
        <is>
          <t>butterknife</t>
        </is>
      </c>
      <c r="B153" t="inlineStr">
        <is>
          <t>butterknife-compiler/src/main/java/butterknife/compiler/FieldDrawableBinding.java</t>
        </is>
      </c>
      <c r="C153">
        <f>HYPERLINK("https://github.com/JakeWharton/butterknife/blob/master/butterknife-compiler/src/main/java/butterknife/compiler/FieldDrawableBinding.java")</f>
        <v/>
      </c>
      <c r="D153" t="inlineStr">
        <is>
          <t>The code provided is a Java class named `FieldDrawableBinding` that implements the interface `ResourceBinding` from ButterKnife library for Android development. This class represents a binding between an image field in your layout and a drawable resource in your application's resources folder.
It has three private final fields (`id`, `name`, and `tintAttributeId</t>
        </is>
      </c>
      <c r="E153" t="n">
        <v>0.0047</v>
      </c>
      <c r="F153" t="n">
        <v>0.0667</v>
      </c>
      <c r="G153" t="n">
        <v>0.122</v>
      </c>
      <c r="H153" t="inlineStr">
        <is>
          <t>The code you provided is a Java class that implements an interface for binding drawables to views in Android using ButterKnife library and Javapoet for generating the required bindings dynamically at compile time. 
It defines a FieldDrawableBinding class which has three private fields (`id`, `name`, and `tintAttributeId`), each of them</t>
        </is>
      </c>
      <c r="I153" t="n">
        <v>0.0044</v>
      </c>
      <c r="J153" t="n">
        <v>0.06900000000000001</v>
      </c>
      <c r="K153" t="n">
        <v>0.123</v>
      </c>
      <c r="L153" t="inlineStr">
        <is>
          <t>The provided code is a Java class named `FieldDrawableBinding` that implements the interface `ResourceBinding` from ButterKnife library for Android development. This class represents a binding between an image resource and its drawable field in the target object (usually an activity or fragment). 
Here's a concise summary of this functionality: The FieldDrawableBinding class provides methods to</t>
        </is>
      </c>
      <c r="M153" t="n">
        <v>0.0044</v>
      </c>
      <c r="N153" t="n">
        <v>0.0625</v>
      </c>
      <c r="O153" t="n">
        <v>0.1181</v>
      </c>
    </row>
    <row r="154">
      <c r="A154" t="inlineStr">
        <is>
          <t>butterknife</t>
        </is>
      </c>
      <c r="B154" t="inlineStr">
        <is>
          <t>butterknife-compiler/src/main/java/butterknife/compiler/MemberViewBinding.java</t>
        </is>
      </c>
      <c r="C154">
        <f>HYPERLINK("https://github.com/JakeWharton/butterknife/blob/master/butterknife-compiler/src/main/java/butterknife/compiler/MemberViewBinding.java")</f>
        <v/>
      </c>
      <c r="D154" t="inlineStr">
        <is>
          <t>The code provided is for an interface named MemberViewBinding in the butterknife compiler package of a software project. The purpose of this interface seems to be related to binding fields or methods with views automatically using ButterKnife library. It provides a method getDescription() which returns a human-readable description of the binding (like "field 'foo'").
However, without more context</t>
        </is>
      </c>
      <c r="E154" t="n">
        <v>0.0031</v>
      </c>
      <c r="F154" t="n">
        <v>0.0299</v>
      </c>
      <c r="G154" t="n">
        <v>0.1154</v>
      </c>
      <c r="H154" t="inlineStr">
        <is>
          <t>The provided code is a Java interface named MemberViewBinding that contains one method getDescription(). The purpose of this interface seems to be for field or method view binding in Android development using the ButterKnife library. This function returns a string description of the binding which could include information about what type of data it binds (like "field 'foo'"), but without seeing more context it's hard</t>
        </is>
      </c>
      <c r="I154" t="n">
        <v>0.0028</v>
      </c>
      <c r="J154" t="n">
        <v>0.0541</v>
      </c>
      <c r="K154" t="n">
        <v>0.073</v>
      </c>
      <c r="L154" t="inlineStr">
        <is>
          <t>The provided code is an interface named "MemberViewBinding". This interface provides a method called getDescription() which returns the binding description in human readable form (for example, it could return something like "field 'foo'" for field bindings). The main purpose of this interface seems to be providing information about data bindings between UI components and model objects. It does not contain any logic or control</t>
        </is>
      </c>
      <c r="M154" t="n">
        <v>0.0034</v>
      </c>
      <c r="N154" t="n">
        <v>0.0833</v>
      </c>
      <c r="O154" t="n">
        <v>0.0735</v>
      </c>
    </row>
    <row r="155">
      <c r="A155" t="inlineStr">
        <is>
          <t>butterknife</t>
        </is>
      </c>
      <c r="B155" t="inlineStr">
        <is>
          <t>butterknife-compiler/src/main/java/butterknife/compiler/ResourceBinding.java</t>
        </is>
      </c>
      <c r="C155">
        <f>HYPERLINK("https://github.com/JakeWharton/butterknife/blob/master/butterknife-compiler/src/main/java/butterknife/compiler/ResourceBinding.java")</f>
        <v/>
      </c>
      <c r="D155" t="inlineStr">
        <is>
          <t>The provided code is a Java interface named ResourceBinding that provides methods for generating and rendering resource bindings in Android development using ButterKnife library. The primary method `render` takes an integer parameter 'sdk', which seems to be used as the minimum SDK version required for this binding. There are also two boolean type methods - `requiresResources()` checks if resources access requires a 'res</t>
        </is>
      </c>
      <c r="E155" t="n">
        <v>0.0029</v>
      </c>
      <c r="F155" t="n">
        <v>0.0286</v>
      </c>
      <c r="G155" t="n">
        <v>0.1111</v>
      </c>
      <c r="H155" t="inlineStr">
        <is>
          <t>The provided code is a Java interface named `ResourceBinding` that contains three methods - `getId()`, `requiresResources(int sdk)` and `render(int sdk)`. The method `getId()` returns an ID of the resource binding. It does not require any resources to access so its complexity is O(1). 
```java
interface ResourceBinding</t>
        </is>
      </c>
      <c r="I155" t="n">
        <v>0.004</v>
      </c>
      <c r="J155" t="n">
        <v>0.0357</v>
      </c>
      <c r="K155" t="n">
        <v>0.0424</v>
      </c>
      <c r="L155" t="inlineStr">
        <is>
          <t>The provided code is a Java interface named ResourceBinding that outlines the functionality of binding resources to Android layouts using ButterKnife and JavaPoet libraries. The purpose of this code is to manage resource bindings in an efficient manner by providing methods for checking if resources are required (`requiresResources()`) and rendering them into layout files (`render()`). This process happens based</t>
        </is>
      </c>
      <c r="M155" t="n">
        <v>0.0041</v>
      </c>
      <c r="N155" t="n">
        <v>0.0597</v>
      </c>
      <c r="O155" t="n">
        <v>0.1145</v>
      </c>
    </row>
    <row r="156">
      <c r="A156" t="inlineStr">
        <is>
          <t>butterknife</t>
        </is>
      </c>
      <c r="B156" t="inlineStr">
        <is>
          <t>butterknife-compiler/src/test/java/butterknife/compiler/BindingSetTest.java</t>
        </is>
      </c>
      <c r="C156">
        <f>HYPERLINK("https://github.com/JakeWharton/butterknife/blob/master/butterknife-compiler/src/test/java/butterknife/compiler/BindingSetTest.java")</f>
        <v/>
      </c>
      <c r="D156" t="inlineStr">
        <is>
          <t>The provided code is a test class for the `BindingSet` class in ButterKnife library. The purpose of this class seems to be testing various scenarios related to human-readable descriptions of binding sets. 
In particular, it tests three different cases:
1. When there's only one ViewBinding (e.g., "one"), the function should</t>
        </is>
      </c>
      <c r="E156" t="n">
        <v>0</v>
      </c>
      <c r="F156" t="n">
        <v>0.06560000000000001</v>
      </c>
      <c r="G156" t="n">
        <v>0.082</v>
      </c>
      <c r="H156" t="inlineStr">
        <is>
          <t>The provided code is a JUnit test for the `BindingSet` class in ButterKnife library (https://github.com/JakeWharton/butterknife), specifically testing its method `asHumanDescription()` which converts a list of view bindings into a human-readable string. The complexity of this function appears to be O(n) as it</t>
        </is>
      </c>
      <c r="I156" t="n">
        <v>0</v>
      </c>
      <c r="J156" t="n">
        <v>0.07140000000000001</v>
      </c>
      <c r="K156" t="n">
        <v>0.0877</v>
      </c>
      <c r="L156" t="inlineStr">
        <is>
          <t>The provided code is a JUnit test for the `BindingSet` class in ButterKnife library. The purpose of this code is to verify that the human readable description method (`asHumanDescription()`) works correctly by comparing expected and actual results from different input scenarios. 
Here's an overview of what it does:
1. It creates three instances</t>
        </is>
      </c>
      <c r="M156" t="n">
        <v>0.0035</v>
      </c>
      <c r="N156" t="n">
        <v>0.0645</v>
      </c>
      <c r="O156" t="n">
        <v>0.12</v>
      </c>
    </row>
    <row r="157">
      <c r="A157" t="inlineStr">
        <is>
          <t>butterknife</t>
        </is>
      </c>
      <c r="B157" t="inlineStr">
        <is>
          <t>sample/app/src/main/java/com/example/butterknife/SimpleApp.java</t>
        </is>
      </c>
      <c r="C157">
        <f>HYPERLINK("https://github.com/JakeWharton/butterknife/blob/master/sample/app/src/main/java/com/example/butterknife/SimpleApp.java")</f>
        <v/>
      </c>
      <c r="D157" t="inlineStr">
        <is>
          <t>```python
The provided code is for a simple Android application that extends the Application class in Java and uses ButterKnife library to simplify view binding process. The function of this code snippet could be summarized as follows: 
- It sets up ButterKnife with debug mode enabled if BuildConfig.DEBUG is true (which means it's in development/debugging environment).</t>
        </is>
      </c>
      <c r="E157" t="n">
        <v>0.0033</v>
      </c>
      <c r="F157" t="n">
        <v>0.0303</v>
      </c>
      <c r="G157" t="n">
        <v>0.1172</v>
      </c>
      <c r="H157" t="inlineStr">
        <is>
          <t>The given code is a Java class that extends the Android Application class and uses Butter Knife library for view injection in Android applications. The complexity of this code can be considered as O(N), where N represents the number of methods or lines of codes present in the application. This includes all inherited classes and their implementations.
In terms of functionality, it sets up butter knife debugging</t>
        </is>
      </c>
      <c r="I157" t="n">
        <v>0.0032</v>
      </c>
      <c r="J157" t="n">
        <v>0.0789</v>
      </c>
      <c r="K157" t="n">
        <v>0.1079</v>
      </c>
      <c r="L157" t="inlineStr">
        <is>
          <t>The provided code is a simple Android application that extends the Application class and uses ButterKnife library for view injection in its activities or fragments. The main purpose of this code is to enable debug mode for ButterKnife during runtime by calling `ButterKnife.setDebug(true)` method on the creation of an instance of SimpleApp. This functionality allows developers to track which</t>
        </is>
      </c>
      <c r="M157" t="n">
        <v>0.0041</v>
      </c>
      <c r="N157" t="n">
        <v>0.058</v>
      </c>
      <c r="O157" t="n">
        <v>0.1145</v>
      </c>
    </row>
    <row r="158">
      <c r="A158" t="inlineStr">
        <is>
          <t>butterknife</t>
        </is>
      </c>
      <c r="B158" t="inlineStr">
        <is>
          <t>sample/app/src/main/java/com/example/butterknife/unbinder/D.java</t>
        </is>
      </c>
      <c r="C158">
        <f>HYPERLINK("https://github.com/JakeWharton/butterknife/blob/master/sample/app/src/main/java/com/example/butterknife/unbinder/D.java")</f>
        <v/>
      </c>
      <c r="D158" t="inlineStr">
        <is>
          <t>The provided code is a Java class `D` that extends another class `C` and uses the ButterKnife library for view binding in Android development. 
In this class, there's an instance variable annotated with @BindColor from ButterKnife which binds the color resource android.R.color.darker_gray to an integer field named grayColor</t>
        </is>
      </c>
      <c r="E158" t="n">
        <v>0.0038</v>
      </c>
      <c r="F158" t="n">
        <v>0.0328</v>
      </c>
      <c r="G158" t="n">
        <v>0.125</v>
      </c>
      <c r="H158" t="inlineStr">
        <is>
          <t>The provided code is a Java class named "D" that extends another class called "C". The purpose of this class seems to be binding colors and views using the ButterKnife library in Android development. 
In particular, it binds an integer color resource (`android.R.color.darker_gray`) annotated with `@BindColor` to a field</t>
        </is>
      </c>
      <c r="I158" t="n">
        <v>0.0037</v>
      </c>
      <c r="J158" t="n">
        <v>0.06560000000000001</v>
      </c>
      <c r="K158" t="n">
        <v>0.124</v>
      </c>
      <c r="L158" t="inlineStr">
        <is>
          <t>The provided code is a Java class named 'D' that extends another class called 'C'. This class uses the ButterKnife library to bind and manage color resources with annotations in Android applications. 
It has one instance variable, @BindColor annotated int grayColor which represents the resource ID for darker gray color from android default colors. The constructor of this class takes a</t>
        </is>
      </c>
      <c r="M158" t="n">
        <v>0.0036</v>
      </c>
      <c r="N158" t="n">
        <v>0.058</v>
      </c>
      <c r="O158" t="n">
        <v>0.1128</v>
      </c>
    </row>
    <row r="159">
      <c r="A159" t="inlineStr">
        <is>
          <t>butterknife</t>
        </is>
      </c>
      <c r="B159" t="inlineStr">
        <is>
          <t>sample/app/src/main/java/com/example/butterknife/unbinder/E.java</t>
        </is>
      </c>
      <c r="C159">
        <f>HYPERLINK("https://github.com/JakeWharton/butterknife/blob/master/sample/app/src/main/java/com/example/butterknife/unbinder/E.java")</f>
        <v/>
      </c>
      <c r="D159" t="inlineStr">
        <is>
          <t>The provided code is a Java class named `ExtendsC` that extends another class called 'C'. This class uses the ButterKnife library to bind views and colors in Android applications. 
In this particular instance, it's binding an integer color resource (`android.R.color.background_dark`), which represents dark background color, with a member variable `</t>
        </is>
      </c>
      <c r="E159" t="n">
        <v>0.0044</v>
      </c>
      <c r="F159" t="n">
        <v>0.0645</v>
      </c>
      <c r="G159" t="n">
        <v>0.123</v>
      </c>
      <c r="H159" t="inlineStr">
        <is>
          <t>The provided code is a Java class that uses the Butter Knife library to bind views and colors in Android development. The `Extends C` part of this code means it extends from another class named "C". 
In terms of functionality, this class has one field (named 'backgroundDarkColor') which is annotated with @BindColor and @ColorInt annotations.</t>
        </is>
      </c>
      <c r="I159" t="n">
        <v>0.0033</v>
      </c>
      <c r="J159" t="n">
        <v>0.09520000000000001</v>
      </c>
      <c r="K159" t="n">
        <v>0.1181</v>
      </c>
      <c r="L159" t="inlineStr">
        <is>
          <t>The provided code is a Java class named "ExtendsC" which extends an abstract base class called 'C'. This class uses the ButterKnife library for view binding and annotation processing to bind views with specific attributes like @BindColor or @ColorInt.
It has one instance variable of type int named 'backgroundDarkColor' annotated with @BindColor from Android resources (</t>
        </is>
      </c>
      <c r="M159" t="n">
        <v>0.0039</v>
      </c>
      <c r="N159" t="n">
        <v>0.0635</v>
      </c>
      <c r="O159" t="n">
        <v>0.1172</v>
      </c>
    </row>
    <row r="160">
      <c r="A160" t="inlineStr">
        <is>
          <t>butterknife</t>
        </is>
      </c>
      <c r="B160" t="inlineStr">
        <is>
          <t>sample/app/src/main/java/com/example/butterknife/unbinder/C.java</t>
        </is>
      </c>
      <c r="C160">
        <f>HYPERLINK("https://github.com/JakeWharton/butterknife/blob/master/sample/app/src/main/java/com/example/butterknife/unbinder/C.java")</f>
        <v/>
      </c>
      <c r="D160" t="inlineStr">
        <is>
          <t>```python
The provided code is a Java class `C` that extends another class `B` and uses the ButterKnife library for view binding in Android development. 
In this class, there are two fields annotated with @BindView and @BindColor respectively. The @BindView annotation binds the field 'button1' to an android resource id 'android.R</t>
        </is>
      </c>
      <c r="E160" t="n">
        <v>0.0036</v>
      </c>
      <c r="F160" t="n">
        <v>0.0667</v>
      </c>
      <c r="G160" t="n">
        <v>0.122</v>
      </c>
      <c r="H160" t="inlineStr">
        <is>
          <t>The provided code is a Java class that uses the Butter Knife library to bind views and colors from an Android layout file with fields in this class using annotation processing. The complexity of this code is O(n), where n represents the number of annotated fields in the class.
In this case, it's binding two views (`button1` and `transparentColor`</t>
        </is>
      </c>
      <c r="I160" t="n">
        <v>0.0031</v>
      </c>
      <c r="J160" t="n">
        <v>0.058</v>
      </c>
      <c r="K160" t="n">
        <v>0.1145</v>
      </c>
      <c r="L160" t="inlineStr">
        <is>
          <t>The provided code is a Java class named `C` that extends another class called `B` and uses the ButterKnife library for view binding in Android development. 
It has two fields annotated with @BindColor and @BindView from the ButterKnife library respectively. The @BindColor annotation binds an integer color resource to the variable 'transparentColor'.</t>
        </is>
      </c>
      <c r="M160" t="n">
        <v>0.0035</v>
      </c>
      <c r="N160" t="n">
        <v>0.0333</v>
      </c>
      <c r="O160" t="n">
        <v>0.0806</v>
      </c>
    </row>
    <row r="161">
      <c r="A161" t="inlineStr">
        <is>
          <t>butterknife</t>
        </is>
      </c>
      <c r="B161" t="inlineStr">
        <is>
          <t>sample/app/src/main/java/com/example/butterknife/unbinder/F.java</t>
        </is>
      </c>
      <c r="C161">
        <f>HYPERLINK("https://github.com/JakeWharton/butterknife/blob/master/sample/app/src/main/java/com/example/butterknife/unbinder/F.java")</f>
        <v/>
      </c>
      <c r="D161" t="inlineStr">
        <is>
          <t>```java
// This package provides a utility for binding views to fields in classes using the Butter Knife library's @BindColor annotation. 
// The code defines a final class F that extends D and uses the @BindColor annotation to bind an integer resource representing the color of background light to an int field named 'backgroundLightColor'.
// It also requires View object</t>
        </is>
      </c>
      <c r="E161" t="n">
        <v>0.0036</v>
      </c>
      <c r="F161" t="n">
        <v>0.0606</v>
      </c>
      <c r="G161" t="n">
        <v>0.1136</v>
      </c>
      <c r="H161" t="inlineStr">
        <is>
          <t>The provided code is a Java class named F that extends D and uses the Butter Knife library to bind views in Android application. The class has one field annotated with @BindColor which specifies its background color as "background_light". It also implements the core algorithms of an android app using butter knife for view binding.
The complexity here is O(N), where N represents the</t>
        </is>
      </c>
      <c r="I161" t="n">
        <v>0.0037</v>
      </c>
      <c r="J161" t="n">
        <v>0.0541</v>
      </c>
      <c r="K161" t="n">
        <v>0.1471</v>
      </c>
      <c r="L161" t="inlineStr">
        <is>
          <t>The provided code is a Java class named "F" that extends another class called "D". This class uses the ButterKnife library to bind color resources and views in Android applications. The purpose of this class seems to be to hold an instance variable for the background light color resource ID (@ColorInt int backgroundLightColor). It also has a constructor which takes a View as input and calls super(</t>
        </is>
      </c>
      <c r="M161" t="n">
        <v>0.0032</v>
      </c>
      <c r="N161" t="n">
        <v>0.0533</v>
      </c>
      <c r="O161" t="n">
        <v>0.1079</v>
      </c>
    </row>
    <row r="162">
      <c r="A162" t="inlineStr">
        <is>
          <t>butterknife</t>
        </is>
      </c>
      <c r="B162" t="inlineStr">
        <is>
          <t>sample/app/src/main/java/com/example/butterknife/unbinder/H.java</t>
        </is>
      </c>
      <c r="C162">
        <f>HYPERLINK("https://github.com/JakeWharton/butterknife/blob/master/sample/app/src/main/java/com/example/butterknife/unbinder/H.java")</f>
        <v/>
      </c>
      <c r="D162" t="inlineStr">
        <is>
          <t>The provided code is a Java class named H that extends G and uses Butter Knife library for view binding and color int injection. The class has two fields: grayColor of type @ColorInt annotated with @BindColor to bind the primary text dark color from Android's resource R file, and button3 of type View annotated with @BindView to bind the button3 id from Android</t>
        </is>
      </c>
      <c r="E162" t="n">
        <v>0.0029</v>
      </c>
      <c r="F162" t="n">
        <v>0.0278</v>
      </c>
      <c r="G162" t="n">
        <v>0.0741</v>
      </c>
      <c r="H162" t="inlineStr">
        <is>
          <t>The provided code is a Java class named Hex that extends G and uses the Butter Knife library for view binding in Android. The @BindColor annotation binds an integer color resource to grayColor variable, while the @BindView annotation binds a View with id button3 to button3 variable. In addition, this class also calls super constructor passing 'view' as argument and then initializes</t>
        </is>
      </c>
      <c r="I162" t="n">
        <v>0.0029</v>
      </c>
      <c r="J162" t="n">
        <v>0.0571</v>
      </c>
      <c r="K162" t="n">
        <v>0.1119</v>
      </c>
      <c r="L162" t="inlineStr">
        <is>
          <t>The provided code is a Java class named 'H' that extends another class called 'G'. This class uses the ButterKnife library for view and color binding during runtime. The purpose of this class seems to be to bind views with specific IDs (e.g., android.R.id.button3) and colors (e.g., android.R.color.primary_text</t>
        </is>
      </c>
      <c r="M162" t="n">
        <v>0.0045</v>
      </c>
      <c r="N162" t="n">
        <v>0.0615</v>
      </c>
      <c r="O162" t="n">
        <v>0.125</v>
      </c>
    </row>
    <row r="163">
      <c r="A163" t="inlineStr">
        <is>
          <t>butterknife</t>
        </is>
      </c>
      <c r="B163" t="inlineStr">
        <is>
          <t>sample/app/src/main/java/com/example/butterknife/unbinder/G.java</t>
        </is>
      </c>
      <c r="C163">
        <f>HYPERLINK("https://github.com/JakeWharton/butterknife/blob/master/sample/app/src/main/java/com/example/butterknife/unbinder/G.java")</f>
        <v/>
      </c>
      <c r="D163" t="inlineStr">
        <is>
          <t>The provided code is a Java class named G that extends E and uses the ButterKnife library for view binding and event handling in Android development. It includes three annotations: @BindColor to bind a color resource (darker gray), @BindView to bind a specific View from the layout file (a button with id "button2"), and @OnClick to handle click events on a particular</t>
        </is>
      </c>
      <c r="E163" t="n">
        <v>0.0029</v>
      </c>
      <c r="F163" t="n">
        <v>0.0286</v>
      </c>
      <c r="G163" t="n">
        <v>0.0746</v>
      </c>
      <c r="H163" t="inlineStr">
        <is>
          <t>The provided code is an example of a Java class that uses the Butter Knife library to bind views and color resources in Android applications. The `G` class extends from another class named `E`. It has two fields - one for storing a gray color resource (@BindColor with @ColorInt), and the other for binding a view (using @BindView). There's also an on</t>
        </is>
      </c>
      <c r="I163" t="n">
        <v>0.0029</v>
      </c>
      <c r="J163" t="n">
        <v>0.0286</v>
      </c>
      <c r="K163" t="n">
        <v>0.0746</v>
      </c>
      <c r="L163" t="inlineStr">
        <is>
          <t>The provided code is a Java class that extends another class called "E". This class uses the Butter Knife library to bind views and colors from an Android layout file to fields in this class using annotation processing. 
It has three main functionalities: 
1. It defines a color resource (@ColorInt int grayColor) with id 'android.R.color.dark</t>
        </is>
      </c>
      <c r="M163" t="n">
        <v>0.004</v>
      </c>
      <c r="N163" t="n">
        <v>0.0606</v>
      </c>
      <c r="O163" t="n">
        <v>0.1181</v>
      </c>
    </row>
    <row r="164">
      <c r="A164" t="inlineStr">
        <is>
          <t>butterknife</t>
        </is>
      </c>
      <c r="B164" t="inlineStr">
        <is>
          <t>sample/app/src/main/java/com/example/butterknife/unbinder/A.java</t>
        </is>
      </c>
      <c r="C164">
        <f>HYPERLINK("https://github.com/JakeWharton/butterknife/blob/master/sample/app/src/main/java/com/example/butterknife/unbinder/A.java")</f>
        <v/>
      </c>
      <c r="D164" t="inlineStr">
        <is>
          <t>The provided code is a simple Java class named "A" that uses the ButterKnife library to bind color resources from Android's built-in colors resource file (`android.R.color.black`). 
It has one instance variable `blackColor` annotated with `@BindColor` and `@ColorInt` which are both part of the Butter</t>
        </is>
      </c>
      <c r="E164" t="n">
        <v>0.0042</v>
      </c>
      <c r="F164" t="n">
        <v>0.0351</v>
      </c>
      <c r="G164" t="n">
        <v>0.0862</v>
      </c>
      <c r="H164" t="inlineStr">
        <is>
          <t>The provided code is a Java class named "A" that uses the ButterKnife library to bind color resources and views in Android applications.
Here's a concise summary of its functionality: 
- The class `A` has an instance variable `@BindColor(android.R.color.black) @ColorInt int blackColor` which represents a color resource from</t>
        </is>
      </c>
      <c r="I164" t="n">
        <v>0.0038</v>
      </c>
      <c r="J164" t="n">
        <v>0.0333</v>
      </c>
      <c r="K164" t="n">
        <v>0.0833</v>
      </c>
      <c r="L164" t="inlineStr">
        <is>
          <t>The provided code is a Java class named "A" that uses the ButterKnife library for view binding in Android. This class has one field (@BindColor annotated with black color and @ColorInt int type) and it's used to bind views from an XML layout file using ButterKnife. The main purpose of this class is to provide a way to automatically find and</t>
        </is>
      </c>
      <c r="M164" t="n">
        <v>0.0036</v>
      </c>
      <c r="N164" t="n">
        <v>0.0571</v>
      </c>
      <c r="O164" t="n">
        <v>0.1128</v>
      </c>
    </row>
    <row r="165">
      <c r="A165" t="inlineStr">
        <is>
          <t>butterknife</t>
        </is>
      </c>
      <c r="B165" t="inlineStr">
        <is>
          <t>sample/app/src/main/java/com/example/butterknife/unbinder/B.java</t>
        </is>
      </c>
      <c r="C165">
        <f>HYPERLINK("https://github.com/JakeWharton/butterknife/blob/master/sample/app/src/main/java/com/example/butterknife/unbinder/B.java")</f>
        <v/>
      </c>
      <c r="D165" t="inlineStr">
        <is>
          <t>The provided code is a Java class named B that extends another class A and uses ButterKnife library for view binding in Android development. 
In this class, there are two fields declared with the @BindColor annotation from butterknife package which binds color resources to their corresponding variables. The colors bound here are android.R.color.white (which represents white color</t>
        </is>
      </c>
      <c r="E165" t="n">
        <v>0.0032</v>
      </c>
      <c r="F165" t="n">
        <v>0.0294</v>
      </c>
      <c r="G165" t="n">
        <v>0.1163</v>
      </c>
      <c r="H165" t="inlineStr">
        <is>
          <t>The provided code is for a class B that extends class A and uses the Butter Knife library to bind views with annotations in Android development. The `@BindColor` annotation is used to inject color resources into integer fields annotated by `@ColorInt`. This means it's binding the white color resource from android R colors to int variable named 'whiteColor'. It also has a</t>
        </is>
      </c>
      <c r="I165" t="n">
        <v>0.0035</v>
      </c>
      <c r="J165" t="n">
        <v>0.0282</v>
      </c>
      <c r="K165" t="n">
        <v>0.1119</v>
      </c>
      <c r="L165" t="inlineStr">
        <is>
          <t>The provided code is a Java class named "B" that extends another class called "A". This class uses the ButterKnife library to bind color resources and views in Android applications. The main purpose of this class seems to be binding an integer resource (`whiteColor`) with its corresponding view using the `@BindColor` annotation from ButterKnife. 
However, without</t>
        </is>
      </c>
      <c r="M165" t="n">
        <v>0.0039</v>
      </c>
      <c r="N165" t="n">
        <v>0.0625</v>
      </c>
      <c r="O165" t="n">
        <v>0.1172</v>
      </c>
    </row>
    <row r="166">
      <c r="A166" t="inlineStr">
        <is>
          <t>butterknife</t>
        </is>
      </c>
      <c r="B166" t="inlineStr">
        <is>
          <t>sample/library/src/main/java/com/example/butterknife/library/SimpleActivity.java</t>
        </is>
      </c>
      <c r="C166">
        <f>HYPERLINK("https://github.com/JakeWharton/butterknife/blob/master/sample/library/src/main/java/com/example/butterknife/library/SimpleActivity.java")</f>
        <v/>
      </c>
      <c r="D166" t="inlineStr">
        <is>
          <t>The provided code is for a simple activity named SimpleActivity that extends Activity from the Android SDK. This class uses Butter Knife library to bind views and handle events efficiently in an android application. The main functionality of this code includes binding multiple views (using @BindViews annotation), handling click events on these views using @OnClick annotation, handling long-click events with @OnLongClick annotation</t>
        </is>
      </c>
      <c r="E166" t="n">
        <v>0.0039</v>
      </c>
      <c r="F166" t="n">
        <v>0.0563</v>
      </c>
      <c r="G166" t="n">
        <v>0.1119</v>
      </c>
      <c r="H166" t="inlineStr">
        <is>
          <t>The code you provided is a Java class that extends an Android activity and uses the Butter Knife library for view binding and event handling. The complexity of this code can be considered as O(N), where N represents the number of views in your layout file. This is because each @BindView or other annotation (like @OnClick) will create a field-based dependency which increases the time complexity</t>
        </is>
      </c>
      <c r="I166" t="n">
        <v>0.0033</v>
      </c>
      <c r="J166" t="n">
        <v>0.0263</v>
      </c>
      <c r="K166" t="n">
        <v>0.1087</v>
      </c>
      <c r="L166" t="inlineStr">
        <is>
          <t>The provided code is for a simple Android activity named `SimpleActivity` that uses the Butter Knife library to bind views and handle events in an efficient manner.
Here's a concise summary of its functionality: 
This class extends from Activity and utilizes the Butter Knife library for view binding and event handling. The main purpose of this class appears to be managing interactions</t>
        </is>
      </c>
      <c r="M166" t="n">
        <v>0.0035</v>
      </c>
      <c r="N166" t="n">
        <v>0.0563</v>
      </c>
      <c r="O166" t="n">
        <v>0.1119</v>
      </c>
    </row>
    <row r="167">
      <c r="A167" t="inlineStr">
        <is>
          <t>butterknife</t>
        </is>
      </c>
      <c r="B167" t="inlineStr">
        <is>
          <t>sample/library/src/main/java/com/example/butterknife/library/SimpleAdapter.java</t>
        </is>
      </c>
      <c r="C167">
        <f>HYPERLINK("https://github.com/JakeWharton/butterknife/blob/master/sample/library/src/main/java/com/example/butterknife/library/SimpleAdapter.java")</f>
        <v/>
      </c>
      <c r="D167" t="inlineStr">
        <is>
          <t>&lt;!-- This repository contains backend software components that implement core algorithms and data structures used in various applications such as web servers, databases, networking protocols etc. The complexity of the implementation is O(N), where N represents the number of elements being processed. --&gt;
```python
# This code provides a simple adapter for displaying alphabet letters from 'a' to 'z', including both</t>
        </is>
      </c>
      <c r="E167" t="n">
        <v>0.0042</v>
      </c>
      <c r="F167" t="n">
        <v>0.1493</v>
      </c>
      <c r="G167" t="n">
        <v>0.2256</v>
      </c>
      <c r="H167" t="inlineStr">
        <is>
          <t>This repository contains backend software components that implement core algorithms for various tasks such as string manipulation and data structure handling. The code is written in Java language.
The `SimpleAdapter` class extends the BaseAdapter class from Android's framework to create a custom adapter for displaying alphabets of "The quick brown fox jumps over the lazy dog." on an Android ListView</t>
        </is>
      </c>
      <c r="I167" t="n">
        <v>0.0043</v>
      </c>
      <c r="J167" t="n">
        <v>0.1449</v>
      </c>
      <c r="K167" t="n">
        <v>0.2818</v>
      </c>
      <c r="L167" t="inlineStr">
        <is>
          <t>```java
This code defines a custom adapter for an Android application using the ButterKnife library to bind views in a ListView or GridView. The purpose of this class is to display alphabet characters from "The quick brown fox jumps over the lazy dog." on each item of the list/grid. 
It has a static final String array named CONTENTS</t>
        </is>
      </c>
      <c r="M167" t="n">
        <v>0.0031</v>
      </c>
      <c r="N167" t="n">
        <v>0.0299</v>
      </c>
      <c r="O167" t="n">
        <v>0.0769</v>
      </c>
    </row>
    <row r="168">
      <c r="A168" t="inlineStr">
        <is>
          <t>crate</t>
        </is>
      </c>
      <c r="B168" t="inlineStr">
        <is>
          <t>app/src/main/java/io/crate/bootstrap/BootstrapException.java</t>
        </is>
      </c>
      <c r="C168">
        <f>HYPERLINK("https://github.com/crate/crate/blob/master/app/src/main/java/io/crate/bootstrap/BootstrapException.java")</f>
        <v/>
      </c>
      <c r="D168" t="inlineStr">
        <is>
          <t># This is a license header for the software provided in this code base. It's licensed under Apache License 2.0 and can be found at http://www.apache.org/licenses/LICENSE-2.0. The terms of use are as per the mentioned license. If you have executed another commercial license agreement with Crate, these terms will supersede those here</t>
        </is>
      </c>
      <c r="E168" t="n">
        <v>0.0046</v>
      </c>
      <c r="F168" t="n">
        <v>0.0882</v>
      </c>
      <c r="G168" t="n">
        <v>0.1613</v>
      </c>
      <c r="H168" t="inlineStr">
        <is>
          <t>The provided code appears to be a license header for Apache License 2.0 with some additional clauses related to commercial licensing agreements. The software is licensed under the terms of this license and may not be used unless in compliance with these terms.
The function `add` takes two parameters (numbers), adds them together, and returns the result. This operation has a time complexity of</t>
        </is>
      </c>
      <c r="I168" t="n">
        <v>0.0037</v>
      </c>
      <c r="J168" t="n">
        <v>0.0822</v>
      </c>
      <c r="K168" t="n">
        <v>0.1471</v>
      </c>
      <c r="L168" t="inlineStr">
        <is>
          <t>The provided code is a Java implementation of the CRC (Cyclical Redundancy Check) algorithm for data integrity verification in distributed systems. It's licensed under Apache License 2.0 and contains copyright notices indicating ownership by Crate.io GmbH ("Crate"). This software can be used only in compliance with this license agreement.
The main purpose of this</t>
        </is>
      </c>
      <c r="M168" t="n">
        <v>0.007900000000000001</v>
      </c>
      <c r="N168" t="n">
        <v>0.0615</v>
      </c>
      <c r="O168" t="n">
        <v>0.1984</v>
      </c>
    </row>
    <row r="169">
      <c r="A169" t="inlineStr">
        <is>
          <t>crate</t>
        </is>
      </c>
      <c r="B169" t="inlineStr">
        <is>
          <t>app/src/main/java/io/crate/bootstrap/CrateDB.java</t>
        </is>
      </c>
      <c r="C169">
        <f>HYPERLINK("https://github.com/crate/crate/blob/master/app/src/main/java/io/crate/bootstrap/CrateDB.java")</f>
        <v/>
      </c>
      <c r="D169" t="inlineStr">
        <is>
          <t>```python
# Licensed to Crate.io GmbH ("Crate") under one or more contributor license agreements. 
# See the NOTICE file distributed with this work for additional information regarding copyright ownership.  
# Crate licenses this file to you under the Apache License, Version 2.0 (the "License"); 
# you may not use</t>
        </is>
      </c>
      <c r="E169" t="n">
        <v>0</v>
      </c>
      <c r="F169" t="n">
        <v>0.0364</v>
      </c>
      <c r="G169" t="n">
        <v>0.08260000000000001</v>
      </c>
      <c r="H169" t="inlineStr">
        <is>
          <t>The provided code is a function named "add". It takes two parameters (`a` and `b`), adds them together using the addition operator ("+"), then returns the result. The time complexity of this operation is O(1).
In the README file, it states that this repository contains backend software components which are implementing core algorithms. The implementation has been committed to version</t>
        </is>
      </c>
      <c r="I169" t="n">
        <v>0.004</v>
      </c>
      <c r="J169" t="n">
        <v>0.1176</v>
      </c>
      <c r="K169" t="n">
        <v>0.2273</v>
      </c>
      <c r="L169" t="inlineStr">
        <is>
          <t>The provided code file is a backend software component for the Criteo platform licensed under Apache License 2.0 (see NOTICE file). It appears to be implementing core algorithms related to data processing and storage in an efficient manner with time complexity of O(N) which signifies linear time complexity. The main purpose seems to be managing large datasets efficiently by utilizing various operations such as</t>
        </is>
      </c>
      <c r="M169" t="n">
        <v>0.0037</v>
      </c>
      <c r="N169" t="n">
        <v>0.1081</v>
      </c>
      <c r="O169" t="n">
        <v>0.2321</v>
      </c>
    </row>
    <row r="170">
      <c r="A170" t="inlineStr">
        <is>
          <t>crate</t>
        </is>
      </c>
      <c r="B170" t="inlineStr">
        <is>
          <t>app/src/main/java/org/elasticsearch/bootstrap/StartupExceptionProxy.java</t>
        </is>
      </c>
      <c r="C170">
        <f>HYPERLINK("https://github.com/crate/crate/blob/master/app/src/main/java/org/elasticsearch/bootstrap/StartupExceptionProxy.java")</f>
        <v/>
      </c>
      <c r="D170" t="inlineStr">
        <is>
          <t>The provided code is licensed under Apache License 2.0 and it's written in a language that isn't specified. It appears to be part of the Crate.io GmbH ("Crate"), which may include components for managing databases or similar tasks. The license agreement states that you cannot use this file except in compliance with the terms of the license. You can obtain</t>
        </is>
      </c>
      <c r="E170" t="n">
        <v>0.003</v>
      </c>
      <c r="F170" t="n">
        <v>0.0278</v>
      </c>
      <c r="G170" t="n">
        <v>0.1136</v>
      </c>
      <c r="H170" t="inlineStr">
        <is>
          <t>The code provided is a function named "add". This function takes two parameters (a and b), adds them together using the '+' operator, then returns the result. The time complexity of this operation is O(1).
In addition to that, there are comments explaining what the purpose of the function is - it performs addition. There also seems to be license information at the top</t>
        </is>
      </c>
      <c r="I170" t="n">
        <v>0.0034</v>
      </c>
      <c r="J170" t="n">
        <v>0.08450000000000001</v>
      </c>
      <c r="K170" t="n">
        <v>0.1103</v>
      </c>
      <c r="L170" t="inlineStr">
        <is>
          <t>&lt;!-- This is a placeholder for the code summary --&gt;
The provided source code file contains backend software components licensed under Apache License 2.0 by Crate.io GmbH ("Crate"). The main purpose of this code appears to be implementing core algorithms related to data management and querying in an application context. It takes inputs (likely database queries or other relevant information) processes</t>
        </is>
      </c>
      <c r="M170" t="n">
        <v>0.0042</v>
      </c>
      <c r="N170" t="n">
        <v>0.1449</v>
      </c>
      <c r="O170" t="n">
        <v>0.2797</v>
      </c>
    </row>
    <row r="171">
      <c r="A171" t="inlineStr">
        <is>
          <t>crate</t>
        </is>
      </c>
      <c r="B171" t="inlineStr">
        <is>
          <t>app/src/main/java/org/elasticsearch/bootstrap/Bootstrap.java</t>
        </is>
      </c>
      <c r="C171">
        <f>HYPERLINK("https://github.com/crate/crate/blob/master/app/src/main/java/org/elasticsearch/bootstrap/Bootstrap.java")</f>
        <v/>
      </c>
      <c r="D171" t="inlineStr">
        <is>
          <t># Licensed to Crate.io GmbH ("Crate") under one or more contributor license agreements. See the NOTICE file distributed with this work for additional information regarding copyright ownership.
# Crate licenses this file to you under the Apache License, Version 2.0 (the "License"); you may not use this file except in compliance with the License.</t>
        </is>
      </c>
      <c r="E171" t="n">
        <v>0</v>
      </c>
      <c r="F171" t="n">
        <v>0.0323</v>
      </c>
      <c r="G171" t="n">
        <v>0.0794</v>
      </c>
      <c r="H171" t="inlineStr">
        <is>
          <t>The function provided is a simple addition operation which takes two numbers as input and returns their sum. The complexity of this code is O(1), meaning it has constant time complexity since no loop or recursion are present in the add function. It simply performs an arithmetic operation to return the result.
```python
def add(a, b):
    """
    This function adds two</t>
        </is>
      </c>
      <c r="I171" t="n">
        <v>0.0036</v>
      </c>
      <c r="J171" t="n">
        <v>0.0571</v>
      </c>
      <c r="K171" t="n">
        <v>0.1128</v>
      </c>
      <c r="L171" t="inlineStr">
        <is>
          <t>The provided code is licensed under the Apache License 2.0 and it's written in Java. The main purpose of this software component appears to be handling data storage operations related to a database system called "Crate". This includes creating tables, inserting records into these tables, updating existing records, deleting them or fetching information from the tables based on certain conditions. It seems</t>
        </is>
      </c>
      <c r="M171" t="n">
        <v>0.0039</v>
      </c>
      <c r="N171" t="n">
        <v>0.0556</v>
      </c>
      <c r="O171" t="n">
        <v>0.1119</v>
      </c>
    </row>
    <row r="172">
      <c r="A172" t="inlineStr">
        <is>
          <t>crate</t>
        </is>
      </c>
      <c r="B172" t="inlineStr">
        <is>
          <t>app/src/test/java/io/crate/AppJarHellTest.java</t>
        </is>
      </c>
      <c r="C172">
        <f>HYPERLINK("https://github.com/crate/crate/blob/master/app/src/test/java/io/crate/AppJarHellTest.java")</f>
        <v/>
      </c>
      <c r="D172" t="inlineStr">
        <is>
          <t># Licensed to Crate.io GmbH ("Crate") under one or more contributor license agreements. 
# See the NOTICE file distributed with this work for additional information regarding copyright ownership.  
# Crate licenses this file to you under the Apache License, Version 2.0 (the "License"); 
# you may not use this file</t>
        </is>
      </c>
      <c r="E172" t="n">
        <v>0</v>
      </c>
      <c r="F172" t="n">
        <v>0.0357</v>
      </c>
      <c r="G172" t="n">
        <v>0.082</v>
      </c>
      <c r="H172" t="inlineStr">
        <is>
          <t>The function provided is a simple addition operation between two numbers 'a' and 'b'. It returns the sum of these two numbers. The time complexity of this function is O(1), meaning it takes constant time to execute regardless of the size of input data.
In the README file, there are some licensing information which states that you can use the software under Apache License</t>
        </is>
      </c>
      <c r="I172" t="n">
        <v>0.0034</v>
      </c>
      <c r="J172" t="n">
        <v>0.0548</v>
      </c>
      <c r="K172" t="n">
        <v>0.1838</v>
      </c>
      <c r="L172" t="inlineStr">
        <is>
          <t>The provided code is licensed under the Apache License 2.0 and it's a backend software component of an application. The purpose of this component appears to be related to licensing information management for Crate.io GmbH ("Crate"). It provides functionality for managing license agreements with various entities and checks if they comply with the terms set by Crate in their commercial agreement</t>
        </is>
      </c>
      <c r="M172" t="n">
        <v>0.0039</v>
      </c>
      <c r="N172" t="n">
        <v>0.0833</v>
      </c>
      <c r="O172" t="n">
        <v>0.1504</v>
      </c>
    </row>
    <row r="173">
      <c r="A173" t="inlineStr">
        <is>
          <t>crate</t>
        </is>
      </c>
      <c r="B173" t="inlineStr">
        <is>
          <t>app/src/test/java/io/crate/node/NodeSettingsTest.java</t>
        </is>
      </c>
      <c r="C173">
        <f>HYPERLINK("https://github.com/crate/crate/blob/master/app/src/test/java/io/crate/node/NodeSettingsTest.java")</f>
        <v/>
      </c>
      <c r="D173" t="inlineStr">
        <is>
          <t>The provided code is licensed under the Apache License 2.0 and it's used by Crate.io GmbH ("Crate"). It allows you to use this file as per the terms of the license agreement unless otherwise specified in writing. The software distributed under the license can be used on an "AS IS" BASIS without any warranties or conditions of any</t>
        </is>
      </c>
      <c r="E173" t="n">
        <v>0.0037</v>
      </c>
      <c r="F173" t="n">
        <v>0.058</v>
      </c>
      <c r="G173" t="n">
        <v>0.1538</v>
      </c>
      <c r="H173" t="inlineStr">
        <is>
          <t>The code provided is a simple function for addition of two numbers in Python language. The functionality of the given code can be summarized as follows: This function takes two parameters (numbers), adds them together and returns the result. It operates with constant time complexity O(1).
Please note that this repository contains backend software components which are implementing core algorithms. Each commit represents an incremental</t>
        </is>
      </c>
      <c r="I173" t="n">
        <v>0.0042</v>
      </c>
      <c r="J173" t="n">
        <v>0.1081</v>
      </c>
      <c r="K173" t="n">
        <v>0.3112</v>
      </c>
      <c r="L173" t="inlineStr">
        <is>
          <t>The provided code is licensed under the Apache License 2.0 and it's written in Java. It appears to be a backend software component for a database management system called CrateDB ("Crate"). The purpose of this code seems to be related to implementation of core algorithms or data structures used by CrateDB. This includes operations like creating tables, inserting records, query</t>
        </is>
      </c>
      <c r="M173" t="n">
        <v>0.0043</v>
      </c>
      <c r="N173" t="n">
        <v>0.0857</v>
      </c>
      <c r="O173" t="n">
        <v>0.2273</v>
      </c>
    </row>
    <row r="174">
      <c r="A174" t="inlineStr">
        <is>
          <t>crate</t>
        </is>
      </c>
      <c r="B174" t="inlineStr">
        <is>
          <t>server/src/testFixtures/java/io/crate/execution/engine/sort/IgnoreRowCellsAccounting.java</t>
        </is>
      </c>
      <c r="C174">
        <f>HYPERLINK("https://github.com/crate/crate/blob/master/server/src/testFixtures/java/io/crate/execution/engine/sort/IgnoreRowCellsAccounting.java")</f>
        <v/>
      </c>
      <c r="D174" t="inlineStr">
        <is>
          <t>The code is licensed under Apache License 2.0 and it allows you to use the file except in compliance with this license agreement. The software can be obtained from a provided URL which provides more information regarding copyright ownership and licensing details. This repository contains backend software components implementing core algorithms for complex tasks. It has O(N) complexity as per time complexity analysis. Initial commit of</t>
        </is>
      </c>
      <c r="E174" t="n">
        <v>0.0039</v>
      </c>
      <c r="F174" t="n">
        <v>0.1053</v>
      </c>
      <c r="G174" t="n">
        <v>0.309</v>
      </c>
      <c r="H174" t="inlineStr">
        <is>
          <t>```python
# Licensed to Crate.io GmbH ("Crate") under one or more contributor license agreements.  See the NOTICE file distributed with this work for additional information regarding copyright ownership. Crate licenses this file to you under the Apache License, Version 2.0 (the "License"); you may not use this file except in compliance with</t>
        </is>
      </c>
      <c r="I174" t="n">
        <v>0</v>
      </c>
      <c r="J174" t="n">
        <v>0.0328</v>
      </c>
      <c r="K174" t="n">
        <v>0.0806</v>
      </c>
      <c r="L174" t="inlineStr">
        <is>
          <t>The provided code is a license agreement for the software component of "Crate". It specifies conditions under which usage and distribution are allowed or prohibited. The main purpose of this code file seems to be licensing control over the use and redistribution of the software. This includes defining terms such as 'use only in compliance with the License', 'without warranties' etc. Furthermore, it provides</t>
        </is>
      </c>
      <c r="M174" t="n">
        <v>0.0037</v>
      </c>
      <c r="N174" t="n">
        <v>0.0556</v>
      </c>
      <c r="O174" t="n">
        <v>0.2321</v>
      </c>
    </row>
    <row r="175">
      <c r="A175" t="inlineStr">
        <is>
          <t>crate</t>
        </is>
      </c>
      <c r="B175" t="inlineStr">
        <is>
          <t>server/src/testFixtures/java/io/crate/execution/engine/window/AbstractWindowFunctionTest.java</t>
        </is>
      </c>
      <c r="C175">
        <f>HYPERLINK("https://github.com/crate/crate/blob/master/server/src/testFixtures/java/io/crate/execution/engine/window/AbstractWindowFunctionTest.java")</f>
        <v/>
      </c>
      <c r="D175" t="inlineStr">
        <is>
          <t>The code is licensed under Apache License 2.0 and it's provided by Crate.io GmbH ("Crate"). It allows you to use the file in compliance with this license agreement but not without any contributors' licenses mentioned in the notice file distributed along with the work. The software can be obtained from http://www.apache.org/licenses</t>
        </is>
      </c>
      <c r="E175" t="n">
        <v>0.0043</v>
      </c>
      <c r="F175" t="n">
        <v>0.0606</v>
      </c>
      <c r="G175" t="n">
        <v>0.1626</v>
      </c>
      <c r="H175" t="inlineStr">
        <is>
          <t>The provided code is a function for adding two numbers together in Python. It's named 'add', and it takes two parameters - 'a' and 'b'. The complexity of this operation is O(1), meaning the time taken does not increase with an increase in input size. This function returns the sum of its inputs.
There are also comments explaining what the purpose of the</t>
        </is>
      </c>
      <c r="I175" t="n">
        <v>0.0034</v>
      </c>
      <c r="J175" t="n">
        <v>0.0556</v>
      </c>
      <c r="K175" t="n">
        <v>0.1481</v>
      </c>
      <c r="L175" t="inlineStr">
        <is>
          <t>&lt;!-- This is a placeholder for the generated summary --&gt;
The provided code appears to be part of backend software components developed by Critea (now known as Crate.io). The purpose of this component seems to be related to licensing and license agreement management. It's licensed under Apache License 2.0 which requires compliance with certain conditions including distribution rights. If executed</t>
        </is>
      </c>
      <c r="M175" t="n">
        <v>0.004</v>
      </c>
      <c r="N175" t="n">
        <v>0.08699999999999999</v>
      </c>
      <c r="O175" t="n">
        <v>0.1515</v>
      </c>
    </row>
    <row r="176">
      <c r="A176" t="inlineStr">
        <is>
          <t>crate</t>
        </is>
      </c>
      <c r="B176" t="inlineStr">
        <is>
          <t>server/src/testFixtures/java/io/crate/execution/engine/window/IgnoreRowAccounting.java</t>
        </is>
      </c>
      <c r="C176">
        <f>HYPERLINK("https://github.com/crate/crate/blob/master/server/src/testFixtures/java/io/crate/execution/engine/window/IgnoreRowAccounting.java")</f>
        <v/>
      </c>
      <c r="D176" t="inlineStr">
        <is>
          <t>The provided code is licensed under Apache License 2.0 and it's written in a language not specified. It appears to be related to backend software components with complex algorithms implemented. The license agreement states that the user may use this file except in compliance with the terms of the license which can be found at http://www.apache.org/licenses/LICENSE-2</t>
        </is>
      </c>
      <c r="E176" t="n">
        <v>0.0039</v>
      </c>
      <c r="F176" t="n">
        <v>0.0556</v>
      </c>
      <c r="G176" t="n">
        <v>0.1563</v>
      </c>
      <c r="H176" t="inlineStr">
        <is>
          <t>The code provided is a function named "add", which takes two parameters (a and b), adds them together, and returns the result. The functionality of this code is to add two numbers. This operation has a time complexity of O(1).
In addition, there are license terms at the top of the file that state it's licensed under Apache License 2.0 by</t>
        </is>
      </c>
      <c r="I176" t="n">
        <v>0.0039</v>
      </c>
      <c r="J176" t="n">
        <v>0.0556</v>
      </c>
      <c r="K176" t="n">
        <v>0.1128</v>
      </c>
      <c r="L176" t="inlineStr">
        <is>
          <t>The provided code is licensed under the Apache License 2.0 and it's a backend software component for Crite.io GmbH ("Crate"). It appears to be an implementation of core algorithms related to data storage in a database system. The main purpose seems to be managing CRUD operations (Create, Read, Update, Delete) on various types of data stored within</t>
        </is>
      </c>
      <c r="M176" t="n">
        <v>0.0042</v>
      </c>
      <c r="N176" t="n">
        <v>0.0882</v>
      </c>
      <c r="O176" t="n">
        <v>0.155</v>
      </c>
    </row>
    <row r="177">
      <c r="A177" t="inlineStr">
        <is>
          <t>crate</t>
        </is>
      </c>
      <c r="B177" t="inlineStr">
        <is>
          <t>server/src/testFixtures/java/io/crate/operation/aggregation/AggregationTestCase.java</t>
        </is>
      </c>
      <c r="C177">
        <f>HYPERLINK("https://github.com/crate/crate/blob/master/server/src/testFixtures/java/io/crate/operation/aggregation/AggregationTestCase.java")</f>
        <v/>
      </c>
      <c r="D177" t="inlineStr">
        <is>
          <t>The code is licensed under Apache License 2.0 and it allows users to use the file except in compliance with this license. The software can be obtained from a provided URL but without any warranty or conditions of any kind implied by the license. It's distributed on an "AS IS" basis. For specific language governing permissions and limitations under the license, please refer to it.</t>
        </is>
      </c>
      <c r="E177" t="n">
        <v>0.0033</v>
      </c>
      <c r="F177" t="n">
        <v>0.08</v>
      </c>
      <c r="G177" t="n">
        <v>0.146</v>
      </c>
      <c r="H177" t="inlineStr">
        <is>
          <t>The code provided is a simple function for addition of two numbers in Python language. The functionality of this code can be summarized as follows: This function takes two arguments (numbers), adds them together and returns the result. It operates with a time complexity of O(1).
In terms of licensing information, it states that the software licensed under Apache License 2.0 which</t>
        </is>
      </c>
      <c r="I177" t="n">
        <v>0.0042</v>
      </c>
      <c r="J177" t="n">
        <v>0.0833</v>
      </c>
      <c r="K177" t="n">
        <v>0.1493</v>
      </c>
      <c r="L177" t="inlineStr">
        <is>
          <t>The provided code is a license file for software developed by Crate.io GmbH ("Crate"). The purpose of the code is to define terms and conditions under which users may use this software or its components. 
It specifies that any redistribution of the licensed files must be done under the Apache License, Version 2.0 (the "License"), with</t>
        </is>
      </c>
      <c r="M177" t="n">
        <v>0.0039</v>
      </c>
      <c r="N177" t="n">
        <v>0.0606</v>
      </c>
      <c r="O177" t="n">
        <v>0.2466</v>
      </c>
    </row>
    <row r="178">
      <c r="A178" t="inlineStr">
        <is>
          <t>crate</t>
        </is>
      </c>
      <c r="B178" t="inlineStr">
        <is>
          <t>server/src/testFixtures/java/io/crate/analyze/TableDefinitions.java</t>
        </is>
      </c>
      <c r="C178">
        <f>HYPERLINK("https://github.com/crate/crate/blob/master/server/src/testFixtures/java/io/crate/analyze/TableDefinitions.java")</f>
        <v/>
      </c>
      <c r="D178" t="inlineStr">
        <is>
          <t>The code is licensed under Apache License 2.0 and it's provided by Crate.io GmbH ("Crate"). It allows you to use the file in compliance with this license agreement. The software may be obtained at http://www.apache.org/licenses/LICENSE-2.0 unless required by applicable law or agreed to in writing, where</t>
        </is>
      </c>
      <c r="E178" t="n">
        <v>0.0048</v>
      </c>
      <c r="F178" t="n">
        <v>0.0625</v>
      </c>
      <c r="G178" t="n">
        <v>0.1695</v>
      </c>
      <c r="H178" t="inlineStr">
        <is>
          <t>The provided code is a simple function named `add` that takes two parameters and returns their sum. The complexity of this operation is O(1), meaning it always performs the same number of operations regardless of input size. This function does not contain any loops or recursive calls, making it efficient for small inputs.
In terms of comments, they explain what the purpose of the function is</t>
        </is>
      </c>
      <c r="I178" t="n">
        <v>0.0033</v>
      </c>
      <c r="J178" t="n">
        <v>0.0533</v>
      </c>
      <c r="K178" t="n">
        <v>0.1087</v>
      </c>
      <c r="L178" t="inlineStr">
        <is>
          <t>The provided code is licensed under the Apache License Version 2.0 and it's a backend software component for Criteo. The main purpose of this code seems to be licensing enforcement by checking if certain conditions are met before allowing usage. It checks whether there exists another commercial license agreement with Criteo, superseding the Apache License in such cases. This functionality can help</t>
        </is>
      </c>
      <c r="M178" t="n">
        <v>0.0042</v>
      </c>
      <c r="N178" t="n">
        <v>0.0556</v>
      </c>
      <c r="O178" t="n">
        <v>0.1493</v>
      </c>
    </row>
    <row r="179">
      <c r="A179" t="inlineStr">
        <is>
          <t>crate</t>
        </is>
      </c>
      <c r="B179" t="inlineStr">
        <is>
          <t>server/src/testFixtures/java/io/crate/expression/symbol/ParameterBinder.java</t>
        </is>
      </c>
      <c r="C179">
        <f>HYPERLINK("https://github.com/crate/crate/blob/master/server/src/testFixtures/java/io/crate/expression/symbol/ParameterBinder.java")</f>
        <v/>
      </c>
      <c r="D179" t="inlineStr">
        <is>
          <t>The code is licensed under one or more contributor license agreements and it's distributed with a NOTICE file detailing copyright ownership information. The software can be used under the Apache License, Version 2.0 (the "License"). You may not use this file except in compliance with the License. A copy of the License can be obtained at http://www.apache.org</t>
        </is>
      </c>
      <c r="E179" t="n">
        <v>0.0038</v>
      </c>
      <c r="F179" t="n">
        <v>0.0286</v>
      </c>
      <c r="G179" t="n">
        <v>0.155</v>
      </c>
      <c r="H179" t="inlineStr">
        <is>
          <t>The function provided is a simple addition operation that takes two numbers as arguments and returns their sum. The complexity of this function is O(1), meaning it performs a constant number of operations regardless of the size of the input data. It's licensed under Apache License 2.0 which allows for both personal and commercial use subject to certain conditions mentioned in the license text.
Please provide</t>
        </is>
      </c>
      <c r="I179" t="n">
        <v>0.0028</v>
      </c>
      <c r="J179" t="n">
        <v>0.0779</v>
      </c>
      <c r="K179" t="n">
        <v>0.1087</v>
      </c>
      <c r="L179" t="inlineStr">
        <is>
          <t>The provided code is licensed under Apache License 2.0 and it's distributed on an "AS IS" BASIS without any warranties or conditions of any kind either expressed or implied. The software may be used in compliance with the license terms at http://www.apache.org/licenses/LICENSE-2.0 However, if you have executed another commercial license agreement with</t>
        </is>
      </c>
      <c r="M179" t="n">
        <v>0.0042</v>
      </c>
      <c r="N179" t="n">
        <v>0.029</v>
      </c>
      <c r="O179" t="n">
        <v>0.121</v>
      </c>
    </row>
    <row r="180">
      <c r="A180" t="inlineStr">
        <is>
          <t>crate</t>
        </is>
      </c>
      <c r="B180" t="inlineStr">
        <is>
          <t>server/src/testFixtures/java/io/crate/expression/scalar/ScalarTestCase.java</t>
        </is>
      </c>
      <c r="C180">
        <f>HYPERLINK("https://github.com/crate/crate/blob/master/server/src/testFixtures/java/io/crate/expression/scalar/ScalarTestCase.java")</f>
        <v/>
      </c>
      <c r="D180" t="inlineStr">
        <is>
          <t>The provided code is licensed under Apache License 2.0 and it's written in a language not specified here. It appears to be related to backend software components of an application. The license agreement states that you may use the file except if you comply with the terms of the license which restrict usage rights without explicit permission from Crate.io GmbH ("Crate"). There</t>
        </is>
      </c>
      <c r="E180" t="n">
        <v>0.0035</v>
      </c>
      <c r="F180" t="n">
        <v>0.0274</v>
      </c>
      <c r="G180" t="n">
        <v>0.1119</v>
      </c>
      <c r="H180" t="inlineStr">
        <is>
          <t>The provided code is a function named "add". This function takes two parameters (a and b), adds them together using the '+' operator, then returns the result. The complexity of this operation is O(1).
In terms of comments, it explains what the function does - addition. 
There are also some license information at the top which states that you can use</t>
        </is>
      </c>
      <c r="I180" t="n">
        <v>0.0036</v>
      </c>
      <c r="J180" t="n">
        <v>0.0882</v>
      </c>
      <c r="K180" t="n">
        <v>0.1128</v>
      </c>
      <c r="L180" t="inlineStr">
        <is>
          <t>&lt;!-- Code Summary --&gt;
The provided code is licensed under Apache License 2.0 and it's a backend software component for the Critea platform. It appears to be an implementation of core algorithms related to data management or processing tasks such as searching, sorting, indexing etc. The overall purpose of this code seems to manage CRUD operations on distributed storage system using Cr</t>
        </is>
      </c>
      <c r="M180" t="n">
        <v>0.0039</v>
      </c>
      <c r="N180" t="n">
        <v>0.0857</v>
      </c>
      <c r="O180" t="n">
        <v>0.2239</v>
      </c>
    </row>
    <row r="181">
      <c r="A181" t="inlineStr">
        <is>
          <t>crate</t>
        </is>
      </c>
      <c r="B181" t="inlineStr">
        <is>
          <t>server/src/testFixtures/java/io/crate/types/DataTypeTestCase.java</t>
        </is>
      </c>
      <c r="C181">
        <f>HYPERLINK("https://github.com/crate/crate/blob/master/server/src/testFixtures/java/io/crate/types/DataTypeTestCase.java")</f>
        <v/>
      </c>
      <c r="D181" t="inlineStr">
        <is>
          <t># This code is licensed under Apache License 2.0 by Crate.io GmbH ("Crate"). The license terms are contained in the NOTICE file distributed with this work for additional information regarding copyright ownership. You may not use this file except in compliance with the License. You can obtain a copy of the License at http://www.apache.org/licenses/LIC</t>
        </is>
      </c>
      <c r="E181" t="n">
        <v>0.0034</v>
      </c>
      <c r="F181" t="n">
        <v>0.0294</v>
      </c>
      <c r="G181" t="n">
        <v>0.0794</v>
      </c>
      <c r="H181" t="inlineStr">
        <is>
          <t>The function provided is a simple addition operation that takes two parameters and returns their sum. The complexity of this function is O(1), meaning it performs the same number of operations regardless of the size of the input data.
In terms of licensing, the code is licensed under Apache License 2.0 as stated in the comments at the top of the file. This license requires you</t>
        </is>
      </c>
      <c r="I181" t="n">
        <v>0.0033</v>
      </c>
      <c r="J181" t="n">
        <v>0.0526</v>
      </c>
      <c r="K181" t="n">
        <v>0.1087</v>
      </c>
      <c r="L181" t="inlineStr">
        <is>
          <t>&lt;!-- This is a placeholder for the generated summary --&gt;
The provided code file contains backend software components licensed under Apache License 2.0 by Crate.io GmbH ("Crate"). The main purpose of this code appears to be handling and managing database operations related to data storage using CrateDB. It provides functionalities such as creating tables, inserting records into those tables</t>
        </is>
      </c>
      <c r="M181" t="n">
        <v>0.0041</v>
      </c>
      <c r="N181" t="n">
        <v>0.0896</v>
      </c>
      <c r="O181" t="n">
        <v>0.1527</v>
      </c>
    </row>
    <row r="182">
      <c r="A182" t="inlineStr">
        <is>
          <t>crate</t>
        </is>
      </c>
      <c r="B182" t="inlineStr">
        <is>
          <t>server/src/testFixtures/java/io/crate/role/StubRoleManager.java</t>
        </is>
      </c>
      <c r="C182">
        <f>HYPERLINK("https://github.com/crate/crate/blob/master/server/src/testFixtures/java/io/crate/role/StubRoleManager.java")</f>
        <v/>
      </c>
      <c r="D182" t="inlineStr">
        <is>
          <t>The code is licensed under Apache License 2.0 and it's used by Crate.io GmbH ("Crate"). It allows the user to use this file in compliance with the license terms. The software can be obtained from http://www.apache.org/licenses/LICENSE-2.0 unless otherwise agreed upon by applicable law or if a commercial license agreement</t>
        </is>
      </c>
      <c r="E182" t="n">
        <v>0.0045</v>
      </c>
      <c r="F182" t="n">
        <v>0.0597</v>
      </c>
      <c r="G182" t="n">
        <v>0.1653</v>
      </c>
      <c r="H182" t="inlineStr">
        <is>
          <t>The provided code is a function named `add` that takes two parameters (numbers), adds them together and returns the result. The time complexity of this operation is O(1).
In addition to the license information at the top of the file, there are comments explaining what each section of the code does. 
Here's another summary based on these details:</t>
        </is>
      </c>
      <c r="I182" t="n">
        <v>0.0031</v>
      </c>
      <c r="J182" t="n">
        <v>0.0588</v>
      </c>
      <c r="K182" t="n">
        <v>0.1154</v>
      </c>
      <c r="L182" t="inlineStr">
        <is>
          <t># This code is licensed under the Apache License 2.0 and it belongs to Crite.io GmbH ("Crate"). The license can be found at http://www.apache.org/licenses/LICENSE-2.0. By using this file you may not use it except in compliance with the License. You may obtain a copy of the License at the</t>
        </is>
      </c>
      <c r="M182" t="n">
        <v>0.0045</v>
      </c>
      <c r="N182" t="n">
        <v>0.0615</v>
      </c>
      <c r="O182" t="n">
        <v>0.124</v>
      </c>
    </row>
    <row r="183">
      <c r="A183" t="inlineStr">
        <is>
          <t>crate</t>
        </is>
      </c>
      <c r="B183" t="inlineStr">
        <is>
          <t>server/src/testFixtures/java/io/crate/testing/SQLAssert.java</t>
        </is>
      </c>
      <c r="C183">
        <f>HYPERLINK("https://github.com/crate/crate/blob/master/server/src/testFixtures/java/io/crate/testing/SQLAssert.java")</f>
        <v/>
      </c>
      <c r="D183" t="inlineStr">
        <is>
          <t># Licensed to Crate.io GmbH ("Crate") under one or more contributor license agreements. See the NOTICE file distributed with this work for additional information regarding copyright ownership. 
# Crate licenses this file to you under the Apache License, Version 2.0 (the "License"); you may not use this file except in compliance with the</t>
        </is>
      </c>
      <c r="E183" t="n">
        <v>0</v>
      </c>
      <c r="F183" t="n">
        <v>0.0328</v>
      </c>
      <c r="G183" t="n">
        <v>0.08</v>
      </c>
      <c r="H183" t="inlineStr">
        <is>
          <t>The provided code is a function named "add", which takes two parameters and returns their sum. The complexity of this operation is O(1), meaning it always executes in the same amount of time regardless of input size (n). This function could be used for adding numbers together.
For example, if you call `add(5, 7)`, it will return `</t>
        </is>
      </c>
      <c r="I183" t="n">
        <v>0.0037</v>
      </c>
      <c r="J183" t="n">
        <v>0.0597</v>
      </c>
      <c r="K183" t="n">
        <v>0.1154</v>
      </c>
      <c r="L183" t="inlineStr">
        <is>
          <t># This is a summary of the provided code file for Backend Software Components. 
The given source code appears to be licensed under Apache License Version 2.0 and it's written in Java language. The main purpose of this software component seems to be related with data storage and retrieval operations using CrateDB (Elasticsearch alternative). It provides functionalities such</t>
        </is>
      </c>
      <c r="M183" t="n">
        <v>0.0041</v>
      </c>
      <c r="N183" t="n">
        <v>0.0896</v>
      </c>
      <c r="O183" t="n">
        <v>0.2428</v>
      </c>
    </row>
    <row r="184">
      <c r="A184" t="inlineStr">
        <is>
          <t>crate</t>
        </is>
      </c>
      <c r="B184" t="inlineStr">
        <is>
          <t>server/src/testFixtures/java/io/crate/testing/SymbolsAssert.java</t>
        </is>
      </c>
      <c r="C184">
        <f>HYPERLINK("https://github.com/crate/crate/blob/master/server/src/testFixtures/java/io/crate/testing/SymbolsAssert.java")</f>
        <v/>
      </c>
      <c r="D184" t="inlineStr">
        <is>
          <t># Licensed to Crate.io GmbH ("Crate") under one or more contributor license agreements. See the NOTICE file distributed with this work for additional information regarding copyright ownership. 
# Crate licenses this file to you under the Apache License, Version 2.0 (the "License"); you may not use this file except in compliance with the License.</t>
        </is>
      </c>
      <c r="E184" t="n">
        <v>0</v>
      </c>
      <c r="F184" t="n">
        <v>0.0323</v>
      </c>
      <c r="G184" t="n">
        <v>0.0794</v>
      </c>
      <c r="H184" t="inlineStr">
        <is>
          <t>The provided code is a function named "add", which takes two arguments and returns their sum. This operation has a time complexity of O(1), meaning it always executes in the same amount of time regardless of input size. The license at the top of this file specifies that you can use the software under Apache License 2.0.
In summary, the add() function performs</t>
        </is>
      </c>
      <c r="I184" t="n">
        <v>0.0038</v>
      </c>
      <c r="J184" t="n">
        <v>0.0822</v>
      </c>
      <c r="K184" t="n">
        <v>0.1481</v>
      </c>
      <c r="L184" t="inlineStr">
        <is>
          <t>The code provided is licensed under Apache License 2.0 and includes a notice of copyright ownership by Criteo Labs SAS (formerly known as Crate). The purpose of the software component appears to be related to distributed storage systems based on an "As Is" basis with no warranties or conditions imposed. It uses algorithms implemented by Crate for data management tasks such as indexing</t>
        </is>
      </c>
      <c r="M184" t="n">
        <v>0.0034</v>
      </c>
      <c r="N184" t="n">
        <v>0.0556</v>
      </c>
      <c r="O184" t="n">
        <v>0.1481</v>
      </c>
    </row>
    <row r="185">
      <c r="A185" t="inlineStr">
        <is>
          <t>crate</t>
        </is>
      </c>
      <c r="B185" t="inlineStr">
        <is>
          <t>server/src/testFixtures/java/io/crate/testing/DataTypeTesting.java</t>
        </is>
      </c>
      <c r="C185">
        <f>HYPERLINK("https://github.com/crate/crate/blob/master/server/src/testFixtures/java/io/crate/testing/DataTypeTesting.java")</f>
        <v/>
      </c>
      <c r="D185" t="inlineStr">
        <is>
          <t>The code is licensed under Apache License 2.0 and can be used by anyone except in compliance with the license terms. The software may also only be used for commercial purposes if a separate agreement has been executed with Crate.io GmbH ("Crate"). If you have not agreed to these conditions, please do not use this file or any part of it without obtaining a</t>
        </is>
      </c>
      <c r="E185" t="n">
        <v>0.0034</v>
      </c>
      <c r="F185" t="n">
        <v>0.027</v>
      </c>
      <c r="G185" t="n">
        <v>0.1471</v>
      </c>
      <c r="H185" t="inlineStr">
        <is>
          <t>The function provided is a simple addition operation that takes two parameters and returns their sum. The functionality of this code can be summarized as follows: "Given two numbers (inputs), the add() function will return their sum." This summary does not repeat any code from the original source file.
The complexity of this function is O(1). It means it has constant time complexity because</t>
        </is>
      </c>
      <c r="I185" t="n">
        <v>0.0037</v>
      </c>
      <c r="J185" t="n">
        <v>0.0548</v>
      </c>
      <c r="K185" t="n">
        <v>0.1103</v>
      </c>
      <c r="L185" t="inlineStr">
        <is>
          <t>The provided code is licensed under the Apache License Version 2.0 and it's written in Java. The purpose of this software component appears to be a distributed database system called 'Crate'. It provides functionalities for creating databases, tables, inserting data into these tables, querying data from them, updating existing records, deleting records etc. This system also supports various types</t>
        </is>
      </c>
      <c r="M185" t="n">
        <v>0.0041</v>
      </c>
      <c r="N185" t="n">
        <v>0.08699999999999999</v>
      </c>
      <c r="O185" t="n">
        <v>0.1527</v>
      </c>
    </row>
    <row r="186">
      <c r="A186" t="inlineStr">
        <is>
          <t>crate</t>
        </is>
      </c>
      <c r="B186" t="inlineStr">
        <is>
          <t>server/src/testFixtures/java/io/crate/testing/ParsedDocumentAssert.java</t>
        </is>
      </c>
      <c r="C186">
        <f>HYPERLINK("https://github.com/crate/crate/blob/master/server/src/testFixtures/java/io/crate/testing/ParsedDocumentAssert.java")</f>
        <v/>
      </c>
      <c r="D186" t="inlineStr">
        <is>
          <t>The code is licensed under Apache License 2.0 and it's provided by Crate.io GmbH ("Crate"). The license allows you to use the file in compliance with the terms of this agreement unless otherwise stated. You may obtain a copy of the license at http://www.apache.org/licenses/LICENSE-2.0 Unless required by</t>
        </is>
      </c>
      <c r="E186" t="n">
        <v>0.0039</v>
      </c>
      <c r="F186" t="n">
        <v>0.0308</v>
      </c>
      <c r="G186" t="n">
        <v>0.1261</v>
      </c>
      <c r="H186" t="inlineStr">
        <is>
          <t>The provided code is a function named "add", which takes two parameters and returns their sum. The complexity of this operation is O(1), meaning it performs a constant number of operations regardless of the size of the input data. This function can be used to add any numbers together, not just integers or floats as long as they are numerical types in Python.
Here's how</t>
        </is>
      </c>
      <c r="I186" t="n">
        <v>0.0033</v>
      </c>
      <c r="J186" t="n">
        <v>0.0533</v>
      </c>
      <c r="K186" t="n">
        <v>0.1095</v>
      </c>
      <c r="L186" t="inlineStr">
        <is>
          <t>&lt;!-- This is a placeholder for the code summary --&gt;
The provided source code file appears to be licensed under Apache License 2.0 and contains comments explaining its functionality. The main purpose of this software component seems to be related to licensing and distribution conditions. It also includes instructions on how users can obtain a copy of the license at http://www.apache.org/lic</t>
        </is>
      </c>
      <c r="M186" t="n">
        <v>0.0039</v>
      </c>
      <c r="N186" t="n">
        <v>0.0833</v>
      </c>
      <c r="O186" t="n">
        <v>0.1921</v>
      </c>
    </row>
    <row r="187">
      <c r="A187" t="inlineStr">
        <is>
          <t>crate</t>
        </is>
      </c>
      <c r="B187" t="inlineStr">
        <is>
          <t>server/src/testFixtures/java/io/crate/testing/RetryRule.java</t>
        </is>
      </c>
      <c r="C187">
        <f>HYPERLINK("https://github.com/crate/crate/blob/master/server/src/testFixtures/java/io/crate/testing/RetryRule.java")</f>
        <v/>
      </c>
      <c r="D187" t="inlineStr">
        <is>
          <t>The code is licensed under Apache License 2.0 and it's being used by Crate.io GmbH ("Crate"). It can be modified or distributed according to the terms of this license agreement but requires compliance with all conditions mentioned in the notice file provided along with the software. The license grants you permission to use the software as long as it complies with these</t>
        </is>
      </c>
      <c r="E187" t="n">
        <v>0.0035</v>
      </c>
      <c r="F187" t="n">
        <v>0.0548</v>
      </c>
      <c r="G187" t="n">
        <v>0.1493</v>
      </c>
      <c r="H187" t="inlineStr">
        <is>
          <t>The function provided is a simple addition operation which takes two parameters and returns their sum. The functionality of the code can be summarized as follows: This function adds (or sums up) two numbers together. It has a time complexity of O(1), meaning it performs a constant number of operations regardless of input size.
In terms of commits, this repository contains an initial commit with</t>
        </is>
      </c>
      <c r="I187" t="n">
        <v>0.0037</v>
      </c>
      <c r="J187" t="n">
        <v>0.0541</v>
      </c>
      <c r="K187" t="n">
        <v>0.146</v>
      </c>
      <c r="L187" t="inlineStr">
        <is>
          <t># This code is licensed under the Apache License 2.0 and it's developed by Critea.io GmbH ("Crate"). The license agreement can be found at http://www.apache.org/licenses/LICENSE-2.0 Unless required by applicable law or agreed to in writing, software distributed under the License is distributed on an "AS IS</t>
        </is>
      </c>
      <c r="M187" t="n">
        <v>0.0053</v>
      </c>
      <c r="N187" t="n">
        <v>0.0635</v>
      </c>
      <c r="O187" t="n">
        <v>0.1271</v>
      </c>
    </row>
    <row r="188">
      <c r="A188" t="inlineStr">
        <is>
          <t>crate</t>
        </is>
      </c>
      <c r="B188" t="inlineStr">
        <is>
          <t>server/src/testFixtures/java/io/crate/testing/IndexEnv.java</t>
        </is>
      </c>
      <c r="C188">
        <f>HYPERLINK("https://github.com/crate/crate/blob/master/server/src/testFixtures/java/io/crate/testing/IndexEnv.java")</f>
        <v/>
      </c>
      <c r="D188" t="inlineStr">
        <is>
          <t>The code is licensed under Apache License 2.0 and it allows you to use the file as per your compliance with this license agreement. The software can be used in any way but not without permission from Crate.io GmbH ("Crate"). It's distributed on an "AS IS" BASIS, WITHOUT WARRANTIES OR CONDITIONS OF ANY KIND</t>
        </is>
      </c>
      <c r="E188" t="n">
        <v>0.004</v>
      </c>
      <c r="F188" t="n">
        <v>0.0615</v>
      </c>
      <c r="G188" t="n">
        <v>0.1587</v>
      </c>
      <c r="H188" t="inlineStr">
        <is>
          <t>The provided code is a function named "add". It takes two parameters (a and b), adds them together and returns the result. This operation follows standard arithmetic rules of addition in mathematics. The time complexity of this function is O(1).
In the README file, it states that this repository contains backend software components implementing core algorithms. The time complexity for these implementations can</t>
        </is>
      </c>
      <c r="I188" t="n">
        <v>0.0041</v>
      </c>
      <c r="J188" t="n">
        <v>0.1111</v>
      </c>
      <c r="K188" t="n">
        <v>0.2222</v>
      </c>
      <c r="L188" t="inlineStr">
        <is>
          <t>The provided code is licensed under the Apache License 2.0 and it's written in Java. The purpose of this software component appears to be a data storage solution that uses an underlying database system called CrateDB. It provides functionalities for creating tables, inserting records into these tables, querying them based on specific conditions, updating or deleting existing records, etc. However</t>
        </is>
      </c>
      <c r="M188" t="n">
        <v>0.0036</v>
      </c>
      <c r="N188" t="n">
        <v>0.0857</v>
      </c>
      <c r="O188" t="n">
        <v>0.2391</v>
      </c>
    </row>
    <row r="189">
      <c r="A189" t="inlineStr">
        <is>
          <t>crate</t>
        </is>
      </c>
      <c r="B189" t="inlineStr">
        <is>
          <t>server/src/testFixtures/java/io/crate/testing/QueryTester.java</t>
        </is>
      </c>
      <c r="C189">
        <f>HYPERLINK("https://github.com/crate/crate/blob/master/server/src/testFixtures/java/io/crate/testing/QueryTester.java")</f>
        <v/>
      </c>
      <c r="D189" t="inlineStr">
        <is>
          <t>The provided code is licensed under Apache License 2.0 and it's written in a language that isn't specified here. It appears to be related to backend software components of an application but the exact functionality or purpose isn't clearly defined from this snippet alone. The license agreement specifies conditions for use such as not using the file except in compliance with the terms of</t>
        </is>
      </c>
      <c r="E189" t="n">
        <v>0.0037</v>
      </c>
      <c r="F189" t="n">
        <v>0.0526</v>
      </c>
      <c r="G189" t="n">
        <v>0.1471</v>
      </c>
      <c r="H189" t="inlineStr">
        <is>
          <t>The provided code is a simple function for addition of two numbers in Python. It takes as input parameters 'a' and 'b', adds them together, and returns the result. The time complexity of this operation is O(1), meaning it always executes in constant time regardless of the size of inputs.
Here is the summary: 
```python
# Licensed to Cr</t>
        </is>
      </c>
      <c r="I189" t="n">
        <v>0.0031</v>
      </c>
      <c r="J189" t="n">
        <v>0.0597</v>
      </c>
      <c r="K189" t="n">
        <v>0.1145</v>
      </c>
      <c r="L189" t="inlineStr">
        <is>
          <t>The provided code is licensed under the Apache License 2.0 and it's written in Java. The main purpose of this software component seems to be a data storage system named "Crate". It appears to use an open source project called Crate (a SQL database with scalability and speed) for its underlying operations. This code handles various tasks such as creating tables, insert</t>
        </is>
      </c>
      <c r="M189" t="n">
        <v>0.0039</v>
      </c>
      <c r="N189" t="n">
        <v>0.0833</v>
      </c>
      <c r="O189" t="n">
        <v>0.1493</v>
      </c>
    </row>
    <row r="190">
      <c r="A190" t="inlineStr">
        <is>
          <t>crate</t>
        </is>
      </c>
      <c r="B190" t="inlineStr">
        <is>
          <t>server/src/testFixtures/java/io/crate/testing/Asserts.java</t>
        </is>
      </c>
      <c r="C190">
        <f>HYPERLINK("https://github.com/crate/crate/blob/master/server/src/testFixtures/java/io/crate/testing/Asserts.java")</f>
        <v/>
      </c>
      <c r="D190" t="inlineStr">
        <is>
          <t>The code is licensed under Apache License 2.0 and it's provided by Crate.io GmbH ("Crate"). The license allows users to use the file for any purpose except in compliance with the terms of the license. Users may obtain a copy of the license at http://www.apache.org/licenses/LICENSE-2.0. Unless</t>
        </is>
      </c>
      <c r="E190" t="n">
        <v>0.004</v>
      </c>
      <c r="F190" t="n">
        <v>0.0312</v>
      </c>
      <c r="G190" t="n">
        <v>0.0847</v>
      </c>
      <c r="H190" t="inlineStr">
        <is>
          <t>The provided code is a function named "add". It takes two parameters (a and b), adds them together, and returns the result. This operation is known as addition in mathematics. The time complexity of this function is O(1).
In the README file, it states that this repository contains backend software components implementing core algorithms. The time complexity for these implementations can be considered</t>
        </is>
      </c>
      <c r="I190" t="n">
        <v>0.0041</v>
      </c>
      <c r="J190" t="n">
        <v>0.1111</v>
      </c>
      <c r="K190" t="n">
        <v>0.2222</v>
      </c>
      <c r="L190" t="inlineStr">
        <is>
          <t>The provided code is a backend software component licensed under the Apache License 2.0 by Critea.io GmbH ("Crate"). The main purpose of this code seems to be related to licensing and copyright ownership verification. It checks if certain conditions are met for using or modifying the file according to the license agreement. If any condition isn't fulfilled, it</t>
        </is>
      </c>
      <c r="M190" t="n">
        <v>0.0037</v>
      </c>
      <c r="N190" t="n">
        <v>0.058</v>
      </c>
      <c r="O190" t="n">
        <v>0.1538</v>
      </c>
    </row>
    <row r="191">
      <c r="A191" t="inlineStr">
        <is>
          <t>crate</t>
        </is>
      </c>
      <c r="B191" t="inlineStr">
        <is>
          <t>server/src/testFixtures/java/io/crate/testing/UseRandomizedSchema.java</t>
        </is>
      </c>
      <c r="C191">
        <f>HYPERLINK("https://github.com/crate/crate/blob/master/server/src/testFixtures/java/io/crate/testing/UseRandomizedSchema.java")</f>
        <v/>
      </c>
      <c r="D191" t="inlineStr">
        <is>
          <t>The code is licensed under Apache License 2.0 and it's used by Crate.io GmbH ("Crate"). It grants you the right to use this file except in compliance with the license terms which can be found at http://www.apache.org/licenses/LICENSE-2.0 Unless required by applicable law or agreed to in writing, software distributed</t>
        </is>
      </c>
      <c r="E191" t="n">
        <v>0.0045</v>
      </c>
      <c r="F191" t="n">
        <v>0.0597</v>
      </c>
      <c r="G191" t="n">
        <v>0.1653</v>
      </c>
      <c r="H191" t="inlineStr">
        <is>
          <t>The provided code is a function named "add". This function takes two parameters (a and b), adds them together using the addition operator ("+"), then returns the result. The time complexity of this operation is O(1).
   In the README file, it states that this repository contains backend software components implementing core algorithms. The implementation has been committed to at initial commit point</t>
        </is>
      </c>
      <c r="I191" t="n">
        <v>0.0042</v>
      </c>
      <c r="J191" t="n">
        <v>0.1143</v>
      </c>
      <c r="K191" t="n">
        <v>0.2239</v>
      </c>
      <c r="L191" t="inlineStr">
        <is>
          <t>The provided code is licensed under the Apache License 2.0 and it's written in Java. The purpose of this software component appears to be a database connector for CrateDB (a distributed SQL database). It provides methods for executing queries on the database and managing connections. This functionality includes operations such as creating tables, inserting data into them, querying data from these tables</t>
        </is>
      </c>
      <c r="M191" t="n">
        <v>0.0042</v>
      </c>
      <c r="N191" t="n">
        <v>0.0833</v>
      </c>
      <c r="O191" t="n">
        <v>0.1493</v>
      </c>
    </row>
    <row r="192">
      <c r="A192" t="inlineStr">
        <is>
          <t>crate</t>
        </is>
      </c>
      <c r="B192" t="inlineStr">
        <is>
          <t>server/src/testFixtures/java/io/crate/testing/PlainRamAccounting.java</t>
        </is>
      </c>
      <c r="C192">
        <f>HYPERLINK("https://github.com/crate/crate/blob/master/server/src/testFixtures/java/io/crate/testing/PlainRamAccounting.java")</f>
        <v/>
      </c>
      <c r="D192" t="inlineStr">
        <is>
          <t>The provided code is licensed under Apache License 2.0 and it's written in a language not specified here. It appears to be related to backend software components of an application but the exact functionality isn't clear from this summary alone. The license agreement states that you may use this file except in compliance with the terms of the license which can vary depending on other commercial licensing agreements</t>
        </is>
      </c>
      <c r="E192" t="n">
        <v>0.0035</v>
      </c>
      <c r="F192" t="n">
        <v>0.0506</v>
      </c>
      <c r="G192" t="n">
        <v>0.1429</v>
      </c>
      <c r="H192" t="inlineStr">
        <is>
          <t>The code provided is a simple Python function for addition of two numbers named `add`. This function takes in two parameters (numbers), adds them together and returns the result. The time complexity of this operation is O(1).
Here's the summary without repeating any part of the code: 
```python
# Licensed to Crate.io GmbH</t>
        </is>
      </c>
      <c r="I192" t="n">
        <v>0.0041</v>
      </c>
      <c r="J192" t="n">
        <v>0.09520000000000001</v>
      </c>
      <c r="K192" t="n">
        <v>0.12</v>
      </c>
      <c r="L192" t="inlineStr">
        <is>
          <t>The provided code is licensed under the Apache License 2.0 and it's a backend software component for Crate.io GmbH ("Crate"). It implements core algorithms to handle data storage operations in distributed systems. However, without additional information regarding copyright ownership or any other licensing terms, usage of this file may not be compliant with the license agreement. This notice should</t>
        </is>
      </c>
      <c r="M192" t="n">
        <v>0.008200000000000001</v>
      </c>
      <c r="N192" t="n">
        <v>0.0857</v>
      </c>
      <c r="O192" t="n">
        <v>0.284</v>
      </c>
    </row>
    <row r="193">
      <c r="A193" t="inlineStr">
        <is>
          <t>crate</t>
        </is>
      </c>
      <c r="B193" t="inlineStr">
        <is>
          <t>server/src/testFixtures/java/io/crate/testing/SleepScalarFunction.java</t>
        </is>
      </c>
      <c r="C193">
        <f>HYPERLINK("https://github.com/crate/crate/blob/master/server/src/testFixtures/java/io/crate/testing/SleepScalarFunction.java")</f>
        <v/>
      </c>
      <c r="D193" t="inlineStr">
        <is>
          <t>The code is licensed under the Apache License 2.0 and it's provided by Crate.io GmbH ("Crate"). It allows you to use this file according to the terms of that license unless otherwise specified in writing. The software distributed under the License is distributed on an "AS IS" BASIS, WITHOUT WARRANTIES OR CONDITIONS OF</t>
        </is>
      </c>
      <c r="E193" t="n">
        <v>0.0041</v>
      </c>
      <c r="F193" t="n">
        <v>0.0625</v>
      </c>
      <c r="G193" t="n">
        <v>0.16</v>
      </c>
      <c r="H193" t="inlineStr">
        <is>
          <t>The provided code is a function named "add". It takes two parameters (numbers), adds them together and returns the result. The time complexity of this operation is O(1).
In the README file, it mentions that this repository contains backend software components implementing core algorithms. The implementation has been done initially in an initial commit with size 1000 lines of code.</t>
        </is>
      </c>
      <c r="I193" t="n">
        <v>0.004</v>
      </c>
      <c r="J193" t="n">
        <v>0.1159</v>
      </c>
      <c r="K193" t="n">
        <v>0.2273</v>
      </c>
      <c r="L193" t="inlineStr">
        <is>
          <t># This code is licensed under the Apache License Version 2.0 by Crate.io GmbH ("Crate"). It can be used in compliance with this license agreement but you may not use it except in compliance with the terms of that license. You can obtain a copy of the license at http://www.apache.org/licenses/LICENSE-2.0</t>
        </is>
      </c>
      <c r="M193" t="n">
        <v>0.0037</v>
      </c>
      <c r="N193" t="n">
        <v>0.0303</v>
      </c>
      <c r="O193" t="n">
        <v>0.082</v>
      </c>
    </row>
    <row r="194">
      <c r="A194" t="inlineStr">
        <is>
          <t>crate</t>
        </is>
      </c>
      <c r="B194" t="inlineStr">
        <is>
          <t>server/src/testFixtures/java/io/crate/testing/TestingHelpers.java</t>
        </is>
      </c>
      <c r="C194">
        <f>HYPERLINK("https://github.com/crate/crate/blob/master/server/src/testFixtures/java/io/crate/testing/TestingHelpers.java")</f>
        <v/>
      </c>
      <c r="D194" t="inlineStr">
        <is>
          <t>The code is licensed under Apache License 2.0 and can be used in compliance with the license terms. It provides core algorithms for backend software components. The complexity of this implementation is O(N), indicating that it may have a time complexity proportional to the size of its input data set. This repository contains an initial commit of the code base which includes some basic implementations of core</t>
        </is>
      </c>
      <c r="E194" t="n">
        <v>0.0038</v>
      </c>
      <c r="F194" t="n">
        <v>0.0779</v>
      </c>
      <c r="G194" t="n">
        <v>0.2158</v>
      </c>
      <c r="H194" t="inlineStr">
        <is>
          <t>The provided code is a function named `add` that takes two parameters (numbers), adds them together and returns the result. This operation has a time complexity of O(1). The license at the top of the file states that it's licensed under Apache 2.0 which means you can use this software for any purpose as long as you comply with its terms. However</t>
        </is>
      </c>
      <c r="I194" t="n">
        <v>0.0039</v>
      </c>
      <c r="J194" t="n">
        <v>0.0548</v>
      </c>
      <c r="K194" t="n">
        <v>0.2355</v>
      </c>
      <c r="L194" t="inlineStr">
        <is>
          <t>The provided code is licensed under the Apache License 2.0 and it's written in Java. The purpose of this software component appears to be a data storage solution using CrateDB (a distributed SQL database). It provides functionalities such as creating tables, inserting records into these tables, querying for specific or all records from these tables, updating existing records, deleting records</t>
        </is>
      </c>
      <c r="M194" t="n">
        <v>0.0036</v>
      </c>
      <c r="N194" t="n">
        <v>0.0857</v>
      </c>
      <c r="O194" t="n">
        <v>0.2391</v>
      </c>
    </row>
    <row r="195">
      <c r="A195" t="inlineStr">
        <is>
          <t>crate</t>
        </is>
      </c>
      <c r="B195" t="inlineStr">
        <is>
          <t>server/src/testFixtures/java/io/crate/testing/TestExecutionConfig.java</t>
        </is>
      </c>
      <c r="C195">
        <f>HYPERLINK("https://github.com/crate/crate/blob/master/server/src/testFixtures/java/io/crate/testing/TestExecutionConfig.java")</f>
        <v/>
      </c>
      <c r="D195" t="inlineStr">
        <is>
          <t>Crate is licensed under one or more contributor license agreements (CLA), and you may not use this file except in compliance with the Apache License, Version 2.0. You can obtain a copy of the License at http://www.apache.org/licenses/LICENSE-2.0 Unless required by applicable law or agreed to in writing, software distributed under the License</t>
        </is>
      </c>
      <c r="E195" t="n">
        <v>0.0042</v>
      </c>
      <c r="F195" t="n">
        <v>0.0588</v>
      </c>
      <c r="G195" t="n">
        <v>0.1613</v>
      </c>
      <c r="H195" t="inlineStr">
        <is>
          <t>The provided code is a function named "add". This function takes two parameters (a and b), adds them together, and returns the result. The functionality of this function can be summarized as follows:
It's used for addition operation where it accepts 2 numbers as input arguments and return their summation value which will also be an integer or float type number based on inputs.</t>
        </is>
      </c>
      <c r="I195" t="n">
        <v>0.0037</v>
      </c>
      <c r="J195" t="n">
        <v>0.0822</v>
      </c>
      <c r="K195" t="n">
        <v>0.1103</v>
      </c>
      <c r="L195" t="inlineStr">
        <is>
          <t>The provided code is licensed under the Apache License 2.0 and it's a backend software component for Crite.io GmbH ("Crate"). The main purpose of this code seems to be related to licensing terms management and distribution conditions. It provides information about license agreements with Crate, their obligations, and limitations in different scenarios. This includes checking if another commercial</t>
        </is>
      </c>
      <c r="M195" t="n">
        <v>0.0041</v>
      </c>
      <c r="N195" t="n">
        <v>0.058</v>
      </c>
      <c r="O195" t="n">
        <v>0.1154</v>
      </c>
    </row>
    <row r="196">
      <c r="A196" t="inlineStr">
        <is>
          <t>crate</t>
        </is>
      </c>
      <c r="B196" t="inlineStr">
        <is>
          <t>server/src/testFixtures/java/io/crate/testing/SQLExecutor.java</t>
        </is>
      </c>
      <c r="C196">
        <f>HYPERLINK("https://github.com/crate/crate/blob/master/server/src/testFixtures/java/io/crate/testing/SQLExecutor.java")</f>
        <v/>
      </c>
      <c r="D196" t="inlineStr">
        <is>
          <t>The provided code is licensed under Apache License 2.0 and it's written in a language that doesn't appear to be specified here. It appears to handle licensing details for software components distributed by Crate.io GmbH ("Crate"). The license agreement states that you may not use this file except in compliance with the License which can be found at http://</t>
        </is>
      </c>
      <c r="E196" t="n">
        <v>0.0037</v>
      </c>
      <c r="F196" t="n">
        <v>0.0282</v>
      </c>
      <c r="G196" t="n">
        <v>0.1527</v>
      </c>
      <c r="H196" t="inlineStr">
        <is>
          <t>The function provided is a simple addition operation that takes two numbers as input and returns their sum. The complexity of this function is O(1), meaning it performs the same number of operations regardless of the size of the inputs.
In terms of licensing, the code is licensed under Apache License 2.0 which allows for both personal and commercial use subject to certain conditions outlined in the</t>
        </is>
      </c>
      <c r="I196" t="n">
        <v>0.0027</v>
      </c>
      <c r="J196" t="n">
        <v>0.0779</v>
      </c>
      <c r="K196" t="n">
        <v>0.1079</v>
      </c>
      <c r="L196" t="inlineStr">
        <is>
          <t># This repository contains backend software components licensed under Apache License 2.0. The license agreement can be found at http://www.apache.org/licenses/LICENSE-2.0 and is governed by the terms of that agreement. If you have executed another commercial license agreement with Crate, those terms will supersede this one. You may use these files solely pursuant</t>
        </is>
      </c>
      <c r="M196" t="n">
        <v>0.0046</v>
      </c>
      <c r="N196" t="n">
        <v>0.0896</v>
      </c>
      <c r="O196" t="n">
        <v>0.1613</v>
      </c>
    </row>
    <row r="197">
      <c r="A197" t="inlineStr">
        <is>
          <t>crate</t>
        </is>
      </c>
      <c r="B197" t="inlineStr">
        <is>
          <t>server/src/testFixtures/java/io/crate/testing/UseHashJoins.java</t>
        </is>
      </c>
      <c r="C197">
        <f>HYPERLINK("https://github.com/crate/crate/blob/master/server/src/testFixtures/java/io/crate/testing/UseHashJoins.java")</f>
        <v/>
      </c>
      <c r="D197" t="inlineStr">
        <is>
          <t>The code is licensed under Apache License Version 2.0 and it's used by Crate.io GmbH ("Crate"). It grants the user permission to use this file in compliance with the license terms. The software may be distributed under the conditions specified in the license at http://www.apache.org/licenses/LICENSE-2.0 unless otherwise</t>
        </is>
      </c>
      <c r="E197" t="n">
        <v>0.0046</v>
      </c>
      <c r="F197" t="n">
        <v>0.0615</v>
      </c>
      <c r="G197" t="n">
        <v>0.1681</v>
      </c>
      <c r="H197" t="inlineStr">
        <is>
          <t>The provided code is a function named add that takes two parameters (a and b), adds them together, and returns the result. The time complexity of this operation is O(1).
In the README file, it states that this repository contains backend software components which are implementing core algorithms. It also mentions about committing initial code base commit. 
Under Apache License Version</t>
        </is>
      </c>
      <c r="I197" t="n">
        <v>0.0039</v>
      </c>
      <c r="J197" t="n">
        <v>0.1143</v>
      </c>
      <c r="K197" t="n">
        <v>0.3206</v>
      </c>
      <c r="L197" t="inlineStr">
        <is>
          <t>The provided code is licensed under the Apache License 2.0 and it's written in Java. The purpose of this software component appears to be related to data storage and retrieval using a database system called CrateDB. It seems to implement core algorithms for managing connections with databases, executing queries, handling results, and more. However, without context or specific details about what exactly</t>
        </is>
      </c>
      <c r="M197" t="n">
        <v>0.0039</v>
      </c>
      <c r="N197" t="n">
        <v>0.1389</v>
      </c>
      <c r="O197" t="n">
        <v>0.3814</v>
      </c>
    </row>
    <row r="198">
      <c r="A198" t="inlineStr">
        <is>
          <t>crate</t>
        </is>
      </c>
      <c r="B198" t="inlineStr">
        <is>
          <t>server/src/testFixtures/java/io/crate/testing/TableInfoAssert.java</t>
        </is>
      </c>
      <c r="C198">
        <f>HYPERLINK("https://github.com/crate/crate/blob/master/server/src/testFixtures/java/io/crate/testing/TableInfoAssert.java")</f>
        <v/>
      </c>
      <c r="D198" t="inlineStr">
        <is>
          <t>The code is licensed under Apache License 2.0 and it's written in a language that doesnâĢĻt have an exact name but the license allows for any use as long as you comply with its terms of service. The software components are backend software which involves complex algorithms implemented to perform certain tasks. It has been committed initially on a base size of 1000 lines</t>
        </is>
      </c>
      <c r="E198" t="n">
        <v>0.0034</v>
      </c>
      <c r="F198" t="n">
        <v>0.0533</v>
      </c>
      <c r="G198" t="n">
        <v>0.1471</v>
      </c>
      <c r="H198" t="inlineStr">
        <is>
          <t>The code provided is a simple function for addition of two numbers in Python. It takes two parameters 'a' and 'b', performs the operation of adding them together using the + operator, then returns the result. The time complexity of this function is O(1), meaning it always executes in constant time regardless of input size.
In terms of license information, it appears to be</t>
        </is>
      </c>
      <c r="I198" t="n">
        <v>0.0028</v>
      </c>
      <c r="J198" t="n">
        <v>0.0556</v>
      </c>
      <c r="K198" t="n">
        <v>0.1103</v>
      </c>
      <c r="L198" t="inlineStr">
        <is>
          <t>The provided code is licensed under the Apache License 2.0 and it's written in Java. The purpose of this software component appears to be a REST API server for managing users within an organization. It uses CrateDB as its database which provides distributed SQL capabilities similar to Elasticsearch but with more compatibility with existing applications. There are endpoints available for user creation,</t>
        </is>
      </c>
      <c r="M198" t="n">
        <v>0.0035</v>
      </c>
      <c r="N198" t="n">
        <v>0.0556</v>
      </c>
      <c r="O198" t="n">
        <v>0.2355</v>
      </c>
    </row>
    <row r="199">
      <c r="A199" t="inlineStr">
        <is>
          <t>crate</t>
        </is>
      </c>
      <c r="B199" t="inlineStr">
        <is>
          <t>server/src/testFixtures/java/io/crate/testing/LogicalPlanAssert.java</t>
        </is>
      </c>
      <c r="C199">
        <f>HYPERLINK("https://github.com/crate/crate/blob/master/server/src/testFixtures/java/io/crate/testing/LogicalPlanAssert.java")</f>
        <v/>
      </c>
      <c r="D199" t="inlineStr">
        <is>
          <t>The code is licensed under Apache License 2.0 and it's used by Crate.io GmbH ("Crate"). It provides a license agreement for one or more contributors to use the software in compliance with the terms of the License at http://www.apache.org/licenses/LICENSE-2.0 unless otherwise agreed upon by applicable law.</t>
        </is>
      </c>
      <c r="E199" t="n">
        <v>0.0048</v>
      </c>
      <c r="F199" t="n">
        <v>0.0312</v>
      </c>
      <c r="G199" t="n">
        <v>0.1271</v>
      </c>
      <c r="H199" t="inlineStr">
        <is>
          <t>The function provided is a simple addition operation that takes two parameters (numbers), adds them together and returns the result. The time complexity of this code is O(1).
Please provide your own code for me to summarize it.</t>
        </is>
      </c>
      <c r="I199" t="n">
        <v>0.0049</v>
      </c>
      <c r="J199" t="n">
        <v>0.0851</v>
      </c>
      <c r="K199" t="n">
        <v>0.1364</v>
      </c>
      <c r="L199" t="inlineStr">
        <is>
          <t># This code is licensed under the Apache License Version 2.0 by Crate.io GmbH ("Crate"). It's subject to one or more contributor license agreements and can be used only in compliance with the terms of this license. You may obtain a copy of the License at http://www.apache.org/licenses/LICENSE-2.0</t>
        </is>
      </c>
      <c r="M199" t="n">
        <v>0.0046</v>
      </c>
      <c r="N199" t="n">
        <v>0.0625</v>
      </c>
      <c r="O199" t="n">
        <v>0.1261</v>
      </c>
    </row>
    <row r="200">
      <c r="A200" t="inlineStr">
        <is>
          <t>crate</t>
        </is>
      </c>
      <c r="B200" t="inlineStr">
        <is>
          <t>server/src/testFixtures/java/io/crate/testing/SQLResponseAssert.java</t>
        </is>
      </c>
      <c r="C200">
        <f>HYPERLINK("https://github.com/crate/crate/blob/master/server/src/testFixtures/java/io/crate/testing/SQLResponseAssert.java")</f>
        <v/>
      </c>
      <c r="D200" t="inlineStr">
        <is>
          <t>The code is licensed under Apache License 2.0 and it's provided by Crate.io GmbH ("Crate"). It allows you to use the file in compliance with this license agreement but requires obtaining a copy of the license at http://www.apache.org/licenses/LICENSE-2.0 unless otherwise agreed upon in writing. The software distributed under</t>
        </is>
      </c>
      <c r="E200" t="n">
        <v>0.0045</v>
      </c>
      <c r="F200" t="n">
        <v>0.0606</v>
      </c>
      <c r="G200" t="n">
        <v>0.1667</v>
      </c>
      <c r="H200" t="inlineStr">
        <is>
          <t>The function provided is a simple addition operation that takes two numbers as input and returns their sum. The complexity of this function is O(1), meaning it performs the same number of operations regardless of the size of the inputs.
```python
# Licensed to Crate.io GmbH ("Crate") under one or more contributor license agreements.  See the NOTICE</t>
        </is>
      </c>
      <c r="I200" t="n">
        <v>0.0032</v>
      </c>
      <c r="J200" t="n">
        <v>0.0606</v>
      </c>
      <c r="K200" t="n">
        <v>0.1163</v>
      </c>
      <c r="L200" t="inlineStr">
        <is>
          <t>The provided code is licensed under the Apache License 2.0 and it's written in Java. It appears to be a backend software component for a database system called "Crate". The purpose of this code seems to be related to implementing core algorithms used by Crate. However, without seeing the actual code or context about its functionality, I can only provide a general summary based</t>
        </is>
      </c>
      <c r="M200" t="n">
        <v>0.0037</v>
      </c>
      <c r="N200" t="n">
        <v>0.1081</v>
      </c>
      <c r="O200" t="n">
        <v>0.3135</v>
      </c>
    </row>
    <row r="201">
      <c r="A201" t="inlineStr">
        <is>
          <t>crate</t>
        </is>
      </c>
      <c r="B201" t="inlineStr">
        <is>
          <t>server/src/testFixtures/java/io/crate/testing/T3.java</t>
        </is>
      </c>
      <c r="C201">
        <f>HYPERLINK("https://github.com/crate/crate/blob/master/server/src/testFixtures/java/io/crate/testing/T3.java")</f>
        <v/>
      </c>
      <c r="D201" t="inlineStr">
        <is>
          <t>The code is licensed under Apache License 2.0 and it's provided by Crate.io GmbH ("Crate"). It allows you to use the file in compliance with this license agreement but not without any contributors' permission or agreed terms. The copyright ownership can be found in a NOTICE file distributed along with the work. This software may only be used as</t>
        </is>
      </c>
      <c r="E201" t="n">
        <v>0.0072</v>
      </c>
      <c r="F201" t="n">
        <v>0.0571</v>
      </c>
      <c r="G201" t="n">
        <v>0.2409</v>
      </c>
      <c r="H201" t="inlineStr">
        <is>
          <t>The provided code is a simple function for addition of two numbers in Python. It takes two parameters 'a' and 'b', adds them together and returns the result. The time complexity of this operation is O(1), meaning it performs a fixed number of operations regardless of the size of input data.
In terms of license information, the file contains Apache License 2.0 which</t>
        </is>
      </c>
      <c r="I201" t="n">
        <v>0.0029</v>
      </c>
      <c r="J201" t="n">
        <v>0.0548</v>
      </c>
      <c r="K201" t="n">
        <v>0.1111</v>
      </c>
      <c r="L201" t="inlineStr">
        <is>
          <t>The provided code is a part of backend software components for the Criteo platform licensed under Apache License 2.0. The main purpose of this component appears to be licensing and copyright management, with specific terms governing usage and distribution. This includes obtaining copies of the license at http://www.apache.org/licenses/LICENSE-2.0, as well as</t>
        </is>
      </c>
      <c r="M201" t="n">
        <v>0.0047</v>
      </c>
      <c r="N201" t="n">
        <v>0.0597</v>
      </c>
      <c r="O201" t="n">
        <v>0.1626</v>
      </c>
    </row>
    <row r="202">
      <c r="A202" t="inlineStr">
        <is>
          <t>crate</t>
        </is>
      </c>
      <c r="B202" t="inlineStr">
        <is>
          <t>server/src/testFixtures/java/io/crate/testing/DocKeyAssert.java</t>
        </is>
      </c>
      <c r="C202">
        <f>HYPERLINK("https://github.com/crate/crate/blob/master/server/src/testFixtures/java/io/crate/testing/DocKeyAssert.java")</f>
        <v/>
      </c>
      <c r="D202" t="inlineStr">
        <is>
          <t># Licensed to Crate.io GmbH ("Crate") under one or more contributor license agreements. See the NOTICE file distributed with this work for additional information regarding copyright ownership. 
# Crate licenses this file to you under the Apache License, Version 2.0 (the "License"); you may not use this file except in compliance with the License</t>
        </is>
      </c>
      <c r="E202" t="n">
        <v>0</v>
      </c>
      <c r="F202" t="n">
        <v>0.0323</v>
      </c>
      <c r="G202" t="n">
        <v>0.0794</v>
      </c>
      <c r="H202" t="inlineStr">
        <is>
          <t>The function provided is a simple addition operation that takes two arguments and returns their sum. The complexity of this function is O(1), meaning it performs a constant number of operations regardless of the input size. It does not contain any loops or recursive calls, hence its time complexity remains at O(1).
In terms of code size, there are 30 lines in total (</t>
        </is>
      </c>
      <c r="I202" t="n">
        <v>0.0028</v>
      </c>
      <c r="J202" t="n">
        <v>0.0548</v>
      </c>
      <c r="K202" t="n">
        <v>0.1103</v>
      </c>
      <c r="L202" t="inlineStr">
        <is>
          <t>from flask import Flask, request, jsonify
import os
app = Flask(__name__)
@app.route('/')
def hello_world():
    return 'Hello World!'
@app.route('/upload', methods=['POST'])
def upload_file():
    if 'file' not in request.files:</t>
        </is>
      </c>
      <c r="M202" t="n">
        <v>0</v>
      </c>
      <c r="N202" t="n">
        <v>0</v>
      </c>
      <c r="O202" t="n">
        <v>0</v>
      </c>
    </row>
    <row r="203">
      <c r="A203" t="inlineStr">
        <is>
          <t>crate</t>
        </is>
      </c>
      <c r="B203" t="inlineStr">
        <is>
          <t>server/src/testFixtures/java/io/crate/testing/SQLResponse.java</t>
        </is>
      </c>
      <c r="C203">
        <f>HYPERLINK("https://github.com/crate/crate/blob/master/server/src/testFixtures/java/io/crate/testing/SQLResponse.java")</f>
        <v/>
      </c>
      <c r="D203" t="inlineStr">
        <is>
          <t>The code is licensed under Apache License 2.0 and it's provided by Crate.io GmbH ("Crate"). The license agreement allows for redistribution of the file as per conditions specified in the NOTICE file distributed with this work. It prohibits usage of the file except in compliance with the terms of the license. A copy of the Apache License can</t>
        </is>
      </c>
      <c r="E203" t="n">
        <v>0.0031</v>
      </c>
      <c r="F203" t="n">
        <v>0.029</v>
      </c>
      <c r="G203" t="n">
        <v>0.0769</v>
      </c>
      <c r="H203" t="inlineStr">
        <is>
          <t>The code provided is a simple function to add two numbers together in Python. The functionality of this code can be summarized as follows:
```python
# Licensed to Crate.io GmbH ("Crate") under one or more contributor license agreements. 
# See the NOTICE file distributed with this work for additional information regarding copyright ownership.  
# Cr</t>
        </is>
      </c>
      <c r="I203" t="n">
        <v>0.0033</v>
      </c>
      <c r="J203" t="n">
        <v>0.0328</v>
      </c>
      <c r="K203" t="n">
        <v>0.07870000000000001</v>
      </c>
      <c r="L203" t="inlineStr">
        <is>
          <t># Code Summary
The provided code is a backend software component licensed under the Apache License 2.0 by Criteo Labs ("Crate"). The purpose of this component appears to be related to database operations and CRUD (Create, Read, Update, Delete) functionality for data storage in CrateDB. It allows users to interact with databases through HTTP requests using JSON as its primary</t>
        </is>
      </c>
      <c r="M203" t="n">
        <v>0.004</v>
      </c>
      <c r="N203" t="n">
        <v>0.0588</v>
      </c>
      <c r="O203" t="n">
        <v>0.1515</v>
      </c>
    </row>
    <row r="204">
      <c r="A204" t="inlineStr">
        <is>
          <t>crate</t>
        </is>
      </c>
      <c r="B204" t="inlineStr">
        <is>
          <t>server/src/testFixtures/java/io/crate/testing/DiscoveryNodes.java</t>
        </is>
      </c>
      <c r="C204">
        <f>HYPERLINK("https://github.com/crate/crate/blob/master/server/src/testFixtures/java/io/crate/testing/DiscoveryNodes.java")</f>
        <v/>
      </c>
      <c r="D204" t="inlineStr">
        <is>
          <t>The code provided is licensed under the Apache License 2.0 and it's used by Crate.io GmbH ("Crate"). It allows you to use this file according to the terms of that license unless otherwise agreed in writing with Crate. The software distributed under the License is distributed on an "AS IS" BASIS, WITHOUT WARRANTIES OR CON</t>
        </is>
      </c>
      <c r="E204" t="n">
        <v>0.004</v>
      </c>
      <c r="F204" t="n">
        <v>0.0606</v>
      </c>
      <c r="G204" t="n">
        <v>0.1575</v>
      </c>
      <c r="H204" t="inlineStr">
        <is>
          <t>The provided code is a function named "add", which takes two parameters (numbers), and returns their sum. The complexity of the operation is O(1). This means that it performs a constant number of operations regardless of the size of the input data.
In terms of licensing, this software falls under Apache License 2.0 as stated in the comments at the top of</t>
        </is>
      </c>
      <c r="I204" t="n">
        <v>0.0039</v>
      </c>
      <c r="J204" t="n">
        <v>0.0556</v>
      </c>
      <c r="K204" t="n">
        <v>0.2355</v>
      </c>
      <c r="L204" t="inlineStr">
        <is>
          <t>The provided code file is a backend software component licensed under the Apache License 2.0 by Ccreate.io GmbH ("Crate"). The main purpose of this code appears to be implementing core algorithms related to data management and storage in a distributed environment. It provides functionalities for creating, reading, updating, and deleting documents (data records) from a database using HTTP requests. This functionality</t>
        </is>
      </c>
      <c r="M204" t="n">
        <v>0.0045</v>
      </c>
      <c r="N204" t="n">
        <v>0.1408</v>
      </c>
      <c r="O204" t="n">
        <v>0.3206</v>
      </c>
    </row>
    <row r="205">
      <c r="A205" t="inlineStr">
        <is>
          <t>crate</t>
        </is>
      </c>
      <c r="B205" t="inlineStr">
        <is>
          <t>server/src/testFixtures/java/io/crate/testing/SQLErrorAssert.java</t>
        </is>
      </c>
      <c r="C205">
        <f>HYPERLINK("https://github.com/crate/crate/blob/master/server/src/testFixtures/java/io/crate/testing/SQLErrorAssert.java")</f>
        <v/>
      </c>
      <c r="D205" t="inlineStr">
        <is>
          <t># Licensed to Crate.io GmbH ("Crate") under one or more contributor license agreements. See the NOTICE file distributed with this work for additional information regarding copyright ownership. 
# Crate licenses this file to you under the Apache License, Version 2.0 (the "License"); you may not use this file except in compliance with the License</t>
        </is>
      </c>
      <c r="E205" t="n">
        <v>0</v>
      </c>
      <c r="F205" t="n">
        <v>0.0323</v>
      </c>
      <c r="G205" t="n">
        <v>0.0794</v>
      </c>
      <c r="H205" t="inlineStr">
        <is>
          <t>The provided code is a function named "add", which takes two parameters (a and b), adds them together, and returns the result. The time complexity of this operation is O(1).
In the README file, it mentions that these components are backend software components used for implementing core algorithms in various projects at Crate.io GmbH ("Crate"). It also provides</t>
        </is>
      </c>
      <c r="I205" t="n">
        <v>0.0041</v>
      </c>
      <c r="J205" t="n">
        <v>0.1176</v>
      </c>
      <c r="K205" t="n">
        <v>0.328</v>
      </c>
      <c r="L205" t="inlineStr">
        <is>
          <t># The provided code is a license header for software developed by Crate.io GmbH ("Crate"). This software is licensed under the Apache License, Version 2.0 (the "License"), with some additional terms and conditions specified in the NOTICE file distributed along with this work. If you have executed another commercial license agreement with Crate, these terms will supersede those of</t>
        </is>
      </c>
      <c r="M205" t="n">
        <v>0.0072</v>
      </c>
      <c r="N205" t="n">
        <v>0.0882</v>
      </c>
      <c r="O205" t="n">
        <v>0.1145</v>
      </c>
    </row>
    <row r="206">
      <c r="A206" t="inlineStr">
        <is>
          <t>crate</t>
        </is>
      </c>
      <c r="B206" t="inlineStr">
        <is>
          <t>server/src/testFixtures/java/io/crate/testing/PrivilegeResolutionAssert.java</t>
        </is>
      </c>
      <c r="C206">
        <f>HYPERLINK("https://github.com/crate/crate/blob/master/server/src/testFixtures/java/io/crate/testing/PrivilegeResolutionAssert.java")</f>
        <v/>
      </c>
      <c r="D206" t="inlineStr">
        <is>
          <t>The code is licensed under Apache License 2.0 and it's provided by Crate.io GmbH ("Crate"). It allows you to use the file in compliance with this license agreement but not without any conditions specified in the NOTICE file distributed along with the work. The software can be obtained from http://www.apache.org/licenses/LICENSE</t>
        </is>
      </c>
      <c r="E206" t="n">
        <v>0.0044</v>
      </c>
      <c r="F206" t="n">
        <v>0.0606</v>
      </c>
      <c r="G206" t="n">
        <v>0.1639</v>
      </c>
      <c r="H206" t="inlineStr">
        <is>
          <t>The function provided is a simple addition operation that takes two arguments and returns their sum. The complexity of this function is O(1), meaning it performs the same number of operations regardless of the size of the input data.
In terms of licensing, the software falls under Apache License 2.0 which allows for free use, modification, and distribution as long as you comply with its</t>
        </is>
      </c>
      <c r="I206" t="n">
        <v>0.0033</v>
      </c>
      <c r="J206" t="n">
        <v>0.08</v>
      </c>
      <c r="K206" t="n">
        <v>0.146</v>
      </c>
      <c r="L206" t="inlineStr">
        <is>
          <t>The provided code is licensed under the Apache License 2.0 and it's written in Java. The purpose of this software component appears to be related to data storage and retrieval using a database system called CrateDB. It seems to implement core algorithms for managing connections with databases, executing queries, handling responses, error management etc. However, without seeing any actual code or context</t>
        </is>
      </c>
      <c r="M206" t="n">
        <v>0.0039</v>
      </c>
      <c r="N206" t="n">
        <v>0.1111</v>
      </c>
      <c r="O206" t="n">
        <v>0.3814</v>
      </c>
    </row>
    <row r="207">
      <c r="A207" t="inlineStr">
        <is>
          <t>crate</t>
        </is>
      </c>
      <c r="B207" t="inlineStr">
        <is>
          <t>server/src/testFixtures/java/io/crate/testing/UseRandomizedOptimizerRules.java</t>
        </is>
      </c>
      <c r="C207">
        <f>HYPERLINK("https://github.com/crate/crate/blob/master/server/src/testFixtures/java/io/crate/testing/UseRandomizedOptimizerRules.java")</f>
        <v/>
      </c>
      <c r="D207" t="inlineStr">
        <is>
          <t>The code is licensed under Apache License 2.0 and can be used by anyone for any purpose except in compliance with the license terms. The software may also not be used if executed within a context that requires another commercial license agreement to supersede this one. It's distributed on an "AS IS" basis without warranties or conditions of any kind. Please refer to the specific</t>
        </is>
      </c>
      <c r="E207" t="n">
        <v>0.0033</v>
      </c>
      <c r="F207" t="n">
        <v>0.0267</v>
      </c>
      <c r="G207" t="n">
        <v>0.146</v>
      </c>
      <c r="H207" t="inlineStr">
        <is>
          <t>The code provided is a simple function named "add". It takes two parameters (numbers), adds them together and returns the result. The complexity of this operation is O(1).
In terms of licensing, it appears to be Apache 2.0 licensed software with some additional clauses related to commercial usage. There are also notice files distributed along with the work that provide further information</t>
        </is>
      </c>
      <c r="I207" t="n">
        <v>0.0035</v>
      </c>
      <c r="J207" t="n">
        <v>0.0556</v>
      </c>
      <c r="K207" t="n">
        <v>0.1493</v>
      </c>
      <c r="L207" t="inlineStr">
        <is>
          <t>The provided code is a part of backend software component licensed under Apache License 2.0 by Criteo Labs GmbH ("Crate"). It's designed to handle core algorithms and operations related to data storage and retrieval in distributed systems. The main purpose of this code seems to be managing connections with databases, executing queries, handling transactions, and providing an interface for</t>
        </is>
      </c>
      <c r="M207" t="n">
        <v>0.0041</v>
      </c>
      <c r="N207" t="n">
        <v>0.08699999999999999</v>
      </c>
      <c r="O207" t="n">
        <v>0.1908</v>
      </c>
    </row>
    <row r="208">
      <c r="A208" t="inlineStr">
        <is>
          <t>crate</t>
        </is>
      </c>
      <c r="B208" t="inlineStr">
        <is>
          <t>server/src/testFixtures/java/io/crate/testing/TranslogSnapshotAssert.java</t>
        </is>
      </c>
      <c r="C208">
        <f>HYPERLINK("https://github.com/crate/crate/blob/master/server/src/testFixtures/java/io/crate/testing/TranslogSnapshotAssert.java")</f>
        <v/>
      </c>
      <c r="D208" t="inlineStr">
        <is>
          <t>The code is licensed under Apache License 2.0 and it's provided by Crate.io GmbH ("Crate"). It allows you to use the file in compliance with this license agreement unless otherwise specified. The software may be obtained from http://www.apache.org/licenses/LICENSE-2.0. If not required by applicable law or agreed</t>
        </is>
      </c>
      <c r="E208" t="n">
        <v>0.0048</v>
      </c>
      <c r="F208" t="n">
        <v>0.0625</v>
      </c>
      <c r="G208" t="n">
        <v>0.1695</v>
      </c>
      <c r="H208" t="inlineStr">
        <is>
          <t>The function provided is a simple addition operation that takes two numbers as arguments and returns their sum. The complexity of this function is O(1), meaning it performs the same number of operations regardless of input size.
Here's an example usage in Python:
```python
result = add(5, 7) # result will be 12
```
Please note</t>
        </is>
      </c>
      <c r="I208" t="n">
        <v>0.0033</v>
      </c>
      <c r="J208" t="n">
        <v>0.0625</v>
      </c>
      <c r="K208" t="n">
        <v>0.1172</v>
      </c>
      <c r="L208" t="inlineStr">
        <is>
          <t>The provided code is a license file for software developed by Crate.io GmbH ("Crate"). The purpose of this code is to specify the terms under which users may use or distribute the software. 
It states that any user who wants to use the licensed software must comply with Apache License Version 2.0 (the "License"), unless otherwise agreed in writing</t>
        </is>
      </c>
      <c r="M208" t="n">
        <v>0.0031</v>
      </c>
      <c r="N208" t="n">
        <v>0.058</v>
      </c>
      <c r="O208" t="n">
        <v>0.1145</v>
      </c>
    </row>
    <row r="209">
      <c r="A209" t="inlineStr">
        <is>
          <t>crate</t>
        </is>
      </c>
      <c r="B209" t="inlineStr">
        <is>
          <t>server/src/testFixtures/java/io/crate/testing/UseJdbc.java</t>
        </is>
      </c>
      <c r="C209">
        <f>HYPERLINK("https://github.com/crate/crate/blob/master/server/src/testFixtures/java/io/crate/testing/UseJdbc.java")</f>
        <v/>
      </c>
      <c r="D209" t="inlineStr">
        <is>
          <t>The provided code is licensed under Apache License 2.0 and it's written in a language that doesn't have an explicit mention. It appears to be related to backend software components or data storage solutions like Crate.io GmbH ("Crate"). The license agreement allows users to use the file for any purpose except compliance with the terms of the license. However,</t>
        </is>
      </c>
      <c r="E209" t="n">
        <v>0.0037</v>
      </c>
      <c r="F209" t="n">
        <v>0.0282</v>
      </c>
      <c r="G209" t="n">
        <v>0.1145</v>
      </c>
      <c r="H209" t="inlineStr">
        <is>
          <t>The provided code is a function named `add` that takes two parameters (numbers), adds them together and returns the result. The time complexity of this operation is O(1). 
In addition to the add function, there are also comments explaining what it does, its complexity level, how many commits have been made on the repository at the point in time when these</t>
        </is>
      </c>
      <c r="I209" t="n">
        <v>0.003</v>
      </c>
      <c r="J209" t="n">
        <v>0.0571</v>
      </c>
      <c r="K209" t="n">
        <v>0.1128</v>
      </c>
      <c r="L209" t="inlineStr">
        <is>
          <t>The provided code is licensed under the Apache License 2.0 and it's a backend software component for Criteo (now known as Crate). The purpose of this piece of code seems to be related with licensing agreements and copyright ownership which are crucial aspects in any open source project or commercial product. It also includes some conditions that must be met before using the file,</t>
        </is>
      </c>
      <c r="M209" t="n">
        <v>0.0034</v>
      </c>
      <c r="N209" t="n">
        <v>0.0541</v>
      </c>
      <c r="O209" t="n">
        <v>0.1471</v>
      </c>
    </row>
    <row r="210">
      <c r="A210" t="inlineStr">
        <is>
          <t>crate</t>
        </is>
      </c>
      <c r="B210" t="inlineStr">
        <is>
          <t>server/src/testFixtures/java/io/crate/testing/EngineSearcherAssert.java</t>
        </is>
      </c>
      <c r="C210">
        <f>HYPERLINK("https://github.com/crate/crate/blob/master/server/src/testFixtures/java/io/crate/testing/EngineSearcherAssert.java")</f>
        <v/>
      </c>
      <c r="D210" t="inlineStr">
        <is>
          <t>The code is licensed under Apache License 2.0 and contains a notice regarding copyright ownership. It allows you to use the file except in compliance with the license terms which can be found at http://www.apache.org/licenses/LICENSE-2.0 Unless required by applicable law or agreed to in writing, software distributed under the License is distributed on an "AS</t>
        </is>
      </c>
      <c r="E210" t="n">
        <v>0.004</v>
      </c>
      <c r="F210" t="n">
        <v>0.0282</v>
      </c>
      <c r="G210" t="n">
        <v>0.1181</v>
      </c>
      <c r="H210" t="inlineStr">
        <is>
          <t>The code provided is a simple function for addition of two numbers in Python. The functionality of this function can be summarized as follows:
```python
# This function takes two parameters (numbers), adds them together and returns the result. 
# It has a time complexity of O(1).
def add(a, b):
    return a + b
```</t>
        </is>
      </c>
      <c r="I210" t="n">
        <v>0.0044</v>
      </c>
      <c r="J210" t="n">
        <v>0.0984</v>
      </c>
      <c r="K210" t="n">
        <v>0.1181</v>
      </c>
      <c r="L210" t="inlineStr">
        <is>
          <t>The provided code is licensed under the Apache License 2.0 and it's written in Java. The main purpose of this software component appears to be a data storage solution using CrateDB (which could potentially serve as an Elasticsearch alternative). It provides functionalities for creating tables, inserting records into these tables, updating existing records, deleting them or fetching all records</t>
        </is>
      </c>
      <c r="M210" t="n">
        <v>0.0037</v>
      </c>
      <c r="N210" t="n">
        <v>0.08699999999999999</v>
      </c>
      <c r="O210" t="n">
        <v>0.2409</v>
      </c>
    </row>
    <row r="211">
      <c r="A211" t="inlineStr">
        <is>
          <t>crate</t>
        </is>
      </c>
      <c r="B211" t="inlineStr">
        <is>
          <t>server/src/testFixtures/java/io/crate/testing/StubPhases.java</t>
        </is>
      </c>
      <c r="C211">
        <f>HYPERLINK("https://github.com/crate/crate/blob/master/server/src/testFixtures/java/io/crate/testing/StubPhases.java")</f>
        <v/>
      </c>
      <c r="D211" t="inlineStr">
        <is>
          <t>The code is licensed under Apache License 2.0 and it's provided by Crate.io GmbH ("Crate"). It allows you to use the file in compliance with this license agreement but not without any contributors' licenses as stated in NOTICE file. The software distributed under the License is "AS IS", which means that there are no warranties or</t>
        </is>
      </c>
      <c r="E211" t="n">
        <v>0.0039</v>
      </c>
      <c r="F211" t="n">
        <v>0.0597</v>
      </c>
      <c r="G211" t="n">
        <v>0.1563</v>
      </c>
      <c r="H211" t="inlineStr">
        <is>
          <t>The code you provided appears to be a Python function named "add". This function takes two parameters (`a` and `b`), adds them together using the plus operator ("+"), then returns the result. The time complexity of this operation is O(1), meaning it always executes in constant time regardless of input size.
In summary, this code performs basic addition between two</t>
        </is>
      </c>
      <c r="I211" t="n">
        <v>0.0036</v>
      </c>
      <c r="J211" t="n">
        <v>0.0882</v>
      </c>
      <c r="K211" t="n">
        <v>0.1136</v>
      </c>
      <c r="L211" t="inlineStr">
        <is>
          <t>&lt;!-- 
The provided code is licensed under Apache License Version 2.0 and it's a part of backend software components for Create.io GmbH ("Crate"). The purpose of the code seems to be related with handling licensing agreements between users and Crateto use this file in compliance with the license terms at http://www.apache.org/licenses/</t>
        </is>
      </c>
      <c r="M211" t="n">
        <v>0.0043</v>
      </c>
      <c r="N211" t="n">
        <v>0.0615</v>
      </c>
      <c r="O211" t="n">
        <v>0.1626</v>
      </c>
    </row>
    <row r="212">
      <c r="A212" t="inlineStr">
        <is>
          <t>crate</t>
        </is>
      </c>
      <c r="B212" t="inlineStr">
        <is>
          <t>server/src/testFixtures/java/io/crate/testing/SQLPrinter.java</t>
        </is>
      </c>
      <c r="C212">
        <f>HYPERLINK("https://github.com/crate/crate/blob/master/server/src/testFixtures/java/io/crate/testing/SQLPrinter.java")</f>
        <v/>
      </c>
      <c r="D212" t="inlineStr">
        <is>
          <t>The code is licensed under Apache License 2.0 and it's used by Crateto create.io GmbH ("Crate"). It allows you to use the file in compliance with the license terms but not without agreement from applicable law or agreed upon in writing. The software distributed under the license can be freely redistributed as long as a copy of the Apache License 2</t>
        </is>
      </c>
      <c r="E212" t="n">
        <v>0.0036</v>
      </c>
      <c r="F212" t="n">
        <v>0.0278</v>
      </c>
      <c r="G212" t="n">
        <v>0.1128</v>
      </c>
      <c r="H212" t="inlineStr">
        <is>
          <t>The provided code appears to be a license agreement for software developed by Crate.io GmbH ("Crate"). The terms of the license cover use and distribution of this software under the Apache License Version 2.0 (the "License"), with certain exceptions noted in the text. If you have executed another commercial license agreement with Crate, these terms will supersede those here.</t>
        </is>
      </c>
      <c r="I212" t="n">
        <v>0.0037</v>
      </c>
      <c r="J212" t="n">
        <v>0.058</v>
      </c>
      <c r="K212" t="n">
        <v>0.2863</v>
      </c>
      <c r="L212" t="inlineStr">
        <is>
          <t>The provided code is a license header for an Apache 2.0 licensed software component written by Critea (now known as Crate). This piece of code contains clauses that state the terms and conditions under which users may use or distribute this file. It also specifies any additional licensing requirements from contributors to the project.
The main purpose of this code seems to be defining the</t>
        </is>
      </c>
      <c r="M212" t="n">
        <v>0.0037</v>
      </c>
      <c r="N212" t="n">
        <v>0.0541</v>
      </c>
      <c r="O212" t="n">
        <v>0.146</v>
      </c>
    </row>
    <row r="213">
      <c r="A213" t="inlineStr">
        <is>
          <t>crate</t>
        </is>
      </c>
      <c r="B213" t="inlineStr">
        <is>
          <t>server/src/testFixtures/java/io/crate/testing/UseNewCluster.java</t>
        </is>
      </c>
      <c r="C213">
        <f>HYPERLINK("https://github.com/crate/crate/blob/master/server/src/testFixtures/java/io/crate/testing/UseNewCluster.java")</f>
        <v/>
      </c>
      <c r="D213" t="inlineStr">
        <is>
          <t># This code is licensed under Apache License 2.0, which allows you to use it in compliance with the license or obtain a copy of the license from http://www.apache.org/licenses/LICENSE-2.0. The software distributed under this license is provided on an "AS IS" basis without warranties or conditions of any kind either expressed or implied.</t>
        </is>
      </c>
      <c r="E213" t="n">
        <v>0.0041</v>
      </c>
      <c r="F213" t="n">
        <v>0.0588</v>
      </c>
      <c r="G213" t="n">
        <v>0.12</v>
      </c>
      <c r="H213" t="inlineStr">
        <is>
          <t>The provided code is a function named "add", which takes two parameters (a and b), adds them together, and returns the result. The complexity of this operation is O(1). This means that it will always take the same amount of time to execute regardless of the size of the input data.
In terms of licensing, the software is licensed under Apache License 2.</t>
        </is>
      </c>
      <c r="I213" t="n">
        <v>0.0038</v>
      </c>
      <c r="J213" t="n">
        <v>0.0556</v>
      </c>
      <c r="K213" t="n">
        <v>0.1481</v>
      </c>
      <c r="L213" t="inlineStr">
        <is>
          <t>&lt;!-- Code Summary --&gt;
The provided code is licensed under the Apache License 2.0 and it's a backend software component for Crate.io GmbH ("Crate"). The purpose of this code appears to be related to implementing core algorithms. It handles licensing conditions and permissions based on different scenarios. This includes obtaining a copy of the license at http://www.</t>
        </is>
      </c>
      <c r="M213" t="n">
        <v>0.0045</v>
      </c>
      <c r="N213" t="n">
        <v>0.1194</v>
      </c>
      <c r="O213" t="n">
        <v>0.2884</v>
      </c>
    </row>
    <row r="214">
      <c r="A214" t="inlineStr">
        <is>
          <t>crate</t>
        </is>
      </c>
      <c r="B214" t="inlineStr">
        <is>
          <t>server/src/testFixtures/java/io/crate/testing/SQLTransportExecutor.java</t>
        </is>
      </c>
      <c r="C214">
        <f>HYPERLINK("https://github.com/crate/crate/blob/master/server/src/testFixtures/java/io/crate/testing/SQLTransportExecutor.java")</f>
        <v/>
      </c>
      <c r="D214" t="inlineStr">
        <is>
          <t># This code is licensed under the Apache License 2.0 ("License"). You may not use this file except in compliance with the "License".
# The license can be obtained at http://www.apache.org/licenses/LICENSE-2.0. Unless required by applicable law or agreed to in writing, software distributed under the "License" is distributed on an "</t>
        </is>
      </c>
      <c r="E214" t="n">
        <v>0.0043</v>
      </c>
      <c r="F214" t="n">
        <v>0.0625</v>
      </c>
      <c r="G214" t="n">
        <v>0.122</v>
      </c>
      <c r="H214" t="inlineStr">
        <is>
          <t>The code you provided is a function named "add", which takes two parameters and returns their sum. This function operates under the time complexity of O(1), meaning it performs a constant number of operations regardless of the size of input data. The Apache License 2.0 applies to this code as stated in its comments at the top.
In terms of functionality, this software component implements</t>
        </is>
      </c>
      <c r="I214" t="n">
        <v>0.004</v>
      </c>
      <c r="J214" t="n">
        <v>0.08</v>
      </c>
      <c r="K214" t="n">
        <v>0.2715</v>
      </c>
      <c r="L214" t="inlineStr">
        <is>
          <t>The provided code is licensed under the Apache License version 2.0 and it's written in Java. The main purpose of this code seems to be a backend software component for managing data storage on behalf of other components within an application. It appears to use CrateDB, which is a distributed SQL database built on top of Elasticsearch that provides scalability without losing compatibility with</t>
        </is>
      </c>
      <c r="M214" t="n">
        <v>0.0034</v>
      </c>
      <c r="N214" t="n">
        <v>0.0541</v>
      </c>
      <c r="O214" t="n">
        <v>0.1471</v>
      </c>
    </row>
    <row r="215">
      <c r="A215" t="inlineStr">
        <is>
          <t>crate</t>
        </is>
      </c>
      <c r="B215" t="inlineStr">
        <is>
          <t>server/src/testFixtures/java/io/crate/testing/SqlExpressions.java</t>
        </is>
      </c>
      <c r="C215">
        <f>HYPERLINK("https://github.com/crate/crate/blob/master/server/src/testFixtures/java/io/crate/testing/SqlExpressions.java")</f>
        <v/>
      </c>
      <c r="D215" t="inlineStr">
        <is>
          <t>The provided code is licensed under Apache License 2.0 and it's for use by Crate.io GmbH ("Crate"). The license allows you to copy the file as long as compliance with the terms of the license agreement is maintained. You may not use this file except in compliance with the license. A copy of the license can be found at http://www.apache</t>
        </is>
      </c>
      <c r="E215" t="n">
        <v>0.003</v>
      </c>
      <c r="F215" t="n">
        <v>0.0274</v>
      </c>
      <c r="G215" t="n">
        <v>0.1136</v>
      </c>
      <c r="H215" t="inlineStr">
        <is>
          <t>The code you provided is a Python function for adding two numbers (`add()`). The functionality of this function is straightforward - it takes in two parameters `a` and `b`, performs an addition operation on them, and returns the result. This operation has a time complexity of O(1), meaning its execution time remains constant regardless of the input size.
&lt;jupy</t>
        </is>
      </c>
      <c r="I215" t="n">
        <v>0.0041</v>
      </c>
      <c r="J215" t="n">
        <v>0.0896</v>
      </c>
      <c r="K215" t="n">
        <v>0.1145</v>
      </c>
      <c r="L215" t="inlineStr">
        <is>
          <t># This code is licensed under the Apache License 2.0 and it's written in Python language by Critea. It provides a backend service for managing user data including authentication, authorization, and CRUD operations on different resources such as users, groups, roles etc. The main purpose of this software component appears to be handling requests from clients (like web or mobile apps)</t>
        </is>
      </c>
      <c r="M215" t="n">
        <v>0.0039</v>
      </c>
      <c r="N215" t="n">
        <v>0.0571</v>
      </c>
      <c r="O215" t="n">
        <v>0.2373</v>
      </c>
    </row>
    <row r="216">
      <c r="A216" t="inlineStr">
        <is>
          <t>crate</t>
        </is>
      </c>
      <c r="B216" t="inlineStr">
        <is>
          <t>server/src/testFixtures/java/io/crate/testing/TestScalars.java</t>
        </is>
      </c>
      <c r="C216">
        <f>HYPERLINK("https://github.com/crate/crate/blob/master/server/src/testFixtures/java/io/crate/testing/TestScalars.java")</f>
        <v/>
      </c>
      <c r="D216" t="inlineStr">
        <is>
          <t>The provided code is licensed under Apache License 2.0 and it's written in a language that doesn't have an explicit mention. It appears to be related to database operations or data management system (likely using Crate.io). The license agreement specifies conditions of use such as disclaimers, limitations on liability etc., which are applicable for any software distributed under the terms of this</t>
        </is>
      </c>
      <c r="E216" t="n">
        <v>0.0035</v>
      </c>
      <c r="F216" t="n">
        <v>0.027</v>
      </c>
      <c r="G216" t="n">
        <v>0.1493</v>
      </c>
      <c r="H216" t="inlineStr">
        <is>
          <t>The provided code is a function named "add". This function takes two parameters (a and b), adds them together, and returns the result. The time complexity of this operation is O(1).
In the README file, it mentions that this repository contains backend software components implementing core algorithms. It also states that there are initial commits in the code base with size 10</t>
        </is>
      </c>
      <c r="I216" t="n">
        <v>0.0042</v>
      </c>
      <c r="J216" t="n">
        <v>0.1127</v>
      </c>
      <c r="K216" t="n">
        <v>0.3182</v>
      </c>
      <c r="L216" t="inlineStr">
        <is>
          <t>The provided code is licensed under the Apache License 2.0 and it's written in Python language. The purpose of this software component appears to be related to a distributed database system called CrateDB which allows users to store data across multiple nodes for high availability and scalability. It seems like the main functionality involves setting up connections with other nodes (possibly as part of a</t>
        </is>
      </c>
      <c r="M216" t="n">
        <v>0.0037</v>
      </c>
      <c r="N216" t="n">
        <v>0.08</v>
      </c>
      <c r="O216" t="n">
        <v>0.2304</v>
      </c>
    </row>
    <row r="217">
      <c r="A217" t="inlineStr">
        <is>
          <t>crate</t>
        </is>
      </c>
      <c r="B217" t="inlineStr">
        <is>
          <t>server/src/testFixtures/java/io/crate/testing/DummyRelation.java</t>
        </is>
      </c>
      <c r="C217">
        <f>HYPERLINK("https://github.com/crate/crate/blob/master/server/src/testFixtures/java/io/crate/testing/DummyRelation.java")</f>
        <v/>
      </c>
      <c r="D217" t="inlineStr">
        <is>
          <t>The code is licensed under Apache License 2.0 and it's provided by Crate.io GmbH ("Crate"). It allows for the use of this file according to terms in the license agreement but requires compliance with all conditions stated therein. The software can be obtained at http://www.apache.org/licenses/LICENSE-2.0. If</t>
        </is>
      </c>
      <c r="E217" t="n">
        <v>0.0048</v>
      </c>
      <c r="F217" t="n">
        <v>0.0625</v>
      </c>
      <c r="G217" t="n">
        <v>0.1695</v>
      </c>
      <c r="H217" t="inlineStr">
        <is>
          <t>The code provided is a function named "add". It takes two parameters (a and b), adds them together using the '+' operator, then returns the result. The time complexity of this operation is O(1).
In summary, it performs addition on two numbers. 
Please note that there are additional licensing terms included in the comments at the top of the file</t>
        </is>
      </c>
      <c r="I217" t="n">
        <v>0.003</v>
      </c>
      <c r="J217" t="n">
        <v>0.0588</v>
      </c>
      <c r="K217" t="n">
        <v>0.1136</v>
      </c>
      <c r="L217" t="inlineStr">
        <is>
          <t>The provided code is licensed under the Apache License 2.0 and it's written in Java. The purpose of this software component appears to be related to data storage and retrieval using a database system called CrateDB (a distributed SQL database). It provides functionalities for creating tables, inserting records into these tables, querying them, updating existing records, deleting records etc</t>
        </is>
      </c>
      <c r="M217" t="n">
        <v>0.0037</v>
      </c>
      <c r="N217" t="n">
        <v>0.08699999999999999</v>
      </c>
      <c r="O217" t="n">
        <v>0.2409</v>
      </c>
    </row>
    <row r="218">
      <c r="A218" t="inlineStr">
        <is>
          <t>crate</t>
        </is>
      </c>
      <c r="B218" t="inlineStr">
        <is>
          <t>server/src/testFixtures/java/io/crate/testing/SettingsAssert.java</t>
        </is>
      </c>
      <c r="C218">
        <f>HYPERLINK("https://github.com/crate/crate/blob/master/server/src/testFixtures/java/io/crate/testing/SettingsAssert.java")</f>
        <v/>
      </c>
      <c r="D218" t="inlineStr">
        <is>
          <t># The code is licensed under Apache License 2.0 and can be used by anyone in compliance with the license terms. It's a backend software component that implements core algorithms. This repository contains an initial code base commit which has complexity of O(N). There are no comments provided but it seems to implement complex algorithms related to data storage or processing.</t>
        </is>
      </c>
      <c r="E218" t="n">
        <v>0.007900000000000001</v>
      </c>
      <c r="F218" t="n">
        <v>0.08450000000000001</v>
      </c>
      <c r="G218" t="n">
        <v>0.3206</v>
      </c>
      <c r="H218" t="inlineStr">
        <is>
          <t>The code you provided is a Python function named "add". This function takes two arguments (numbers), adds them together and returns the result. The time complexity of this operation is O(1). Please provide more context or specifics if there are any other functions in your README file that need summarizing.
In addition to the existing code size of 30 lines, it</t>
        </is>
      </c>
      <c r="I218" t="n">
        <v>0.0036</v>
      </c>
      <c r="J218" t="n">
        <v>0.0857</v>
      </c>
      <c r="K218" t="n">
        <v>0.1128</v>
      </c>
      <c r="L218" t="inlineStr">
        <is>
          <t>The provided code is licensed under the Apache License 2.0 and it's written in Java. The purpose of this software component appears to be a RESTful API server that interacts with databases using CrateDB (which is an open-source SQL database). It provides endpoints for various operations such as creating tables, executing queries, etc. This repository contains backend components</t>
        </is>
      </c>
      <c r="M218" t="n">
        <v>0.0041</v>
      </c>
      <c r="N218" t="n">
        <v>0.058</v>
      </c>
      <c r="O218" t="n">
        <v>0.1538</v>
      </c>
    </row>
    <row r="219">
      <c r="A219" t="inlineStr">
        <is>
          <t>crate</t>
        </is>
      </c>
      <c r="B219" t="inlineStr">
        <is>
          <t>server/src/testFixtures/java/io/crate/testing/MemoryLimits.java</t>
        </is>
      </c>
      <c r="C219">
        <f>HYPERLINK("https://github.com/crate/crate/blob/master/server/src/testFixtures/java/io/crate/testing/MemoryLimits.java")</f>
        <v/>
      </c>
      <c r="D219" t="inlineStr">
        <is>
          <t>The code is licensed under the Apache License 2.0 and it's provided by Crate.io GmbH ("Crate"). It allows you to use this file in compliance with the license terms at http://www.apache.org/licenses/LICENSE-2.0 unless otherwise agreed upon in writing. The software distributed under the License is distributed on an "AS</t>
        </is>
      </c>
      <c r="E219" t="n">
        <v>0.0045</v>
      </c>
      <c r="F219" t="n">
        <v>0.0606</v>
      </c>
      <c r="G219" t="n">
        <v>0.1667</v>
      </c>
      <c r="H219" t="inlineStr">
        <is>
          <t>The function provided is a simple addition operation that takes two parameters and returns their sum. The code size of this file appears to be 30 lines long with the complexity being O(1). It's licensed under Apache License Version 2.0 as stated in the comments at the top of the file.
Please provide more details about the functionality or specific parts you want me to</t>
        </is>
      </c>
      <c r="I219" t="n">
        <v>0.0033</v>
      </c>
      <c r="J219" t="n">
        <v>0.0526</v>
      </c>
      <c r="K219" t="n">
        <v>0.1095</v>
      </c>
      <c r="L219" t="inlineStr">
        <is>
          <t>&lt;!-- The code is licensed under the Apache License 2.0 and can be used according to that license terms --&gt;
The provided source code file contains a backend software component for licensing purposes with Crate.io GmbH ("Crate"). It adheres to one or more contributor license agreements as stated in the NOTICE file distributed along with this work. This software may</t>
        </is>
      </c>
      <c r="M219" t="n">
        <v>0.0071</v>
      </c>
      <c r="N219" t="n">
        <v>0.0588</v>
      </c>
      <c r="O219" t="n">
        <v>0.2391</v>
      </c>
    </row>
    <row r="220">
      <c r="A220" t="inlineStr">
        <is>
          <t>crate</t>
        </is>
      </c>
      <c r="B220" t="inlineStr">
        <is>
          <t>server/src/testFixtures/java/io/crate/testing/ProjectionAssert.java</t>
        </is>
      </c>
      <c r="C220">
        <f>HYPERLINK("https://github.com/crate/crate/blob/master/server/src/testFixtures/java/io/crate/testing/ProjectionAssert.java")</f>
        <v/>
      </c>
      <c r="D220" t="inlineStr">
        <is>
          <t>The provided code is licensed under Apache License 2.0 and it allows the user to use this file except in compliance with the license terms. The software can be obtained from a URL mentioned at http://www.apache.org/licenses/LICENSE-2.0. If not required by applicable law or agreed upon in writing, the distributed version of the software is distributed on an</t>
        </is>
      </c>
      <c r="E220" t="n">
        <v>0.0038</v>
      </c>
      <c r="F220" t="n">
        <v>0.0548</v>
      </c>
      <c r="G220" t="n">
        <v>0.155</v>
      </c>
      <c r="H220" t="inlineStr">
        <is>
          <t>The function provided is a simple addition operation between two numbers 'a' and 'b'. It takes in these two parameters as input and returns their sum which is the result of this operation. The time complexity of this function is O(1), meaning it performs constant number of operations regardless of the size of inputs.
In terms of code comments, they explain that this function does basic ar</t>
        </is>
      </c>
      <c r="I220" t="n">
        <v>0.0027</v>
      </c>
      <c r="J220" t="n">
        <v>0.0526</v>
      </c>
      <c r="K220" t="n">
        <v>0.1439</v>
      </c>
      <c r="L220" t="inlineStr">
        <is>
          <t>&lt;!-- The code is licensed under Apache License 2.0 and it's a backend software component of an open source project called Crate.io GmbH ("Crate"). It provides functionality for creating, reading, updating, and deleting documents in a distributed database system. This repository contains the implementation of core algorithms used by this software to perform these operations efficiently. However, there</t>
        </is>
      </c>
      <c r="M220" t="n">
        <v>0.0047</v>
      </c>
      <c r="N220" t="n">
        <v>0.0882</v>
      </c>
      <c r="O220" t="n">
        <v>0.328</v>
      </c>
    </row>
    <row r="221">
      <c r="A221" t="inlineStr">
        <is>
          <t>crate</t>
        </is>
      </c>
      <c r="B221" t="inlineStr">
        <is>
          <t>server/src/testFixtures/java/io/crate/testing/NodeAssert.java</t>
        </is>
      </c>
      <c r="C221">
        <f>HYPERLINK("https://github.com/crate/crate/blob/master/server/src/testFixtures/java/io/crate/testing/NodeAssert.java")</f>
        <v/>
      </c>
      <c r="D221" t="inlineStr">
        <is>
          <t># This code is licensed under Apache License 2.0 and it's used by Crate.io GmbH ("Crate"). The license agreement can be found in the NOTICE file distributed with this work for additional information regarding copyright ownership.
# You may not use this file except in compliance with the License. You may obtain a copy of the License at http://www.</t>
        </is>
      </c>
      <c r="E221" t="n">
        <v>0.0037</v>
      </c>
      <c r="F221" t="n">
        <v>0.058</v>
      </c>
      <c r="G221" t="n">
        <v>0.1145</v>
      </c>
      <c r="H221" t="inlineStr">
        <is>
          <t>The provided code is a function named "add", which takes two arguments and returns their sum. The complexity of this operation is O(1), meaning it always executes in the same amount of time regardless of input size. This function can be used to add numbers together.
In the README file, there are details about licensing information as well as some comments explaining what the software</t>
        </is>
      </c>
      <c r="I221" t="n">
        <v>0.0037</v>
      </c>
      <c r="J221" t="n">
        <v>0.0541</v>
      </c>
      <c r="K221" t="n">
        <v>0.146</v>
      </c>
      <c r="L221" t="inlineStr">
        <is>
          <t>&lt;!-- This is a code summary --&gt;
The provided source code file contains the backend software component for an application licensed under Apache License 2.0 by Crate.io GmbH ("Crate"). The purpose of this code is to provide CRUD (Create, Read, Update, Delete) operations on data using CrateDB, which is a distributed SQL database built on</t>
        </is>
      </c>
      <c r="M221" t="n">
        <v>0.004</v>
      </c>
      <c r="N221" t="n">
        <v>0.0635</v>
      </c>
      <c r="O221" t="n">
        <v>0.1181</v>
      </c>
    </row>
    <row r="222">
      <c r="A222" t="inlineStr">
        <is>
          <t>crate</t>
        </is>
      </c>
      <c r="B222" t="inlineStr">
        <is>
          <t>server/src/testFixtures/java/io/crate/testing/IndexVersionCreated.java</t>
        </is>
      </c>
      <c r="C222">
        <f>HYPERLINK("https://github.com/crate/crate/blob/master/server/src/testFixtures/java/io/crate/testing/IndexVersionCreated.java")</f>
        <v/>
      </c>
      <c r="D222" t="inlineStr">
        <is>
          <t>The code is licensed under Apache License 2.0 and it's provided by Crate.io GmbH ("Crate"). It allows you to use the file in compliance with this license agreement but not without any contributors' permission. The notice regarding copyright ownership can be found in a separate NOTICE file distributed along with this work. This software may only be used subject</t>
        </is>
      </c>
      <c r="E222" t="n">
        <v>0.0072</v>
      </c>
      <c r="F222" t="n">
        <v>0.0571</v>
      </c>
      <c r="G222" t="n">
        <v>0.2409</v>
      </c>
      <c r="H222" t="inlineStr">
        <is>
          <t>The function provided is a simple addition operation that takes two numbers as input and returns their sum. The complexity of this function is O(1), meaning it performs a constant number of operations regardless of the size of the inputs.
#include &lt;iostream&gt;
int main() {
    int num1 = 5;  // first operand
    int num2 = 7;</t>
        </is>
      </c>
      <c r="I222" t="n">
        <v>0.0033</v>
      </c>
      <c r="J222" t="n">
        <v>0.06560000000000001</v>
      </c>
      <c r="K222" t="n">
        <v>0.1172</v>
      </c>
      <c r="L222" t="inlineStr">
        <is>
          <t>SUMMARY: This code is licensed under Apache License 2.0 and it's written in Java. The purpose of this software component appears to be related to data storage and retrieval using a database system called CrateDB (a distributed SQL database). It provides functionalities for creating tables, inserting records into them, updating existing records, deleting records from the table, as well</t>
        </is>
      </c>
      <c r="M222" t="n">
        <v>0.0041</v>
      </c>
      <c r="N222" t="n">
        <v>0.08699999999999999</v>
      </c>
      <c r="O222" t="n">
        <v>0.2409</v>
      </c>
    </row>
    <row r="223">
      <c r="A223" t="inlineStr">
        <is>
          <t>crate</t>
        </is>
      </c>
      <c r="B223" t="inlineStr">
        <is>
          <t>server/src/testFixtures/java/io/crate/testing/ReferenceAssert.java</t>
        </is>
      </c>
      <c r="C223">
        <f>HYPERLINK("https://github.com/crate/crate/blob/master/server/src/testFixtures/java/io/crate/testing/ReferenceAssert.java")</f>
        <v/>
      </c>
      <c r="D223" t="inlineStr">
        <is>
          <t>The code is licensed under Apache License 2.0 and it allows you to use the file as per your compliance with this license agreement. The software may be distributed freely but must include a copy of the license at http://www.apache.org/licenses/LICENSE-2.0 in all distributions. You are not allowed to use any part of this software except if compliant</t>
        </is>
      </c>
      <c r="E223" t="n">
        <v>0.0038</v>
      </c>
      <c r="F223" t="n">
        <v>0.0548</v>
      </c>
      <c r="G223" t="n">
        <v>0.2447</v>
      </c>
      <c r="H223" t="inlineStr">
        <is>
          <t>The code provided is a simple addition function that takes two numbers as arguments and returns their sum. The complexity of this operation is O(1), meaning it always executes in the same amount of time regardless of the size of the input data.
Here's another summary for you: 
```python
# Licensed to Crate.io GmbH ("Crate</t>
        </is>
      </c>
      <c r="I223" t="n">
        <v>0.0033</v>
      </c>
      <c r="J223" t="n">
        <v>0.0615</v>
      </c>
      <c r="K223" t="n">
        <v>0.1181</v>
      </c>
      <c r="L223" t="inlineStr">
        <is>
          <t>The provided code is licensed under the Apache License 2.0 and it's written in Java. The purpose of this software component appears to be related to data storage and retrieval using a NoSQL database called CrateDB (which uses Elasticsearch underneath). It seems to provide an interface for interacting with the database through HTTP requests. There are methods defined such as `create</t>
        </is>
      </c>
      <c r="M223" t="n">
        <v>0.0036</v>
      </c>
      <c r="N223" t="n">
        <v>0.08450000000000001</v>
      </c>
      <c r="O223" t="n">
        <v>0.2373</v>
      </c>
    </row>
    <row r="224">
      <c r="A224" t="inlineStr">
        <is>
          <t>crate</t>
        </is>
      </c>
      <c r="B224" t="inlineStr">
        <is>
          <t>server/src/testFixtures/java/io/crate/testing/SymbolAssert.java</t>
        </is>
      </c>
      <c r="C224">
        <f>HYPERLINK("https://github.com/crate/crate/blob/master/server/src/testFixtures/java/io/crate/testing/SymbolAssert.java")</f>
        <v/>
      </c>
      <c r="D224" t="inlineStr">
        <is>
          <t># This code is licensed under Apache License 2.0 and it's used by Crate.io GmbH ("Crate"). It can be modified or redistributed only in compliance with the license terms. The full details of copyright ownership are mentioned in a NOTICE file distributed along with this work. If you have executed another commercial license agreement with Crate, these terms</t>
        </is>
      </c>
      <c r="E224" t="n">
        <v>0.0037</v>
      </c>
      <c r="F224" t="n">
        <v>0.0588</v>
      </c>
      <c r="G224" t="n">
        <v>0.1154</v>
      </c>
      <c r="H224" t="inlineStr">
        <is>
          <t>The provided code is a function called add that takes two parameters and returns their sum. The complexity of this operation is O(1), meaning it always executes in the same amount of time regardless of input size. This function can be used for adding numbers together.
In addition to the above information, there are comments explaining what each part does within the code. For instance, "//</t>
        </is>
      </c>
      <c r="I224" t="n">
        <v>0.0033</v>
      </c>
      <c r="J224" t="n">
        <v>0.0541</v>
      </c>
      <c r="K224" t="n">
        <v>0.1087</v>
      </c>
      <c r="L224" t="inlineStr">
        <is>
          <t># This code is licensed under the Apache License 2.0 (see LICENSE file). It's a backend software component for Criteo Ltd., and it implements core algorithms related to license management. The main purpose of this code seems to be managing licensing agreements with various entities including commercial ones. However, without context or additional information about its functionality, it's not</t>
        </is>
      </c>
      <c r="M224" t="n">
        <v>0.008200000000000001</v>
      </c>
      <c r="N224" t="n">
        <v>0.1449</v>
      </c>
      <c r="O224" t="n">
        <v>0.284</v>
      </c>
    </row>
    <row r="225">
      <c r="A225" t="inlineStr">
        <is>
          <t>crate</t>
        </is>
      </c>
      <c r="B225" t="inlineStr">
        <is>
          <t>server/src/testFixtures/java/io/crate/testing/auth/RsaKeys.java</t>
        </is>
      </c>
      <c r="C225">
        <f>HYPERLINK("https://github.com/crate/crate/blob/master/server/src/testFixtures/java/io/crate/testing/auth/RsaKeys.java")</f>
        <v/>
      </c>
      <c r="D225" t="inlineStr">
        <is>
          <t>The provided code is licensed under Apache License Version 2.0 and it's used by Crate.io GmbH ("Crate"). The license allows anyone to use the software for any purpose, subject to compliance with the terms of the license agreement. You can obtain a copy of the license at http://www.apache.org/licenses/LICENSE-2</t>
        </is>
      </c>
      <c r="E225" t="n">
        <v>0.0045</v>
      </c>
      <c r="F225" t="n">
        <v>0.0308</v>
      </c>
      <c r="G225" t="n">
        <v>0.125</v>
      </c>
      <c r="H225" t="inlineStr">
        <is>
          <t>The provided code is a function called "add", which takes two parameters (a and b), adds them together, and returns the result. The complexity of this operation is O(1). This means that it will always take constant time to execute regardless of the size or input of the data being processed.
In terms of comments, there are no specific instructions for what the add function should</t>
        </is>
      </c>
      <c r="I225" t="n">
        <v>0.0033</v>
      </c>
      <c r="J225" t="n">
        <v>0.0533</v>
      </c>
      <c r="K225" t="n">
        <v>0.1087</v>
      </c>
      <c r="L225" t="inlineStr">
        <is>
          <t>The provided code is licensed under the Apache License 2.0 and it's a backend software component for Criteo (now known as Crate). The main purpose of this code seems to be handling data storage in an efficient manner using algorithms from core libraries. It appears to manage CRUD operations on tables that are used by other parts of the system. However, without context</t>
        </is>
      </c>
      <c r="M225" t="n">
        <v>0.0038</v>
      </c>
      <c r="N225" t="n">
        <v>0.0548</v>
      </c>
      <c r="O225" t="n">
        <v>0.1852</v>
      </c>
    </row>
    <row r="226">
      <c r="A226" t="inlineStr">
        <is>
          <t>crate</t>
        </is>
      </c>
      <c r="B226" t="inlineStr">
        <is>
          <t>server/src/testFixtures/java/io/crate/protocols/postgres/MockPgClient.java</t>
        </is>
      </c>
      <c r="C226">
        <f>HYPERLINK("https://github.com/crate/crate/blob/master/server/src/testFixtures/java/io/crate/protocols/postgres/MockPgClient.java")</f>
        <v/>
      </c>
      <c r="D226" t="inlineStr">
        <is>
          <t>The provided code is licensed under Apache License 2.0 and it's written in a programming language not specified here. It appears to be part of an application that interacts with databases using the CrateDB (formerly known as Elasticsearch). The license agreement allows for usage subject to compliance with the terms outlined in the license. If you have executed another commercial license agreement</t>
        </is>
      </c>
      <c r="E226" t="n">
        <v>0.0029</v>
      </c>
      <c r="F226" t="n">
        <v>0.0278</v>
      </c>
      <c r="G226" t="n">
        <v>0.0746</v>
      </c>
      <c r="H226" t="inlineStr">
        <is>
          <t>The function provided is a simple addition operation that takes two numbers as arguments and returns their sum. The complexity of this function is O(1), meaning it performs a constant number of operations regardless of the size of input data.
In terms of licensing information, there are several clauses in place to ensure proper usage of the code. It's licensed under Apache License 2.0</t>
        </is>
      </c>
      <c r="I226" t="n">
        <v>0.0028</v>
      </c>
      <c r="J226" t="n">
        <v>0.0533</v>
      </c>
      <c r="K226" t="n">
        <v>0.1103</v>
      </c>
      <c r="L226" t="inlineStr">
        <is>
          <t>&lt;!-- This is a placeholder for the generated summary --&gt;
The provided code file contains backend software components licensed under Apache License 2.0. It's written in Java and it implements core algorithms related to data processing and storage operations such as creating databases (using Crate.io) which are subject to different license agreements depending on their usage. The main purpose of this code base appears</t>
        </is>
      </c>
      <c r="M226" t="n">
        <v>0.0076</v>
      </c>
      <c r="N226" t="n">
        <v>0.137</v>
      </c>
      <c r="O226" t="n">
        <v>0.2735</v>
      </c>
    </row>
    <row r="227">
      <c r="A227" t="inlineStr">
        <is>
          <t>crate</t>
        </is>
      </c>
      <c r="B227" t="inlineStr">
        <is>
          <t>server/src/testFixtures/java/io/crate/protocols/postgres/MockPgClientFactory.java</t>
        </is>
      </c>
      <c r="C227">
        <f>HYPERLINK("https://github.com/crate/crate/blob/master/server/src/testFixtures/java/io/crate/protocols/postgres/MockPgClientFactory.java")</f>
        <v/>
      </c>
      <c r="D227" t="inlineStr">
        <is>
          <t>The code is licensed under Apache License 2.0 and it's used by Crate.io GmbH ("Crate"). The license agreement allows users to use the file for any purpose except in compliance with the terms of the license. Users may obtain a copy of the license at http://www.apache.org/licenses/LICENSE-2.0.</t>
        </is>
      </c>
      <c r="E227" t="n">
        <v>0.004</v>
      </c>
      <c r="F227" t="n">
        <v>0.0312</v>
      </c>
      <c r="G227" t="n">
        <v>0.0847</v>
      </c>
      <c r="H227" t="inlineStr">
        <is>
          <t>The provided code is a function named "add". This function takes two parameters (a and b), adds them together using the addition operator ("+"), then returns the result. The time complexity of this operation is O(1).
In the README file, it states that this repository contains backend software components implementing core algorithms. The specific commit where initial code base was committed can be found</t>
        </is>
      </c>
      <c r="I227" t="n">
        <v>0.004</v>
      </c>
      <c r="J227" t="n">
        <v>0.1111</v>
      </c>
      <c r="K227" t="n">
        <v>0.3135</v>
      </c>
      <c r="L227" t="inlineStr">
        <is>
          <t># This code is licensed under the Apache License 2.0 (the "License"). You may not use this file except in compliance with the License. You can obtain a copy of the License at http://www.apache.org/licenses/LICENSE-2.0 Unless required by applicable law or agreed to in writing, software distributed under the License is distributed on an "</t>
        </is>
      </c>
      <c r="M227" t="n">
        <v>0.004</v>
      </c>
      <c r="N227" t="n">
        <v>0.0588</v>
      </c>
      <c r="O227" t="n">
        <v>0.119</v>
      </c>
    </row>
    <row r="228">
      <c r="A228" t="inlineStr">
        <is>
          <t>crate</t>
        </is>
      </c>
      <c r="B228" t="inlineStr">
        <is>
          <t>server/src/testFixtures/java/io/crate/lucene/CrateLuceneTestCase.java</t>
        </is>
      </c>
      <c r="C228">
        <f>HYPERLINK("https://github.com/crate/crate/blob/master/server/src/testFixtures/java/io/crate/lucene/CrateLuceneTestCase.java")</f>
        <v/>
      </c>
      <c r="D228" t="inlineStr">
        <is>
          <t># This code is licensed to Crate.io GmbH ("Crate"). It's subject to one or more contributor license agreements. 
# Please see the NOTICE file distributed with this work for additional information regarding copyright ownership. 
# Crate licenses this file to you under the Apache License, Version 2.0 (the "License"); 
#</t>
        </is>
      </c>
      <c r="E228" t="n">
        <v>0.0037</v>
      </c>
      <c r="F228" t="n">
        <v>0.0351</v>
      </c>
      <c r="G228" t="n">
        <v>0.082</v>
      </c>
      <c r="H228" t="inlineStr">
        <is>
          <t>The function provided is a simple addition operation which takes two numbers as input and returns their sum. The complexity of this function is O(1), meaning it performs a constant number of operations regardless of the size of the inputs.
In terms of comments, there are no specific instructions or explanations for what each line does in detail but they provide an overall description about what the code is supposed to</t>
        </is>
      </c>
      <c r="I228" t="n">
        <v>0.0026</v>
      </c>
      <c r="J228" t="n">
        <v>0.05</v>
      </c>
      <c r="K228" t="n">
        <v>0.1049</v>
      </c>
      <c r="L228" t="inlineStr">
        <is>
          <t>The provided code is licensed under the Apache License 2.0 and it's written in Java. The purpose of this software component appears to be related to data storage and retrieval using a database system called CrateDB (https://cratedb.net). It seems like there are methods for creating tables, inserting records into these tables, updating existing ones, deleting them</t>
        </is>
      </c>
      <c r="M228" t="n">
        <v>0.0039</v>
      </c>
      <c r="N228" t="n">
        <v>0.0882</v>
      </c>
      <c r="O228" t="n">
        <v>0.2466</v>
      </c>
    </row>
    <row r="229">
      <c r="A229" t="inlineStr">
        <is>
          <t>crate</t>
        </is>
      </c>
      <c r="B229" t="inlineStr">
        <is>
          <t>server/src/testFixtures/java/io/crate/lucene/PatchedAssertingLeafReader.java</t>
        </is>
      </c>
      <c r="C229">
        <f>HYPERLINK("https://github.com/crate/crate/blob/master/server/src/testFixtures/java/io/crate/lucene/PatchedAssertingLeafReader.java")</f>
        <v/>
      </c>
      <c r="D229" t="inlineStr">
        <is>
          <t>```plaintext
This code is licensed under the Apache Software Foundation (ASF), and it's subject to one or more contributor license agreements. The ASF licenses this file to You under the Apache License, Version 2.0 (the "License"); you may not use this file except in compliance with the License. You can obtain a copy of the License at http://</t>
        </is>
      </c>
      <c r="E229" t="n">
        <v>0.0037</v>
      </c>
      <c r="F229" t="n">
        <v>0.0882</v>
      </c>
      <c r="G229" t="n">
        <v>0.1538</v>
      </c>
      <c r="H229" t="inlineStr">
        <is>
          <t>This repository contains backend software components that implement core algorithms used in the Lucene search engine developed by Apache Software Foundation (ASF). The complexity of this code is O(n), where n represents the number of documents indexed. It's licensed under the Apache License 2.0 and can be found at http://www.apache.org/licenses/LICENSE-2.0</t>
        </is>
      </c>
      <c r="I229" t="n">
        <v>0.0052</v>
      </c>
      <c r="J229" t="n">
        <v>0.1471</v>
      </c>
      <c r="K229" t="n">
        <v>0.3495</v>
      </c>
      <c r="L229" t="inlineStr">
        <is>
          <t>```plaintext
This code is a part of the Apache Lucene library and it's used for handling binary data in an indexed manner. The main purpose of this class seems to be providing methods for reading and writing binary doc values (a type of field value that can store large amounts of binary data). 
It takes as input a document ID and provides output as</t>
        </is>
      </c>
      <c r="M229" t="n">
        <v>0.0034</v>
      </c>
      <c r="N229" t="n">
        <v>0.0548</v>
      </c>
      <c r="O229" t="n">
        <v>0.1103</v>
      </c>
    </row>
    <row r="230">
      <c r="A230" t="inlineStr">
        <is>
          <t>crate</t>
        </is>
      </c>
      <c r="B230" t="inlineStr">
        <is>
          <t>server/src/testFixtures/java/io/crate/test/utils/BlobsUtil.java</t>
        </is>
      </c>
      <c r="C230">
        <f>HYPERLINK("https://github.com/crate/crate/blob/master/server/src/testFixtures/java/io/crate/test/utils/BlobsUtil.java")</f>
        <v/>
      </c>
      <c r="D230" t="inlineStr">
        <is>
          <t>The provided code is licensed under Apache License 2.0 and it's used by Crate.io GmbH ("Crate"). It can be distributed and modified according to the terms of this license agreement but requires compliance with all applicable laws or agreements. The software may not be used except in compliance with the Apache License 2.0. A copy of the license can</t>
        </is>
      </c>
      <c r="E230" t="n">
        <v>0.0037</v>
      </c>
      <c r="F230" t="n">
        <v>0.0563</v>
      </c>
      <c r="G230" t="n">
        <v>0.1527</v>
      </c>
      <c r="H230" t="inlineStr">
        <is>
          <t>The function provided is a simple addition operation that takes two parameters and returns their sum. The complexity of this function is O(1), meaning it performs a constant number of operations regardless of the size of input data. It does not involve any looping or recursion which makes it efficient for adding numbers together.
&lt;jupyter_output&gt;
&lt;empty_output&gt;</t>
        </is>
      </c>
      <c r="I230" t="n">
        <v>0.0033</v>
      </c>
      <c r="J230" t="n">
        <v>0.0597</v>
      </c>
      <c r="K230" t="n">
        <v>0.1172</v>
      </c>
      <c r="L230" t="inlineStr">
        <is>
          <t>The provided code is licensed under the Apache License 2.0 and it's written in Java. The purpose of this software component appears to be related to data storage and retrieval using a database management system called CrateDB (a distributed SQL database). It seems to provide functionalities such as creating tables, inserting records into them, querying these records, and deleting records</t>
        </is>
      </c>
      <c r="M230" t="n">
        <v>0.0036</v>
      </c>
      <c r="N230" t="n">
        <v>0.1143</v>
      </c>
      <c r="O230" t="n">
        <v>0.2391</v>
      </c>
    </row>
    <row r="231">
      <c r="A231" t="inlineStr">
        <is>
          <t>crate</t>
        </is>
      </c>
      <c r="B231" t="inlineStr">
        <is>
          <t>server/src/testFixtures/java/io/crate/test/utils/ConnectionTestUtil.java</t>
        </is>
      </c>
      <c r="C231">
        <f>HYPERLINK("https://github.com/crate/crate/blob/master/server/src/testFixtures/java/io/crate/test/utils/ConnectionTestUtil.java")</f>
        <v/>
      </c>
      <c r="D231" t="inlineStr">
        <is>
          <t>The code is licensed under Apache License 2.0 and it's provided by Crate.io GmbH ("Crate"). It allows for the use of this file according to terms specified in the license agreement unless otherwise agreed upon with Crate. The software can be obtained from a copy at http://www.apache.org/licenses/LICENSE-2.</t>
        </is>
      </c>
      <c r="E231" t="n">
        <v>0.0046</v>
      </c>
      <c r="F231" t="n">
        <v>0.0625</v>
      </c>
      <c r="G231" t="n">
        <v>0.1681</v>
      </c>
      <c r="H231" t="inlineStr">
        <is>
          <t>The function provided is a simple addition operation which takes two numbers as input and returns their sum. The time complexity of this function is O(1), meaning it performs the same number of operations regardless of the size of the inputs.
In terms of code, there are no nested loops or recursive calls that would increase the computational complexity beyond O(1). There's also no external</t>
        </is>
      </c>
      <c r="I231" t="n">
        <v>0.0028</v>
      </c>
      <c r="J231" t="n">
        <v>0.0526</v>
      </c>
      <c r="K231" t="n">
        <v>0.1095</v>
      </c>
      <c r="L231" t="inlineStr">
        <is>
          <t># This is a summary of the provided code file. 
The given source code is licensed under Apache License Version 2.0 and it's written in Python language. The main purpose of this software component seems to be related with data management or storage system which uses CrateDB (a NoSQL database). It provides functionalities for creating databases, tables, inserting records into</t>
        </is>
      </c>
      <c r="M231" t="n">
        <v>0.004</v>
      </c>
      <c r="N231" t="n">
        <v>0.08699999999999999</v>
      </c>
      <c r="O231" t="n">
        <v>0.2391</v>
      </c>
    </row>
    <row r="232">
      <c r="A232" t="inlineStr">
        <is>
          <t>crate</t>
        </is>
      </c>
      <c r="B232" t="inlineStr">
        <is>
          <t>server/src/testFixtures/java/io/crate/test/integration/CrateDummyClusterServiceUnitTest.java</t>
        </is>
      </c>
      <c r="C232">
        <f>HYPERLINK("https://github.com/crate/crate/blob/master/server/src/testFixtures/java/io/crate/test/integration/CrateDummyClusterServiceUnitTest.java")</f>
        <v/>
      </c>
      <c r="D232" t="inlineStr">
        <is>
          <t>The provided code is licensed under Apache License 2.0 and it's written in a language that isn't specified here. It appears to be related to backend software components of an application which are being distributed "as is". The license permits usage except when not compliant with the terms of the license. There might also be other licensing agreements for commercial use with Crate</t>
        </is>
      </c>
      <c r="E232" t="n">
        <v>0.0034</v>
      </c>
      <c r="F232" t="n">
        <v>0.027</v>
      </c>
      <c r="G232" t="n">
        <v>0.1111</v>
      </c>
      <c r="H232" t="inlineStr">
        <is>
          <t>The provided code is a function named `add` which takes two parameters (numbers), adds them together and returns the result. The time complexity of this operation is O(1).
In the README file, it mentions that the repository contains backend software components implementing core algorithms. It also states about committing initial code base commit with size 1000 lines of codes.</t>
        </is>
      </c>
      <c r="I232" t="n">
        <v>0.0041</v>
      </c>
      <c r="J232" t="n">
        <v>0.1176</v>
      </c>
      <c r="K232" t="n">
        <v>0.3255</v>
      </c>
      <c r="L232" t="inlineStr">
        <is>
          <t>The provided code is licensed under the Apache License 2.0 and it's a backend software component for Crate.io GmbH ("Crate"). The main purpose of this code seems to be related to licensing and copyright ownership verification. It checks if there are any license agreements executed with Crate that supersede the Apache License 2.0 set forth in the</t>
        </is>
      </c>
      <c r="M232" t="n">
        <v>0.0038</v>
      </c>
      <c r="N232" t="n">
        <v>0.058</v>
      </c>
      <c r="O232" t="n">
        <v>0.1163</v>
      </c>
    </row>
    <row r="233">
      <c r="A233" t="inlineStr">
        <is>
          <t>crate</t>
        </is>
      </c>
      <c r="B233" t="inlineStr">
        <is>
          <t>server/src/testFixtures/java/io/crate/test/integration/SystemPropsTestLoggingListener.java</t>
        </is>
      </c>
      <c r="C233">
        <f>HYPERLINK("https://github.com/crate/crate/blob/master/server/src/testFixtures/java/io/crate/test/integration/SystemPropsTestLoggingListener.java")</f>
        <v/>
      </c>
      <c r="D233" t="inlineStr">
        <is>
          <t># This code is licensed under Apache License 2.0 and it's provided by Crate.io GmbH ("Crate"). It can be used in compliance with the license agreement but not without permission from Crite. The software may also only be used pursuant to terms relevant to any commercial agreements. For additional information regarding copyright ownership please refer to a NOTICE file included</t>
        </is>
      </c>
      <c r="E233" t="n">
        <v>0.004</v>
      </c>
      <c r="F233" t="n">
        <v>0.0571</v>
      </c>
      <c r="G233" t="n">
        <v>0.1515</v>
      </c>
      <c r="H233" t="inlineStr">
        <is>
          <t>The provided code is a function named "add". This function takes two parameters (a and b), adds them together, and returns the result. The time complexity of this operation is O(1).
In summary, it's a simple addition function that performs an arithmetic operation on two numbers without any complexities or loops involved. It can be used in various mathematical operations where you</t>
        </is>
      </c>
      <c r="I233" t="n">
        <v>0.0035</v>
      </c>
      <c r="J233" t="n">
        <v>0.0833</v>
      </c>
      <c r="K233" t="n">
        <v>0.1119</v>
      </c>
      <c r="L233" t="inlineStr">
        <is>
          <t>The provided code is licensed under the Apache License 2.0 and it's written in Java. It appears to be a backend software component for a database management system named "Crate". This repository contains various algorithms related to core functionality of Crate such as indexing, query execution etc. However, without context or specific details about this code, we can only provide an overall</t>
        </is>
      </c>
      <c r="M233" t="n">
        <v>0.0078</v>
      </c>
      <c r="N233" t="n">
        <v>0.0833</v>
      </c>
      <c r="O233" t="n">
        <v>0.2776</v>
      </c>
    </row>
    <row r="234">
      <c r="A234" t="inlineStr">
        <is>
          <t>crate</t>
        </is>
      </c>
      <c r="B234" t="inlineStr">
        <is>
          <t>server/src/testFixtures/java/io/crate/integrationtests/Setup.java</t>
        </is>
      </c>
      <c r="C234">
        <f>HYPERLINK("https://github.com/crate/crate/blob/master/server/src/testFixtures/java/io/crate/integrationtests/Setup.java")</f>
        <v/>
      </c>
      <c r="D234" t="inlineStr">
        <is>
          <t>The code is licensed under Apache License 2.0 and it's provided by Crate.io GmbH ("Crate"). It allows you to use the file according to terms in the license agreement unless otherwise specified. The software can be obtained from a URL mentioned in the notice distributed with this work for additional information regarding copyright ownership. This repository contains backend software components that implement</t>
        </is>
      </c>
      <c r="E234" t="n">
        <v>0.0039</v>
      </c>
      <c r="F234" t="n">
        <v>0.0822</v>
      </c>
      <c r="G234" t="n">
        <v>0.1866</v>
      </c>
      <c r="H234" t="inlineStr">
        <is>
          <t>The function provided is a simple addition operation between two numbers 'a' and 'b'. It takes in as parameters these two values, performs the addition operation on them, then returns the result of that operation. The time complexity of this code snippet is O(1), meaning it executes at most one line of code regardless of input size.
In summary, this code does</t>
        </is>
      </c>
      <c r="I234" t="n">
        <v>0.0029</v>
      </c>
      <c r="J234" t="n">
        <v>0.0563</v>
      </c>
      <c r="K234" t="n">
        <v>0.1119</v>
      </c>
      <c r="L234" t="inlineStr">
        <is>
          <t>The provided code is licensed under the Apache License 2.0 and it's written in Java language. The purpose of this software component appears to be related to data management or storage system which uses a database called CrateDB (a distributed SQL database). It provides functionalities like creating tables, inserting records into these tables, querying from them etc. However, without seeing</t>
        </is>
      </c>
      <c r="M234" t="n">
        <v>0.0036</v>
      </c>
      <c r="N234" t="n">
        <v>0.0857</v>
      </c>
      <c r="O234" t="n">
        <v>0.2391</v>
      </c>
    </row>
    <row r="235">
      <c r="A235" t="inlineStr">
        <is>
          <t>crate</t>
        </is>
      </c>
      <c r="B235" t="inlineStr">
        <is>
          <t>server/src/testFixtures/java/io/crate/statistics/StatsUtils.java</t>
        </is>
      </c>
      <c r="C235">
        <f>HYPERLINK("https://github.com/crate/crate/blob/master/server/src/testFixtures/java/io/crate/statistics/StatsUtils.java")</f>
        <v/>
      </c>
      <c r="D235" t="inlineStr">
        <is>
          <t># This code is licensed under the Apache License 2.0 and it's part of Crate.io GmbH ("Crate"). The license agreement can be found in the NOTICE file distributed with this work for additional information regarding copyright ownership.
The software uses an open source licensing model that allows you to use the provided files as per your needs but only</t>
        </is>
      </c>
      <c r="E235" t="n">
        <v>0.0041</v>
      </c>
      <c r="F235" t="n">
        <v>0.058</v>
      </c>
      <c r="G235" t="n">
        <v>0.1527</v>
      </c>
      <c r="H235" t="inlineStr">
        <is>
          <t>The given code is a function named "add", which adds two numbers together and returns the result. The time complexity of this operation is O(1), meaning it takes constant time to perform regardless of the size of the input data.
Here's how you can summarize it in one line: 
```python
# This Python function performs addition on two inputs (num</t>
        </is>
      </c>
      <c r="I235" t="n">
        <v>0.0036</v>
      </c>
      <c r="J235" t="n">
        <v>0.058</v>
      </c>
      <c r="K235" t="n">
        <v>0.1136</v>
      </c>
      <c r="L235" t="inlineStr">
        <is>
          <t>The provided code is licensed under the Apache License 2.0 and it's a backend software component for Criteo, an advertising technology company. The purpose of this file seems to be related to licensing information management or handling license agreements with third parties like Criteo. It appears that there are multiple contributors who may have agreed upon terms by which they can use and</t>
        </is>
      </c>
      <c r="M235" t="n">
        <v>0.0034</v>
      </c>
      <c r="N235" t="n">
        <v>0.0548</v>
      </c>
      <c r="O235" t="n">
        <v>0.2338</v>
      </c>
    </row>
    <row r="236">
      <c r="A236" t="inlineStr">
        <is>
          <t>crate</t>
        </is>
      </c>
      <c r="B236" t="inlineStr">
        <is>
          <t>server/src/testFixtures/java/org/elasticsearch/repositories/ESBlobStoreTestCase.java</t>
        </is>
      </c>
      <c r="C236">
        <f>HYPERLINK("https://github.com/crate/crate/blob/master/server/src/testFixtures/java/org/elasticsearch/repositories/ESBlobStoreTestCase.java")</f>
        <v/>
      </c>
      <c r="D236" t="inlineStr">
        <is>
          <t>The code provided is a license file for Elasticsearch project which states that it's licensed under Apache License Version 2.0 and grants certain permissions based on the conditions mentioned in this license. The software distributed under the terms of this license can be used as long as you comply with these conditions.
Please note that while providing information about licensing details, I have omitted any specific</t>
        </is>
      </c>
      <c r="E236" t="n">
        <v>0.0033</v>
      </c>
      <c r="F236" t="n">
        <v>0.0526</v>
      </c>
      <c r="G236" t="n">
        <v>0.1449</v>
      </c>
      <c r="H236" t="inlineStr">
        <is>
          <t>The code you provided is a Java implementation of the addition function using Apache License 2.0 as its license header. It defines an add method that takes two integers and returns their sum. The time complexity of this operation is O(1), meaning it always executes in constant time regardless of input size.
Here's the summary for your reference:
```plaintext</t>
        </is>
      </c>
      <c r="I236" t="n">
        <v>0.0031</v>
      </c>
      <c r="J236" t="n">
        <v>0.0857</v>
      </c>
      <c r="K236" t="n">
        <v>0.1527</v>
      </c>
      <c r="L236" t="inlineStr">
        <is>
          <t>The provided code is a Java class that interacts with an Elasticsearch repository using the BlobStore API from the Elasticsearch library. 
It imports necessary classes and packages for handling assertions, IO operations, and exceptions related to blobs in an elastic search repository. The main purpose of this class seems to be managing and summarizing information about blob containers within an</t>
        </is>
      </c>
      <c r="M236" t="n">
        <v>0.003</v>
      </c>
      <c r="N236" t="n">
        <v>0.0588</v>
      </c>
      <c r="O236" t="n">
        <v>0.1136</v>
      </c>
    </row>
    <row r="237">
      <c r="A237" t="inlineStr">
        <is>
          <t>crate</t>
        </is>
      </c>
      <c r="B237" t="inlineStr">
        <is>
          <t>server/src/testFixtures/java/org/elasticsearch/repositories/blobstore/BlobStoreTestUtil.java</t>
        </is>
      </c>
      <c r="C237">
        <f>HYPERLINK("https://github.com/crate/crate/blob/master/server/src/testFixtures/java/org/elasticsearch/repositories/blobstore/BlobStoreTestUtil.java")</f>
        <v/>
      </c>
      <c r="D237" t="inlineStr">
        <is>
          <t>The code provided is licensed under Apache License 2.0 and contains a package org.elasticsearch.repositories.blobstore which seems to be related to the storage of blobs (binary large objects). The license grants users permission to use this software in compliance with the terms of the license. It's distributed on an "AS IS" basis without warranties or conditions of any kind</t>
        </is>
      </c>
      <c r="E237" t="n">
        <v>0.0037</v>
      </c>
      <c r="F237" t="n">
        <v>0.0563</v>
      </c>
      <c r="G237" t="n">
        <v>0.2428</v>
      </c>
      <c r="H237" t="inlineStr">
        <is>
          <t>The provided code is a Java class that contains the definition of an `add` method for performing addition operation on two numbers. The function takes in two parameters (numbers), adds them and returns the result. This functionality can be summarized as follows: "Performs addition on two given numbers."
The complexity of this function is O(1). It means it has constant time complexity</t>
        </is>
      </c>
      <c r="I237" t="n">
        <v>0.0039</v>
      </c>
      <c r="J237" t="n">
        <v>0.0563</v>
      </c>
      <c r="K237" t="n">
        <v>0.1119</v>
      </c>
      <c r="L237" t="inlineStr">
        <is>
          <t>The provided code is a Java implementation for unit testing of the BlobStoreRepository class in Elasticsearch. The main purpose of this code is to verify if certain methods (like saveBlobs and deleteBlobs) are working as expected by using Mockito library for mocking dependencies and AssertJ library for asserting results. This test suite covers both positive scenarios where we expect successful execution of these</t>
        </is>
      </c>
      <c r="M237" t="n">
        <v>0.0034</v>
      </c>
      <c r="N237" t="n">
        <v>0.0563</v>
      </c>
      <c r="O237" t="n">
        <v>0.1481</v>
      </c>
    </row>
    <row r="238">
      <c r="A238" t="inlineStr">
        <is>
          <t>crate</t>
        </is>
      </c>
      <c r="B238" t="inlineStr">
        <is>
          <t>server/src/testFixtures/java/org/elasticsearch/env/TestEnvironment.java</t>
        </is>
      </c>
      <c r="C238">
        <f>HYPERLINK("https://github.com/crate/crate/blob/master/server/src/testFixtures/java/org/elasticsearch/env/TestEnvironment.java")</f>
        <v/>
      </c>
      <c r="D238" t="inlineStr">
        <is>
          <t>The provided code is a Java class that sets up an environment for Elasticsearch under one or more contributor license agreements (CLA). It's licensed under the Apache License, Version 2.0 and it provides convenience methods to construct an Environment object when the config path doesnâĢĻt matter. The complexity of this function seems to be O(N), but without further information about how exactly it</t>
        </is>
      </c>
      <c r="E238" t="n">
        <v>0.0029</v>
      </c>
      <c r="F238" t="n">
        <v>0.0533</v>
      </c>
      <c r="G238" t="n">
        <v>0.1111</v>
      </c>
      <c r="H238" t="inlineStr">
        <is>
          <t>The provided code is a Java class that constructs an environment for testing purposes and it's licensed under Apache License 2.0. The purpose of this class seems to be providing convenience methods related to tests which might involve setting up configurations or environments. It appears to have been written in the context of Elasticsearch project where it provides core algorithms implementations.
Please provide more specific</t>
        </is>
      </c>
      <c r="I238" t="n">
        <v>0.0033</v>
      </c>
      <c r="J238" t="n">
        <v>0.0533</v>
      </c>
      <c r="K238" t="n">
        <v>0.1095</v>
      </c>
      <c r="L238" t="inlineStr">
        <is>
          <t>The provided code is a Java class named `TestEnvironments` that extends the Elasticsearch environment and provides a convenience method for testing to construct an Environment when the config path does not matter. It's licensed under Apache License 2.0 which requires compliance with any applicable law or agreed upon by applicables in writing software distributed under this license is distributed on an "AS IS" BAS</t>
        </is>
      </c>
      <c r="M238" t="n">
        <v>0.0034</v>
      </c>
      <c r="N238" t="n">
        <v>0.027</v>
      </c>
      <c r="O238" t="n">
        <v>0.1103</v>
      </c>
    </row>
    <row r="239">
      <c r="A239" t="inlineStr">
        <is>
          <t>crate</t>
        </is>
      </c>
      <c r="B239" t="inlineStr">
        <is>
          <t>server/src/testFixtures/java/org/elasticsearch/index/MockEngineFactoryPlugin.java</t>
        </is>
      </c>
      <c r="C239">
        <f>HYPERLINK("https://github.com/crate/crate/blob/master/server/src/testFixtures/java/org/elasticsearch/index/MockEngineFactoryPlugin.java")</f>
        <v/>
      </c>
      <c r="D239" t="inlineStr">
        <is>
          <t>The code provided is licensed under Apache License Version 2.0 and contains the Elasticsearch engine's core algorithms implementation. It defines a package named "org.elasticsearch.index". The license allows for use of this file except in compliance with the terms specified by the license. This software can be distributed under the conditions outlined at http://www.apache.org/licenses/LIC</t>
        </is>
      </c>
      <c r="E239" t="n">
        <v>0.008699999999999999</v>
      </c>
      <c r="F239" t="n">
        <v>0.0571</v>
      </c>
      <c r="G239" t="n">
        <v>0.2976</v>
      </c>
      <c r="H239" t="inlineStr">
        <is>
          <t>This repository contains backend software components that implement core algorithms for Elasticsearch. The code is licensed under the Apache License 2.0 and can be found at http://www.apache.org/licenses/LICENSE-2.0. It's distributed on an "AS IS" BASIS, WITHOUT WARRANTIES OR CONDITIONS OF ANY KIND, either express</t>
        </is>
      </c>
      <c r="I239" t="n">
        <v>0.0061</v>
      </c>
      <c r="J239" t="n">
        <v>0.1667</v>
      </c>
      <c r="K239" t="n">
        <v>0.3235</v>
      </c>
      <c r="L239" t="inlineStr">
        <is>
          <t>The provided code is part of the Elasticsearch project and it's a summary for an engine factory class that manages indexing operations in Elasticsearch. The main purpose of this class seems to be creating instances of different types of engines (like Lucene or RocksDB) based on settings passed during initialization.
It takes as input various parameters including settings related to storage and</t>
        </is>
      </c>
      <c r="M239" t="n">
        <v>0.0029</v>
      </c>
      <c r="N239" t="n">
        <v>0.0563</v>
      </c>
      <c r="O239" t="n">
        <v>0.1119</v>
      </c>
    </row>
    <row r="240">
      <c r="A240" t="inlineStr">
        <is>
          <t>crate</t>
        </is>
      </c>
      <c r="B240" t="inlineStr">
        <is>
          <t>server/src/testFixtures/java/org/elasticsearch/index/engine/TranslogHandler.java</t>
        </is>
      </c>
      <c r="C240">
        <f>HYPERLINK("https://github.com/crate/crate/blob/master/server/src/testFixtures/java/org/elasticsearch/index/engine/TranslogHandler.java")</f>
        <v/>
      </c>
      <c r="D240" t="inlineStr">
        <is>
          <t>The code provided is licensed under Apache License 2.0 and it's a part of Elasticsearch project which is an open source distributed real-time search and analytics engine. The license states that the software can be used except in compliance with the terms of the license. It also provides specific language governing permissions and limitations under the license.
# You are an expert software engineer.</t>
        </is>
      </c>
      <c r="E240" t="n">
        <v>0.0034</v>
      </c>
      <c r="F240" t="n">
        <v>0.0541</v>
      </c>
      <c r="G240" t="n">
        <v>0.1103</v>
      </c>
      <c r="H240" t="inlineStr">
        <is>
          <t>The code provided is a Java class that implements an engine for indexing data in Elasticsearch. The class belongs to the package `org.elasticsearch.index.engine` and it contains various methods related to core algorithms used by Elasticsearch.
It seems like there are some license information at the top of this file which states under what conditions you can use or distribute the software</t>
        </is>
      </c>
      <c r="I240" t="n">
        <v>0.0042</v>
      </c>
      <c r="J240" t="n">
        <v>0.0556</v>
      </c>
      <c r="K240" t="n">
        <v>0.2256</v>
      </c>
      <c r="L240" t="inlineStr">
        <is>
          <t>The provided code is a part of Elasticsearch's indexing engine implementation in Java. The main purpose of this code seems to be the creation and management of indices within an elastic search cluster.
It appears to handle various operations such as creating new indexes, managing their mappings (defining how documents are stored), adding or updating documents, deleting them, executing searches etc.</t>
        </is>
      </c>
      <c r="M240" t="n">
        <v>0.003</v>
      </c>
      <c r="N240" t="n">
        <v>0.0571</v>
      </c>
      <c r="O240" t="n">
        <v>0.1504</v>
      </c>
    </row>
    <row r="241">
      <c r="A241" t="inlineStr">
        <is>
          <t>crate</t>
        </is>
      </c>
      <c r="B241" t="inlineStr">
        <is>
          <t>server/src/testFixtures/java/org/elasticsearch/index/engine/InternalTestEngine.java</t>
        </is>
      </c>
      <c r="C241">
        <f>HYPERLINK("https://github.com/crate/crate/blob/master/server/src/testFixtures/java/org/elasticsearch/index/engine/InternalTestEngine.java")</f>
        <v/>
      </c>
      <c r="D241" t="inlineStr">
        <is>
          <t>The code provided is a Java implementation of an inverted index data structure used by Elasticsearch for efficient storage and retrieval of document information. The license at the top states that it's licensed under Apache License 2.0 which means you can use this code freely as long as you comply with its terms. It also mentions some conditions like not using the file except in compliance with the License</t>
        </is>
      </c>
      <c r="E241" t="n">
        <v>0.0026</v>
      </c>
      <c r="F241" t="n">
        <v>0.0506</v>
      </c>
      <c r="G241" t="n">
        <v>0.1418</v>
      </c>
      <c r="H241" t="inlineStr">
        <is>
          <t>The provided code is a Java class that implements an engine for indexing data in Elasticsearch. The license at the top of this file states it's licensed under Apache License 2.0 which means you can use and modify the code as long as you follow its terms. This repository contains backend software components implementing core algorithms used by Elasticsearch. It has initial commit with base code size</t>
        </is>
      </c>
      <c r="I241" t="n">
        <v>0.0041</v>
      </c>
      <c r="J241" t="n">
        <v>0.1039</v>
      </c>
      <c r="K241" t="n">
        <v>0.2158</v>
      </c>
      <c r="L241" t="inlineStr">
        <is>
          <t>The provided code is part of the Elasticsearch project and it's a Java implementation for an inverted index engine. The main purpose of this class seems to be managing and storing term vectors (a vector representation of terms) efficiently using concurrency features like ConcurrentHashMap. 
It uses functional interfaces such as BiFunction which allows operations on maps with two arguments. It also</t>
        </is>
      </c>
      <c r="M241" t="n">
        <v>0.003</v>
      </c>
      <c r="N241" t="n">
        <v>0.0571</v>
      </c>
      <c r="O241" t="n">
        <v>0.1504</v>
      </c>
    </row>
    <row r="242">
      <c r="A242" t="inlineStr">
        <is>
          <t>crate</t>
        </is>
      </c>
      <c r="B242" t="inlineStr">
        <is>
          <t>server/src/testFixtures/java/org/elasticsearch/index/engine/EngineTestCase.java</t>
        </is>
      </c>
      <c r="C242">
        <f>HYPERLINK("https://github.com/crate/crate/blob/master/server/src/testFixtures/java/org/elasticsearch/index/engine/EngineTestCase.java")</f>
        <v/>
      </c>
      <c r="D242" t="inlineStr">
        <is>
          <t>&lt;!-- You can provide a concise summary of the functionality here --&gt;
The code provided is licensed under Apache License 2.0 and it's part of Elasticsearch project. It contains implementations for core algorithms used in search engines like Binary Search Tree (BST), Hash Table etc., which are typically complex data structures with time complexity O(log n). The license</t>
        </is>
      </c>
      <c r="E242" t="n">
        <v>0.0041</v>
      </c>
      <c r="F242" t="n">
        <v>0.0597</v>
      </c>
      <c r="G242" t="n">
        <v>0.1538</v>
      </c>
      <c r="H242" t="inlineStr">
        <is>
          <t>The provided code is a Java class that contains the implementation of an engine for Elasticsearch indexing and searching operations. The license at the top of this file states that it's licensed under Apache License 2.0 which means you can use, modify or distribute this software as per your needs with some conditions specified in the link mentioned above. This package org.elasticsearch.index.engine</t>
        </is>
      </c>
      <c r="I242" t="n">
        <v>0.0039</v>
      </c>
      <c r="J242" t="n">
        <v>0.0533</v>
      </c>
      <c r="K242" t="n">
        <v>0.1493</v>
      </c>
      <c r="L242" t="inlineStr">
        <is>
          <t>The provided code is a Java implementation of an indexing engine for Elasticsearch, which uses the Apache License 2.0. The main purpose of this class seems to be shuffling and sorting documents based on their relevance scores using various algorithms from assertj library. This functionality could potentially improve search results by prioritizing more relevant items in searches over others.
Please</t>
        </is>
      </c>
      <c r="M242" t="n">
        <v>0.004</v>
      </c>
      <c r="N242" t="n">
        <v>0.058</v>
      </c>
      <c r="O242" t="n">
        <v>0.1515</v>
      </c>
    </row>
    <row r="243">
      <c r="A243" t="inlineStr">
        <is>
          <t>crate</t>
        </is>
      </c>
      <c r="B243" t="inlineStr">
        <is>
          <t>server/src/testFixtures/java/org/elasticsearch/index/engine/DocIdAndSeqNo.java</t>
        </is>
      </c>
      <c r="C243">
        <f>HYPERLINK("https://github.com/crate/crate/blob/master/server/src/testFixtures/java/org/elasticsearch/index/engine/DocIdAndSeqNo.java")</f>
        <v/>
      </c>
      <c r="D243" t="inlineStr">
        <is>
          <t>The provided code is a record class in Java named `DocIdAndSeqNo` that represents a tuple of document id (string), sequence number (long), primary term and version of a document (long). The purpose of this class seems to be for storing information related to documents in an indexing system like Elasticsearch.
The Apache License 2.0 applies to the</t>
        </is>
      </c>
      <c r="E243" t="n">
        <v>0.0032</v>
      </c>
      <c r="F243" t="n">
        <v>0.0303</v>
      </c>
      <c r="G243" t="n">
        <v>0.0775</v>
      </c>
      <c r="H243" t="inlineStr">
        <is>
          <t>The provided code is a Java implementation of an ElasticSearch indexing engine's record for document ID and sequence number along with primary term and version information about a document. The license at the top of this file states that it is licensed under Apache License 2.0 which means you can use, modify or distribute this software as per terms specified in the license text.
#include &lt;</t>
        </is>
      </c>
      <c r="I243" t="n">
        <v>0.0033</v>
      </c>
      <c r="J243" t="n">
        <v>0.0533</v>
      </c>
      <c r="K243" t="n">
        <v>0.2287</v>
      </c>
      <c r="L243" t="inlineStr">
        <is>
          <t>The provided code is a Java class named `DocIdAndSeqNo` that represents a tuple of four elements - document id (a string), sequence number (a long integer), primary term (another long integer) and version summary (yet another long integer). This class serves as the foundation for indexing documents in Elasticsearch, which is an open source full-text search engine based on</t>
        </is>
      </c>
      <c r="M243" t="n">
        <v>0.0037</v>
      </c>
      <c r="N243" t="n">
        <v>0.0299</v>
      </c>
      <c r="O243" t="n">
        <v>0.07630000000000001</v>
      </c>
    </row>
    <row r="244">
      <c r="A244" t="inlineStr">
        <is>
          <t>crate</t>
        </is>
      </c>
      <c r="B244" t="inlineStr">
        <is>
          <t>server/src/testFixtures/java/org/elasticsearch/index/seqno/ReplicationTrackerTestCase.java</t>
        </is>
      </c>
      <c r="C244">
        <f>HYPERLINK("https://github.com/crate/crate/blob/master/server/src/testFixtures/java/org/elasticsearch/index/seqno/ReplicationTrackerTestCase.java")</f>
        <v/>
      </c>
      <c r="D244" t="inlineStr">
        <is>
          <t># This code is licensed under Apache License Version 2.0 and it's part of the Elasticsearch project which is distributed under this license. The specific language governing permissions and limitations are outlined in the license file located at http://www.apache.org/licenses/LICENSE-2.0. It may not be used except in compliance with the license. A copy of</t>
        </is>
      </c>
      <c r="E244" t="n">
        <v>0.0041</v>
      </c>
      <c r="F244" t="n">
        <v>0.058</v>
      </c>
      <c r="G244" t="n">
        <v>0.12</v>
      </c>
      <c r="H244" t="inlineStr">
        <is>
          <t>The provided code is a Java class that deals with sequence numbers in Elasticsearch, specifically related to allocation of shards and their routing tables within the cluster. The license at the top states that it's licensed under Apache License 2.0 which means you can use this code for any purpose but must include the original copyright notice and disclaimers. The complexity seems to be O(n</t>
        </is>
      </c>
      <c r="I244" t="n">
        <v>0.0028</v>
      </c>
      <c r="J244" t="n">
        <v>0.0526</v>
      </c>
      <c r="K244" t="n">
        <v>0.1095</v>
      </c>
      <c r="L244" t="inlineStr">
        <is>
          <t>The provided code is part of the Elasticsearch project and it's related to sequence number allocation in an index shard. The main purpose of this class seems to be managing sequences numbers for primary and replica shards during a cluster reroute operation.
It takes as input two parameters - `allocationId` which represents the current routing allocation id and `shardRoutingTable</t>
        </is>
      </c>
      <c r="M244" t="n">
        <v>0.0031</v>
      </c>
      <c r="N244" t="n">
        <v>0.0597</v>
      </c>
      <c r="O244" t="n">
        <v>0.1145</v>
      </c>
    </row>
    <row r="245">
      <c r="A245" t="inlineStr">
        <is>
          <t>crate</t>
        </is>
      </c>
      <c r="B245" t="inlineStr">
        <is>
          <t>server/src/testFixtures/java/org/elasticsearch/index/seqno/RetentionLeaseUtils.java</t>
        </is>
      </c>
      <c r="C245">
        <f>HYPERLINK("https://github.com/crate/crate/blob/master/server/src/testFixtures/java/org/elasticsearch/index/seqno/RetentionLeaseUtils.java")</f>
        <v/>
      </c>
      <c r="D245" t="inlineStr">
        <is>
          <t>The provided code is licensed under Apache License 2.0 and it's a utility class named RetentionLeaseUtils that contains methods related to sequence number handling in Elasticsearch. The complexity of the implementation seems to be O(N), indicating linear time complexity as it involves operations on collections such as LinkedHashMaps or Streams which are iterated over once (hen</t>
        </is>
      </c>
      <c r="E245" t="n">
        <v>0.0033</v>
      </c>
      <c r="F245" t="n">
        <v>0.0299</v>
      </c>
      <c r="G245" t="n">
        <v>0.0781</v>
      </c>
      <c r="H245" t="inlineStr">
        <is>
          <t>The code you provided is a Java class named `RetentionLeaseUtils` that contains an implementation of core algorithms related to sequence numbers and retention leases for Elasticsearch. The license at the top of this file states under Apache License 2.0 which means it's open source software licensed under one or more contributor agreements. It also mentions some conditions like "Software distributed</t>
        </is>
      </c>
      <c r="I245" t="n">
        <v>0.004</v>
      </c>
      <c r="J245" t="n">
        <v>0.0857</v>
      </c>
      <c r="K245" t="n">
        <v>0.1894</v>
      </c>
      <c r="L245" t="inlineStr">
        <is>
          <t>The provided code is a Java class named `RetentionLeaseUtils` that appears to be part of an Elasticsearch software component. This class seems to provide utility functions related to retention and lease management in distributed systems.
Here's the summary: 
This class provides static methods for managing leases (a concept often used in distributed systems) and data retention</t>
        </is>
      </c>
      <c r="M245" t="n">
        <v>0.0043</v>
      </c>
      <c r="N245" t="n">
        <v>0.09229999999999999</v>
      </c>
      <c r="O245" t="n">
        <v>0.1563</v>
      </c>
    </row>
    <row r="246">
      <c r="A246" t="inlineStr">
        <is>
          <t>crate</t>
        </is>
      </c>
      <c r="B246" t="inlineStr">
        <is>
          <t>server/src/testFixtures/java/org/elasticsearch/index/store/StoreUtils.java</t>
        </is>
      </c>
      <c r="C246">
        <f>HYPERLINK("https://github.com/crate/crate/blob/master/server/src/testFixtures/java/org/elasticsearch/index/store/StoreUtils.java")</f>
        <v/>
      </c>
      <c r="D246" t="inlineStr">
        <is>
          <t>The provided code is licensed under Apache License Version 2.0 and contains Elasticsearch's store package related implementation. The license allows the use of this file except in compliance with the terms specified by the license. It also provides specific language governing permissions and limitations based on the Apache License.
Please note that without seeing the actual code it's difficult to provide a more detailed summary</t>
        </is>
      </c>
      <c r="E246" t="n">
        <v>0.0028</v>
      </c>
      <c r="F246" t="n">
        <v>0.0526</v>
      </c>
      <c r="G246" t="n">
        <v>0.1095</v>
      </c>
      <c r="H246" t="inlineStr">
        <is>
          <t>The provided code is a Java implementation of the Elasticsearch package org.elasticsearch.index.store that contains backend software components for storing data in an index. The complexity of this code seems to be O(n), where n represents the number of files or entries being processed by the function. This could potentially vary depending on how it's implemented and used within the larger system.</t>
        </is>
      </c>
      <c r="I246" t="n">
        <v>0.0039</v>
      </c>
      <c r="J246" t="n">
        <v>0.08110000000000001</v>
      </c>
      <c r="K246" t="n">
        <v>0.188</v>
      </c>
      <c r="L246" t="inlineStr">
        <is>
          <t>The provided code is a part of the Elasticsearch project's source code which deals with indexing and storage operations in an efficient manner. The main purpose of this module seems to be managing file system based indices (segmented).
It uses Apache Logging library for logging purposes. It has classes related to storing data on disk using various types of stores like NIOFSStore</t>
        </is>
      </c>
      <c r="M246" t="n">
        <v>0.0035</v>
      </c>
      <c r="N246" t="n">
        <v>0.0563</v>
      </c>
      <c r="O246" t="n">
        <v>0.1493</v>
      </c>
    </row>
    <row r="247">
      <c r="A247" t="inlineStr">
        <is>
          <t>crate</t>
        </is>
      </c>
      <c r="B247" t="inlineStr">
        <is>
          <t>server/src/testFixtures/java/org/elasticsearch/index/shard/IndexShardTestCase.java</t>
        </is>
      </c>
      <c r="C247">
        <f>HYPERLINK("https://github.com/crate/crate/blob/master/server/src/testFixtures/java/org/elasticsearch/index/shard/IndexShardTestCase.java")</f>
        <v/>
      </c>
      <c r="D247" t="inlineStr">
        <is>
          <t>The code is licensed under Apache License 2.0 and it states that you may not use this file except in compliance with the license. The software distributed under the license is provided as an "AS IS" BASIS without any warranties or conditions of any kind either expressed or implied. You can obtain a copy of the license at http://www.apache.org/licenses/</t>
        </is>
      </c>
      <c r="E247" t="n">
        <v>0.0037</v>
      </c>
      <c r="F247" t="n">
        <v>0.0556</v>
      </c>
      <c r="G247" t="n">
        <v>0.1527</v>
      </c>
      <c r="H247" t="inlineStr">
        <is>
          <t>The code provided is a simple function for addition of two numbers in Python. The functionality of the provided code can be summarized as follows:
```python
# Licensed to Crate.io GmbH ("Crate") under one or more contributor license agreements. 
# See the NOTICE file distributed with this work for additional information regarding copyright ownership.  
#</t>
        </is>
      </c>
      <c r="I247" t="n">
        <v>0.0033</v>
      </c>
      <c r="J247" t="n">
        <v>0.0328</v>
      </c>
      <c r="K247" t="n">
        <v>0.07870000000000001</v>
      </c>
      <c r="L247" t="inlineStr">
        <is>
          <t>* The code provided is licensed under the Apache License 2.0 and it's used by Crate.io GmbH ("Crate"). This license allows for commercial use but requires a copy of this license to be included in any derivative works or software that uses Crate as part of its functionality.
 * The main purpose of the given source code file appears to</t>
        </is>
      </c>
      <c r="M247" t="n">
        <v>0.004</v>
      </c>
      <c r="N247" t="n">
        <v>0.08699999999999999</v>
      </c>
      <c r="O247" t="n">
        <v>0.1515</v>
      </c>
    </row>
    <row r="248">
      <c r="A248" t="inlineStr">
        <is>
          <t>crate</t>
        </is>
      </c>
      <c r="B248" t="inlineStr">
        <is>
          <t>server/src/testFixtures/java/org/elasticsearch/index/shard/RestoreOnlyRepository.java</t>
        </is>
      </c>
      <c r="C248">
        <f>HYPERLINK("https://github.com/crate/crate/blob/master/server/src/testFixtures/java/org/elasticsearch/index/shard/RestoreOnlyRepository.java")</f>
        <v/>
      </c>
      <c r="D248" t="inlineStr">
        <is>
          <t># This code is licensed under the Apache License 2.0 and it's provided by Crate.io GmbH ("Crate"). The license can be found at http://www.apache.org/licenses/LICENSE-2.0. You may not use this file except in compliance with the License. Unless required by applicable law or agreed to in writing,</t>
        </is>
      </c>
      <c r="E248" t="n">
        <v>0.0048</v>
      </c>
      <c r="F248" t="n">
        <v>0.0635</v>
      </c>
      <c r="G248" t="n">
        <v>0.1271</v>
      </c>
      <c r="H248" t="inlineStr">
        <is>
          <t>The provided code is a function named "add", which takes two parameters (a and b), adds them together, and returns the result. The time complexity of this operation is O(1).
In the README file, it states that this repository contains backend software components implementing core algorithms. It also mentions about committing initial code base commit with size 1000 lines of</t>
        </is>
      </c>
      <c r="I248" t="n">
        <v>0.004</v>
      </c>
      <c r="J248" t="n">
        <v>0.1159</v>
      </c>
      <c r="K248" t="n">
        <v>0.323</v>
      </c>
      <c r="L248" t="inlineStr">
        <is>
          <t>The provided code is licensed under the Apache License 2.0 and it's a backend software component for Criteo (formerly known as Groupon). The purpose of this file seems to be related to licensing information or documentation about its usage terms. This code doesn't contain any executable logic but rather contains comments explaining how other commercial license agreements with Criteo</t>
        </is>
      </c>
      <c r="M248" t="n">
        <v>0.0041</v>
      </c>
      <c r="N248" t="n">
        <v>0.0571</v>
      </c>
      <c r="O248" t="n">
        <v>0.1145</v>
      </c>
    </row>
    <row r="249">
      <c r="A249" t="inlineStr">
        <is>
          <t>crate</t>
        </is>
      </c>
      <c r="B249" t="inlineStr">
        <is>
          <t>server/src/testFixtures/java/org/elasticsearch/index/translog/TestTranslog.java</t>
        </is>
      </c>
      <c r="C249">
        <f>HYPERLINK("https://github.com/crate/crate/blob/master/server/src/testFixtures/java/org/elasticsearch/index/translog/TestTranslog.java")</f>
        <v/>
      </c>
      <c r="D249" t="inlineStr">
        <is>
          <t>The code provided appears to be a license file for Elasticsearch, an open source distributed real-time search and analytics engine. It's important to note that the actual functionality of this code is not visible in the snippet given as it seems to be part of larger project files. The license details specify conditions under which users may use or distribute the software (Apache License 2.</t>
        </is>
      </c>
      <c r="E249" t="n">
        <v>0.0037</v>
      </c>
      <c r="F249" t="n">
        <v>0.0533</v>
      </c>
      <c r="G249" t="n">
        <v>0.146</v>
      </c>
      <c r="H249" t="inlineStr">
        <is>
          <t>The provided code is a Java class that contains the implementation of an Elasticsearch translog system for maintaining transaction logs and checkpointing in distributed systems. The complexity is O(n), where n represents the number of entries in the log or checkpoints. It's licensed under Apache License 2.0 which means you can use it freely but must include the original license and copyright notice with</t>
        </is>
      </c>
      <c r="I249" t="n">
        <v>0.0028</v>
      </c>
      <c r="J249" t="n">
        <v>0.0533</v>
      </c>
      <c r="K249" t="n">
        <v>0.1103</v>
      </c>
      <c r="L249" t="inlineStr">
        <is>
          <t>The provided code is part of the Elasticsearch project and its purpose is to manage transaction logs for indexing operations in an elastic search cluster. It uses a static import statement at the beginning which includes assertions and translog classes from different packages. The main class `TransLog` has two fields - `checkpointFile` (which represents the checkpoint file) and `position` (represent</t>
        </is>
      </c>
      <c r="M249" t="n">
        <v>0.003</v>
      </c>
      <c r="N249" t="n">
        <v>0.0299</v>
      </c>
      <c r="O249" t="n">
        <v>0.07580000000000001</v>
      </c>
    </row>
    <row r="250">
      <c r="A250" t="inlineStr">
        <is>
          <t>crate</t>
        </is>
      </c>
      <c r="B250" t="inlineStr">
        <is>
          <t>server/src/testFixtures/java/org/elasticsearch/index/translog/TranslogDeletionPolicies.java</t>
        </is>
      </c>
      <c r="C250">
        <f>HYPERLINK("https://github.com/crate/crate/blob/master/server/src/testFixtures/java/org/elasticsearch/index/translog/TranslogDeletionPolicies.java")</f>
        <v/>
      </c>
      <c r="D250" t="inlineStr">
        <is>
          <t>The code provided appears to be a Java class named TranslogDeletionPolicies that is part of the Elasticsearch project's index translog package. This class seems to contain static methods related to handling deletions in the transaction log (translog). The license at the top of the file states it is licensed under Apache License 2.0 and any use must comply with this</t>
        </is>
      </c>
      <c r="E250" t="n">
        <v>0.0036</v>
      </c>
      <c r="F250" t="n">
        <v>0.0571</v>
      </c>
      <c r="G250" t="n">
        <v>0.1136</v>
      </c>
      <c r="H250" t="inlineStr">
        <is>
          <t>The code provided is a Java class named TranslogDeletionPolicies that contains a static method called `apply` for applying deletion policies to the translog of an Elasticsearch index. The specifics about what this does are not clear from your example but it appears to be part of some kind of log management or garbage collection system for Elasticsearch.
In general</t>
        </is>
      </c>
      <c r="I250" t="n">
        <v>0</v>
      </c>
      <c r="J250" t="n">
        <v>0.0299</v>
      </c>
      <c r="K250" t="n">
        <v>0.07630000000000001</v>
      </c>
      <c r="L250" t="inlineStr">
        <is>
          <t>The provided code is a Java class named `TranslogDeletionPolicies` in the package `org.elasticsearch.index.translog` of an Elasticsearch project. This class seems to implement policies for deleting translog files based on certain conditions. 
Here's a concise summary of its functionality and purpose:
The TranslogDeletion</t>
        </is>
      </c>
      <c r="M250" t="n">
        <v>0.0103</v>
      </c>
      <c r="N250" t="n">
        <v>0.1481</v>
      </c>
      <c r="O250" t="n">
        <v>0.2769</v>
      </c>
    </row>
    <row r="251">
      <c r="A251" t="inlineStr">
        <is>
          <t>crate</t>
        </is>
      </c>
      <c r="B251" t="inlineStr">
        <is>
          <t>server/src/testFixtures/java/org/elasticsearch/common/io/PathUtilsForTesting.java</t>
        </is>
      </c>
      <c r="C251">
        <f>HYPERLINK("https://github.com/crate/crate/blob/master/server/src/testFixtures/java/org/elasticsearch/common/io/PathUtilsForTesting.java")</f>
        <v/>
      </c>
      <c r="D251" t="inlineStr">
        <is>
          <t>```plaintext
The provided code is licensed under Apache License 2.0 and it's a utility class for handling file paths in Elasticsearch project. The license allows you to use the code except when not compliant with the terms of the license agreement. It provides methods related to path manipulation such as resolving relative paths or normalizing them. This package may expose</t>
        </is>
      </c>
      <c r="E251" t="n">
        <v>0.0036</v>
      </c>
      <c r="F251" t="n">
        <v>0.0286</v>
      </c>
      <c r="G251" t="n">
        <v>0.1136</v>
      </c>
      <c r="H251" t="inlineStr">
        <is>
          <t>The provided code is a Java package that contains backend software components for Elasticsearch. It implements core algorithms used by the search engine. The file is licensed under Apache License 2.0 and includes comments explaining its usage and conditions of distribution.
It seems to be part of an open source project related to distributed storage systems or similar. The code appears to provide utilities for working with</t>
        </is>
      </c>
      <c r="I251" t="n">
        <v>0.0068</v>
      </c>
      <c r="J251" t="n">
        <v>0.1053</v>
      </c>
      <c r="K251" t="n">
        <v>0.2676</v>
      </c>
      <c r="L251" t="inlineStr">
        <is>
          <t>The provided code is part of the Elasticsearch project and it's a utility class for handling file paths in an elastic environment. The main purpose of this class seems to be providing some path utilities that are specific to CrateDB (a SQL database). 
It appears to have methods related to creating absolute or relative paths based on certain conditions within the Lucene framework. However</t>
        </is>
      </c>
      <c r="M251" t="n">
        <v>0.0028</v>
      </c>
      <c r="N251" t="n">
        <v>0.0274</v>
      </c>
      <c r="O251" t="n">
        <v>0.1103</v>
      </c>
    </row>
    <row r="252">
      <c r="A252" t="inlineStr">
        <is>
          <t>crate</t>
        </is>
      </c>
      <c r="B252" t="inlineStr">
        <is>
          <t>server/src/testFixtures/java/org/elasticsearch/common/lucene/store/ESIndexInputTestCase.java</t>
        </is>
      </c>
      <c r="C252">
        <f>HYPERLINK("https://github.com/crate/crate/blob/master/server/src/testFixtures/java/org/elasticsearch/common/lucene/store/ESIndexInputTestCase.java")</f>
        <v/>
      </c>
      <c r="D252" t="inlineStr">
        <is>
          <t>The code is licensed under Apache License 2.0 and it's provided by Crate.io GmbH ("Crate"). It allows you to use the file in compliance with this license agreement unless otherwise stated. You can obtain a copy of the license at http://www.apache.org/licenses/LICENSE-2.0 Unless required by applicable law or</t>
        </is>
      </c>
      <c r="E252" t="n">
        <v>0.0039</v>
      </c>
      <c r="F252" t="n">
        <v>0.0308</v>
      </c>
      <c r="G252" t="n">
        <v>0.1261</v>
      </c>
      <c r="H252" t="inlineStr">
        <is>
          <t>The function provided is a simple addition operation that takes two parameters (numbers), adds them together and returns the result. The complexity of this function is O(1). It's important to note that in terms of code size it consists of 30 lines as per initial commit.
In the README file, there are details about licensing information which states under Apache License Version</t>
        </is>
      </c>
      <c r="I252" t="n">
        <v>0.0029</v>
      </c>
      <c r="J252" t="n">
        <v>0.0556</v>
      </c>
      <c r="K252" t="n">
        <v>0.1119</v>
      </c>
      <c r="L252" t="inlineStr">
        <is>
          <t>The provided code is a Java application that appears to be part of the backend software components for an ecommerce platform known as "Crate". The main purpose of this code seems to be managing and executing transactions related to products in a database using Apache Kafka's Stream API. 
It takes product data (including details like name, price, quantity) from various sources</t>
        </is>
      </c>
      <c r="M252" t="n">
        <v>0.0036</v>
      </c>
      <c r="N252" t="n">
        <v>0.0571</v>
      </c>
      <c r="O252" t="n">
        <v>0.1504</v>
      </c>
    </row>
    <row r="253">
      <c r="A253" t="inlineStr">
        <is>
          <t>crate</t>
        </is>
      </c>
      <c r="B253" t="inlineStr">
        <is>
          <t>server/src/testFixtures/java/org/elasticsearch/common/breaker/TestCircuitBreaker.java</t>
        </is>
      </c>
      <c r="C253">
        <f>HYPERLINK("https://github.com/crate/crate/blob/master/server/src/testFixtures/java/org/elasticsearch/common/breaker/TestCircuitBreaker.java")</f>
        <v/>
      </c>
      <c r="D253" t="inlineStr">
        <is>
          <t>The provided code is a Java implementation of the TestCircuitBreaker class which extends NoopCircuitBreaker from Elasticsearch's common breaker package. This class seems to be used for managing circuit breaking in distributed systems or services where it prevents further requests when a certain threshold (like an error rate) has been reached. 
It uses AtomicBoolean should</t>
        </is>
      </c>
      <c r="E253" t="n">
        <v>0.0034</v>
      </c>
      <c r="F253" t="n">
        <v>0.0317</v>
      </c>
      <c r="G253" t="n">
        <v>0.119</v>
      </c>
      <c r="H253" t="inlineStr">
        <is>
          <t>The code you provided is a Java class that extends the NoopCircuitBreaker class from Elasticsearch's common breaker package. The purpose of this class seems to be implementing circuit breaking functionality for backend components in an application using Elasticsearch as its data storage system.
In terms of functionality, it appears to have two private fields (shouldBreak), and four methods -</t>
        </is>
      </c>
      <c r="I253" t="n">
        <v>0.0037</v>
      </c>
      <c r="J253" t="n">
        <v>0.1194</v>
      </c>
      <c r="K253" t="n">
        <v>0.1527</v>
      </c>
      <c r="L253" t="inlineStr">
        <is>
          <t>The provided code appears to be a Java implementation of the TestCircuitBreaker class in Elasticsearch's common breaker package. This class extends NoopCircuitBreaker and uses an AtomicBoolean for shouldBreak field. The purpose of this class is likely to control circuit breaking behavior based on certain conditions or thresholds. 
It takes no inputs but returns a</t>
        </is>
      </c>
      <c r="M253" t="n">
        <v>0.004</v>
      </c>
      <c r="N253" t="n">
        <v>0.0635</v>
      </c>
      <c r="O253" t="n">
        <v>0.1587</v>
      </c>
    </row>
    <row r="254">
      <c r="A254" t="inlineStr">
        <is>
          <t>crate</t>
        </is>
      </c>
      <c r="B254" t="inlineStr">
        <is>
          <t>server/src/testFixtures/java/org/elasticsearch/common/util/MockBigArrays.java</t>
        </is>
      </c>
      <c r="C254">
        <f>HYPERLINK("https://github.com/crate/crate/blob/master/server/src/testFixtures/java/org/elasticsearch/common/util/MockBigArrays.java")</f>
        <v/>
      </c>
      <c r="D254" t="inlineStr">
        <is>
          <t>The provided code is licensed under one or more contributor license agreements and distributed with Elasticsearch software. It's subject to the Apache License 2.0 which allows you to use it except in compliance with the terms of that license. You can obtain a copy at http://www.apache.org/licenses/LICENSE-2.0 Unless required by applicable law</t>
        </is>
      </c>
      <c r="E254" t="n">
        <v>0.0036</v>
      </c>
      <c r="F254" t="n">
        <v>0.0294</v>
      </c>
      <c r="G254" t="n">
        <v>0.0813</v>
      </c>
      <c r="H254" t="inlineStr">
        <is>
          <t>The provided code is a Java package that contains utility functions for working with collections in Elasticsearch, licensed under the Apache License 2.0. The main class `OrderedMap` implements an ordered map using a doubly linked list and hashmap to ensure efficient insertion, deletion, search operations while maintaining order of elements. This implementation has complexity O(N), where N represents number</t>
        </is>
      </c>
      <c r="I254" t="n">
        <v>0.0041</v>
      </c>
      <c r="J254" t="n">
        <v>0.058</v>
      </c>
      <c r="K254" t="n">
        <v>0.1527</v>
      </c>
      <c r="L254" t="inlineStr">
        <is>
          <t>The provided code is a Java implementation of the Weighted Random Sampling algorithm using an AssertJ assertion library for testing purposes. The main purpose of this class seems to be generating random samples from a given collection with weights associated with each element in the collection.
Here's a concise summary: 
This package contains a utility class `WeightedSampler` that uses weighted</t>
        </is>
      </c>
      <c r="M254" t="n">
        <v>0.003</v>
      </c>
      <c r="N254" t="n">
        <v>0.029</v>
      </c>
      <c r="O254" t="n">
        <v>0.1136</v>
      </c>
    </row>
    <row r="255">
      <c r="A255" t="inlineStr">
        <is>
          <t>crate</t>
        </is>
      </c>
      <c r="B255" t="inlineStr">
        <is>
          <t>server/src/testFixtures/java/org/elasticsearch/common/util/MockPageCacheRecycler.java</t>
        </is>
      </c>
      <c r="C255">
        <f>HYPERLINK("https://github.com/crate/crate/blob/master/server/src/testFixtures/java/org/elasticsearch/common/util/MockPageCacheRecycler.java")</f>
        <v/>
      </c>
      <c r="D255" t="inlineStr">
        <is>
          <t>```plaintext
The code is licensed under Apache License 2.0 and it's a Java package for common utility functions in Elasticsearch repository. The license grants users the right to use this file except when not compliant with the terms of the license. It provides information about copyright ownership and specific language governing permissions and limitations under the license. This code includes algorithms related to</t>
        </is>
      </c>
      <c r="E255" t="n">
        <v>0.0034</v>
      </c>
      <c r="F255" t="n">
        <v>0.0548</v>
      </c>
      <c r="G255" t="n">
        <v>0.1111</v>
      </c>
      <c r="H255" t="inlineStr">
        <is>
          <t>The provided code is a Java implementation of the Apache License 2.0 which provides guidelines for using and distributing software under certain conditions. It includes several sections such as "Licensing to Elasticsearch", "Disclaimers", and "Permissions and Limitations". The license permits anyone who obtains this file from http://www.apache.org/licenses/LICENSE-</t>
        </is>
      </c>
      <c r="I255" t="n">
        <v>0.0046</v>
      </c>
      <c r="J255" t="n">
        <v>0.06560000000000001</v>
      </c>
      <c r="K255" t="n">
        <v>0.2101</v>
      </c>
      <c r="L255" t="inlineStr">
        <is>
          <t>The provided code is a Java implementation of the `CircularSum` class in Elasticsearch's common utilities package. This class has two main methods - `sum()` and `validateInput()`. The purpose of this class appears to be calculating circular sums for arrays of integers or long values. 
Here are some key aspects about its functionality:
- It</t>
        </is>
      </c>
      <c r="M255" t="n">
        <v>0.004</v>
      </c>
      <c r="N255" t="n">
        <v>0.06560000000000001</v>
      </c>
      <c r="O255" t="n">
        <v>0.1587</v>
      </c>
    </row>
    <row r="256">
      <c r="A256" t="inlineStr">
        <is>
          <t>crate</t>
        </is>
      </c>
      <c r="B256" t="inlineStr">
        <is>
          <t>server/src/testFixtures/java/org/elasticsearch/common/util/concurrent/TestFutureUtils.java</t>
        </is>
      </c>
      <c r="C256">
        <f>HYPERLINK("https://github.com/crate/crate/blob/master/server/src/testFixtures/java/org/elasticsearch/common/util/concurrent/TestFutureUtils.java")</f>
        <v/>
      </c>
      <c r="D256" t="inlineStr">
        <is>
          <t>The code is licensed under Apache License 2.0 and it's provided by Crate.io GmbH ("Crate"). The license allows you to use the file for any purpose except in compliance with the terms of the license. You may obtain a copy of the license at http://www.apache.org/licenses/LICENSE-2.0 Unless required</t>
        </is>
      </c>
      <c r="E256" t="n">
        <v>0.0039</v>
      </c>
      <c r="F256" t="n">
        <v>0.0308</v>
      </c>
      <c r="G256" t="n">
        <v>0.08400000000000001</v>
      </c>
      <c r="H256" t="inlineStr">
        <is>
          <t>The provided code is a function named add that takes two parameters and returns their sum. It operates under the complexity of O(1), meaning it performs a constant number of operations regardless of input size. The license at the top of the file states that you may use this software subject to certain conditions outlined in the Apache License 2.0.
In summary, the purpose of this code</t>
        </is>
      </c>
      <c r="I256" t="n">
        <v>0.0032</v>
      </c>
      <c r="J256" t="n">
        <v>0.0519</v>
      </c>
      <c r="K256" t="n">
        <v>0.1439</v>
      </c>
      <c r="L256" t="inlineStr">
        <is>
          <t>The provided code is licensed under the Apache License 2.0 and it's a backend software component for Crate.io GmbH ("Crate"). The purpose of this code seems to be related to implementing core algorithms. It appears to handle data storage operations such as creating tables, inserting records into these tables, querying from them, etc. However, without context</t>
        </is>
      </c>
      <c r="M256" t="n">
        <v>0.0043</v>
      </c>
      <c r="N256" t="n">
        <v>0.0896</v>
      </c>
      <c r="O256" t="n">
        <v>0.2906</v>
      </c>
    </row>
    <row r="257">
      <c r="A257" t="inlineStr">
        <is>
          <t>crate</t>
        </is>
      </c>
      <c r="B257" t="inlineStr">
        <is>
          <t>server/src/testFixtures/java/org/elasticsearch/node/NodeMocksPlugin.java</t>
        </is>
      </c>
      <c r="C257">
        <f>HYPERLINK("https://github.com/crate/crate/blob/master/server/src/testFixtures/java/org/elasticsearch/node/NodeMocksPlugin.java")</f>
        <v/>
      </c>
      <c r="D257" t="inlineStr">
        <is>
          <t>The code provided is a Java class that extends the Elasticsearch Plugin class to create a mock plugin for testing purposes in a Node environment. The license at the top of this file states it's licensed under Apache License 2.0 and prohibits unauthorized copying or usage without compliance with the terms of the license. This code doesn't contain any functionality but serves as a</t>
        </is>
      </c>
      <c r="E257" t="n">
        <v>0.0037</v>
      </c>
      <c r="F257" t="n">
        <v>0.0533</v>
      </c>
      <c r="G257" t="n">
        <v>0.1103</v>
      </c>
      <c r="H257" t="inlineStr">
        <is>
          <t>The provided code is a Java class that extends the Elasticsearch Plugin class to create a mock node plugin for testing purposes. The purpose of this code is to provide an extension point for plugins in the Elasticsearch system. It doesn't actually implement any core algorithms but serves as a marker or placeholder for other developers who might want to add their own functionality later on.
In</t>
        </is>
      </c>
      <c r="I257" t="n">
        <v>0.0032</v>
      </c>
      <c r="J257" t="n">
        <v>0.1053</v>
      </c>
      <c r="K257" t="n">
        <v>0.1439</v>
      </c>
      <c r="L257" t="inlineStr">
        <is>
          <t>The given code is a Java class named NodeMocksPlugin that extends the Plugin class from Elasticsearch's plugins package. This plugin serves as a marker for mocking out Big Arrays in unit tests of other components within the system. The functionality and purpose of this code are not explicitly stated or documented, but it appears to be used primarily internally by developers during testing. It does</t>
        </is>
      </c>
      <c r="M257" t="n">
        <v>0.0066</v>
      </c>
      <c r="N257" t="n">
        <v>0.08110000000000001</v>
      </c>
      <c r="O257" t="n">
        <v>0.1865</v>
      </c>
    </row>
    <row r="258">
      <c r="A258" t="inlineStr">
        <is>
          <t>crate</t>
        </is>
      </c>
      <c r="B258" t="inlineStr">
        <is>
          <t>server/src/testFixtures/java/org/elasticsearch/node/RecoverySettingsChunkSizePlugin.java</t>
        </is>
      </c>
      <c r="C258">
        <f>HYPERLINK("https://github.com/crate/crate/blob/master/server/src/testFixtures/java/org/elasticsearch/node/RecoverySettingsChunkSizePlugin.java")</f>
        <v/>
      </c>
      <c r="D258" t="inlineStr">
        <is>
          <t>The code provided is a Java class for setting up an Elasticsearch node with various configurations and settings. It's licensed under Apache License 2.0 which requires compliance in any derivative works. The license grants the user permission to use this file as long as they comply with the terms of the license agreement at http://www.apache.org/licenses/LICENSE-2.0</t>
        </is>
      </c>
      <c r="E258" t="n">
        <v>0.0033</v>
      </c>
      <c r="F258" t="n">
        <v>0.0278</v>
      </c>
      <c r="G258" t="n">
        <v>0.1181</v>
      </c>
      <c r="H258" t="inlineStr">
        <is>
          <t>The provided code is a Java class that defines an Elasticsearch node and its settings. The license at the top of the file states it's licensed under Apache License 2.0 (see http://www.apache.org/licenses/LICENSE-2.0). This software component contains backend software components for managing nodes in an elastic search cluster. It implements core algorithms used by</t>
        </is>
      </c>
      <c r="I258" t="n">
        <v>0.0109</v>
      </c>
      <c r="J258" t="n">
        <v>0.1143</v>
      </c>
      <c r="K258" t="n">
        <v>0.3411</v>
      </c>
      <c r="L258" t="inlineStr">
        <is>
          <t>The provided code is a part of the Elasticsearch project and it's related to node settings in Elasticsearch. The main purpose of this class seems to be managing various aspects such as memory usage limits (`max_memory`) or disk I/O throttling parameters (`disk.throttle.read.bps`).
It has methods for</t>
        </is>
      </c>
      <c r="M258" t="n">
        <v>0.004</v>
      </c>
      <c r="N258" t="n">
        <v>0.0333</v>
      </c>
      <c r="O258" t="n">
        <v>0.1271</v>
      </c>
    </row>
    <row r="259">
      <c r="A259" t="inlineStr">
        <is>
          <t>crate</t>
        </is>
      </c>
      <c r="B259" t="inlineStr">
        <is>
          <t>server/src/testFixtures/java/org/elasticsearch/node/MockNode.java</t>
        </is>
      </c>
      <c r="C259">
        <f>HYPERLINK("https://github.com/crate/crate/blob/master/server/src/testFixtures/java/org/elasticsearch/node/MockNode.java")</f>
        <v/>
      </c>
      <c r="D259" t="inlineStr">
        <is>
          <t>The code provided is a Java class for Elasticsearch node client setup and management. It's licensed under Apache License 2.0 which requires adherence to certain conditions such as not using the software except in compliance with the license terms. The specific language governing permissions and limitations of this license can be found at http://www.apache.org/licenses/LICENSE-2.0</t>
        </is>
      </c>
      <c r="E259" t="n">
        <v>0.004</v>
      </c>
      <c r="F259" t="n">
        <v>0.0563</v>
      </c>
      <c r="G259" t="n">
        <v>0.1587</v>
      </c>
      <c r="H259" t="inlineStr">
        <is>
          <t>The provided code is a Java class that represents an Elasticsearch node client and contains methods for various tasks such as indexing documents, executing queries etc. It's licensed under the Apache License 2.0 which requires you to include copyright notices and license terms in any derivative works. The specific language governing permissions and limitations are governed by this license.
In summary, it provides</t>
        </is>
      </c>
      <c r="I259" t="n">
        <v>0.0029</v>
      </c>
      <c r="J259" t="n">
        <v>0.0274</v>
      </c>
      <c r="K259" t="n">
        <v>0.0741</v>
      </c>
      <c r="L259" t="inlineStr">
        <is>
          <t>ThegivenJava code is for setting up a node in Elasticsearch and configuring it with certain settings. The main purpose of the code seems to be creating an instance of NodeSettings which includes configuration details such as paths to data files, JVM options etc. It also provides methods like addCommandLinePropertySource() that allow adding property sources from command line arguments. This setup process allows customization</t>
        </is>
      </c>
      <c r="M259" t="n">
        <v>0.0034</v>
      </c>
      <c r="N259" t="n">
        <v>0.0282</v>
      </c>
      <c r="O259" t="n">
        <v>0.0741</v>
      </c>
    </row>
    <row r="260">
      <c r="A260" t="inlineStr">
        <is>
          <t>crate</t>
        </is>
      </c>
      <c r="B260" t="inlineStr">
        <is>
          <t>server/src/testFixtures/java/org/elasticsearch/test/RandomObjects.java</t>
        </is>
      </c>
      <c r="C260">
        <f>HYPERLINK("https://github.com/crate/crate/blob/master/server/src/testFixtures/java/org/elasticsearch/test/RandomObjects.java")</f>
        <v/>
      </c>
      <c r="D260" t="inlineStr">
        <is>
          <t>The code provided is licensed under Apache License 2.0 and it's a part of Elasticsearch project which contains backend software components for complex algorithms implementation. The license specifies that the use of this file must comply with certain conditions mentioned in detail at http://www.apache.org/licenses/LICENSE-2.0 unless otherwise agreed to by applicable law or agreed upon in writing</t>
        </is>
      </c>
      <c r="E260" t="n">
        <v>0.0039</v>
      </c>
      <c r="F260" t="n">
        <v>0.0548</v>
      </c>
      <c r="G260" t="n">
        <v>0.1563</v>
      </c>
      <c r="H260" t="inlineStr">
        <is>
          <t>The code provided is a simple addition function in Java named "add". It takes two integers as input and returns their sum. The time complexity of this operation is O(1), meaning it always executes the same number of steps regardless of the size of the inputs.
Here's the summary: 
```Java
public class Main {
    public static int add(int</t>
        </is>
      </c>
      <c r="I260" t="n">
        <v>0.0031</v>
      </c>
      <c r="J260" t="n">
        <v>0.0588</v>
      </c>
      <c r="K260" t="n">
        <v>0.1154</v>
      </c>
      <c r="L260" t="inlineStr">
        <is>
          <t>The provided code is a Java class that tests the performance of an Elasticsearch cluster by generating random search queries and measuring their response times. 
Here's a concise summary: The `PerfTest` class in the package org.elasticsearch.test uses Apache License version 2.0 to distribute itself under one or more contributors license agreements. It generates random search</t>
        </is>
      </c>
      <c r="M260" t="n">
        <v>0.0033</v>
      </c>
      <c r="N260" t="n">
        <v>0.0299</v>
      </c>
      <c r="O260" t="n">
        <v>0.07870000000000001</v>
      </c>
    </row>
    <row r="261">
      <c r="A261" t="inlineStr">
        <is>
          <t>crate</t>
        </is>
      </c>
      <c r="B261" t="inlineStr">
        <is>
          <t>server/src/testFixtures/java/org/elasticsearch/test/FieldMaskingReader.java</t>
        </is>
      </c>
      <c r="C261">
        <f>HYPERLINK("https://github.com/crate/crate/blob/master/server/src/testFixtures/java/org/elasticsearch/test/FieldMaskingReader.java")</f>
        <v/>
      </c>
      <c r="D261" t="inlineStr">
        <is>
          <t>The code provided is licensed under Apache License 2.0 and it's a test class for Elasticsearch. It uses Lucene library to perform indexing operations on documents. The license allows the user to use this file except in compliance with the License which can be found at http://www.apache.org/licenses/LICENSE-2.0 Unless required by applicable law or</t>
        </is>
      </c>
      <c r="E261" t="n">
        <v>0.0035</v>
      </c>
      <c r="F261" t="n">
        <v>0.0286</v>
      </c>
      <c r="G261" t="n">
        <v>0.12</v>
      </c>
      <c r="H261" t="inlineStr">
        <is>
          <t>The code provided is a Java implementation of the Apache Lucene library's FieldFilterLeafReader class. This class extends LeafReader and provides functionality to filter fields from documents in an index during search queries. The complexity of this operation can be considered as O(n), where n represents the number of terms (fields) present in each document.
In summary, it allows for</t>
        </is>
      </c>
      <c r="I261" t="n">
        <v>0.0041</v>
      </c>
      <c r="J261" t="n">
        <v>0.058</v>
      </c>
      <c r="K261" t="n">
        <v>0.1527</v>
      </c>
      <c r="L261" t="inlineStr">
        <is>
          <t>The provided code is a Java implementation of Elasticsearch's test package that uses Apache Lucene for indexing and searching operations in an efficient manner. 
It starts by importing necessary classes from the org.apache.lucene.index and org.apache.lucene.tests.index packages. The main class `TestIndexWriter` creates an index writer object to write</t>
        </is>
      </c>
      <c r="M261" t="n">
        <v>0.0039</v>
      </c>
      <c r="N261" t="n">
        <v>0.0635</v>
      </c>
      <c r="O261" t="n">
        <v>0.1261</v>
      </c>
    </row>
    <row r="262">
      <c r="A262" t="inlineStr">
        <is>
          <t>crate</t>
        </is>
      </c>
      <c r="B262" t="inlineStr">
        <is>
          <t>server/src/testFixtures/java/org/elasticsearch/test/NodeConfigurationSource.java</t>
        </is>
      </c>
      <c r="C262">
        <f>HYPERLINK("https://github.com/crate/crate/blob/master/server/src/testFixtures/java/org/elasticsearch/test/NodeConfigurationSource.java")</f>
        <v/>
      </c>
      <c r="D262" t="inlineStr">
        <is>
          <t>The code provided is a Java class that extends the Plugin class from Elasticsearch's plugin framework. It sets up and configures an instance of Elasticsearch with certain settings. The license details at the top indicate it is licensed under Apache License Version 2.0 which allows for use in compliance or non-compliance scenarios as specified by the terms outlined in the link provided.</t>
        </is>
      </c>
      <c r="E262" t="n">
        <v>0.0029</v>
      </c>
      <c r="F262" t="n">
        <v>0.0274</v>
      </c>
      <c r="G262" t="n">
        <v>0.0746</v>
      </c>
      <c r="H262" t="inlineStr">
        <is>
          <t>The code you provided is a simple addition function in Java named `add` which takes two integers as input and returns their sum. The complexity of this operation is O(1), meaning it always executes the same number of steps regardless of the size of the inputs. This function could be used to add numbers together in any application that requires such functionality.
In terms of licensing,</t>
        </is>
      </c>
      <c r="I262" t="n">
        <v>0.0033</v>
      </c>
      <c r="J262" t="n">
        <v>0.0533</v>
      </c>
      <c r="K262" t="n">
        <v>0.1087</v>
      </c>
      <c r="L262" t="inlineStr">
        <is>
          <t>The provided code is a Java implementation of an Elasticsearch plugin. The purpose of this code seems to be the creation and management of test cases for Elasticsearch plugins using JUnit framework.
It sets up settings for the tests and loads the plugin from a specified path in the file system. It also provides methods for running all registered tests or specific ones based on their names.</t>
        </is>
      </c>
      <c r="M262" t="n">
        <v>0.0027</v>
      </c>
      <c r="N262" t="n">
        <v>0.0533</v>
      </c>
      <c r="O262" t="n">
        <v>0.1439</v>
      </c>
    </row>
    <row r="263">
      <c r="A263" t="inlineStr">
        <is>
          <t>crate</t>
        </is>
      </c>
      <c r="B263" t="inlineStr">
        <is>
          <t>server/src/testFixtures/java/org/elasticsearch/test/DiffableTestUtils.java</t>
        </is>
      </c>
      <c r="C263">
        <f>HYPERLINK("https://github.com/crate/crate/blob/master/server/src/testFixtures/java/org/elasticsearch/test/DiffableTestUtils.java")</f>
        <v/>
      </c>
      <c r="D263" t="inlineStr">
        <is>
          <t>The provided code is licensed under Apache License 2.0 and it's a test class for Elasticsearch that tests its wire protocol implementation. The license allows you to use the file in compliance with the terms of the license but requires attribution. This code contains static import statements for AssertJ assertions which are used for testing purposes. It also has an exception clause stating that any software distributed</t>
        </is>
      </c>
      <c r="E263" t="n">
        <v>0.0036</v>
      </c>
      <c r="F263" t="n">
        <v>0.0519</v>
      </c>
      <c r="G263" t="n">
        <v>0.1439</v>
      </c>
      <c r="H263" t="inlineStr">
        <is>
          <t>The provided code is a Java implementation of the addition operation in Elasticsearch, licensed under Apache License 2.0. It defines an add function that takes two numbers as input and returns their sum. The complexity of this function appears to be O(1), meaning it performs a constant number of operations regardless of the size of the inputs.
Here's the summary for your reference</t>
        </is>
      </c>
      <c r="I263" t="n">
        <v>0.0029</v>
      </c>
      <c r="J263" t="n">
        <v>0.08110000000000001</v>
      </c>
      <c r="K263" t="n">
        <v>0.1481</v>
      </c>
      <c r="L263" t="inlineStr">
        <is>
          <t>The provided code is a test case for an Elasticsearch application using the AssertJ library for assertions and JUnit as the testing framework. The main purpose of this code is to verify that serialization (wire format) works correctly in Elasticsearch by comparing the original object with its deserialized version. 
It takes input data from an abstract class `AbstractWireTestCase</t>
        </is>
      </c>
      <c r="M263" t="n">
        <v>0.0031</v>
      </c>
      <c r="N263" t="n">
        <v>0.0303</v>
      </c>
      <c r="O263" t="n">
        <v>0.1154</v>
      </c>
    </row>
    <row r="264">
      <c r="A264" t="inlineStr">
        <is>
          <t>crate</t>
        </is>
      </c>
      <c r="B264" t="inlineStr">
        <is>
          <t>server/src/testFixtures/java/org/elasticsearch/test/InternalSettingsPlugin.java</t>
        </is>
      </c>
      <c r="C264">
        <f>HYPERLINK("https://github.com/crate/crate/blob/master/server/src/testFixtures/java/org/elasticsearch/test/InternalSettingsPlugin.java")</f>
        <v/>
      </c>
      <c r="D264" t="inlineStr">
        <is>
          <t>The code provided is licensed under Apache License 2.0 and contains a package for testing Elasticsearch components using core algorithms implemented in Java. It defines classes related to setting configurations of an elastic search instance which are used during the tests. The license specifies that any modifications or uses must comply with its terms.
The code also includes imports from java.util packages such as Arrays</t>
        </is>
      </c>
      <c r="E264" t="n">
        <v>0.0033</v>
      </c>
      <c r="F264" t="n">
        <v>0.0267</v>
      </c>
      <c r="G264" t="n">
        <v>0.146</v>
      </c>
      <c r="H264" t="inlineStr">
        <is>
          <t>The code you provided is a Java function for adding two numbers (integers or floats). It's licensed under the Apache License 2.0 and contains comments explaining its usage and license details. The complexity of this operation is O(1), meaning it takes constant time regardless of input size.
Here are some key points from your README file:
- This repository</t>
        </is>
      </c>
      <c r="I264" t="n">
        <v>0.0037</v>
      </c>
      <c r="J264" t="n">
        <v>0.058</v>
      </c>
      <c r="K264" t="n">
        <v>0.1145</v>
      </c>
      <c r="L264" t="inlineStr">
        <is>
          <t>The provided code is a Java class that tests Elasticsearch's core algorithms using Junit testing framework. The main purpose of this code seems to be the execution and verification of various search queries on an Elasticsearch server with expected results. 
It uses several classes from `org.elasticsearch` package for interacting with Elasticsearch like `Settings`, `TestRule`</t>
        </is>
      </c>
      <c r="M264" t="n">
        <v>0.004</v>
      </c>
      <c r="N264" t="n">
        <v>0.0625</v>
      </c>
      <c r="O264" t="n">
        <v>0.1587</v>
      </c>
    </row>
    <row r="265">
      <c r="A265" t="inlineStr">
        <is>
          <t>crate</t>
        </is>
      </c>
      <c r="B265" t="inlineStr">
        <is>
          <t>server/src/testFixtures/java/org/elasticsearch/test/BackgroundIndexer.java</t>
        </is>
      </c>
      <c r="C265">
        <f>HYPERLINK("https://github.com/crate/crate/blob/master/server/src/testFixtures/java/org/elasticsearch/test/BackgroundIndexer.java")</f>
        <v/>
      </c>
      <c r="D265" t="inlineStr">
        <is>
          <t>The provided code is licensed under Apache License 2.0 and it's distributed with this work for additional information regarding copyright ownership. The license allows you to use the file except in compliance with the License which can be obtained at http://www.apache.org/licenses/LICENSE-2.0 Unless required by applicable law or agreed to in writing, software distributed under the License is</t>
        </is>
      </c>
      <c r="E265" t="n">
        <v>0.0038</v>
      </c>
      <c r="F265" t="n">
        <v>0.0541</v>
      </c>
      <c r="G265" t="n">
        <v>0.155</v>
      </c>
      <c r="H265" t="inlineStr">
        <is>
          <t>The provided code is a Java program that connects to an Elasticsearch database and performs operations on it using JDBC (Java Database Connectivity). The license at the top of the file states that this software is licensed under Apache License 2.0 which means you can use, modify or distribute this work as long as you comply with its terms.
In summary, there are two</t>
        </is>
      </c>
      <c r="I265" t="n">
        <v>0.0034</v>
      </c>
      <c r="J265" t="n">
        <v>0.0548</v>
      </c>
      <c r="K265" t="n">
        <v>0.1471</v>
      </c>
      <c r="L265" t="inlineStr">
        <is>
          <t>The provided code is a Java class that tests the functionality of an Elasticsearch database connection and data insertion using JDBC (Java Database Connectivity) API. 
Here's a concise summary: This program connects to an Elasticsearch instance via JDBC, creates a table named 'table_name', executes SQL queries for various operations like select, update</t>
        </is>
      </c>
      <c r="M265" t="n">
        <v>0.0046</v>
      </c>
      <c r="N265" t="n">
        <v>0.0645</v>
      </c>
      <c r="O265" t="n">
        <v>0.121</v>
      </c>
    </row>
    <row r="266">
      <c r="A266" t="inlineStr">
        <is>
          <t>crate</t>
        </is>
      </c>
      <c r="B266" t="inlineStr">
        <is>
          <t>server/src/testFixtures/java/org/elasticsearch/test/DummyShardLock.java</t>
        </is>
      </c>
      <c r="C266">
        <f>HYPERLINK("https://github.com/crate/crate/blob/master/server/src/testFixtures/java/org/elasticsearch/test/DummyShardLock.java")</f>
        <v/>
      </c>
      <c r="D266" t="inlineStr">
        <is>
          <t>The code provided is a Java class named DummyShardLock that extends the ShardLock abstract class from Elasticsearch's environment (env) package. This class doesn't do anything in terms of functionality as it only exists for testing purposes and serves no practical purpose other than to be used as an example or template for creating custom shard locks. The complexity of this function is O</t>
        </is>
      </c>
      <c r="E266" t="n">
        <v>0.0038</v>
      </c>
      <c r="F266" t="n">
        <v>0.0822</v>
      </c>
      <c r="G266" t="n">
        <v>0.1111</v>
      </c>
      <c r="H266" t="inlineStr">
        <is>
          <t>The provided code is a Java class named `DummyShardLockextended` that extends the abstract class `ShardLock` from Elasticsearch's environment package. This class appears to be used for testing purposes only and does not actually lock anything or do any meaningful work when called upon. The license at the top of this file states under Apache License 2.0 which means</t>
        </is>
      </c>
      <c r="I266" t="n">
        <v>0.0037</v>
      </c>
      <c r="J266" t="n">
        <v>0.0588</v>
      </c>
      <c r="K266" t="n">
        <v>0.1154</v>
      </c>
      <c r="L266" t="inlineStr">
        <is>
          <t>The provided code is a Java class named `DummyShardLockextended` that extends the abstract base class `ShardLock` from Elasticsearch's environment (`org.elasticsearch.env`) package. The purpose of this class seems to be for testing purposes only as it does nothing in its methods related to locking or unlocking shards. It takes no</t>
        </is>
      </c>
      <c r="M266" t="n">
        <v>0</v>
      </c>
      <c r="N266" t="n">
        <v>0.0333</v>
      </c>
      <c r="O266" t="n">
        <v>0.0413</v>
      </c>
    </row>
    <row r="267">
      <c r="A267" t="inlineStr">
        <is>
          <t>crate</t>
        </is>
      </c>
      <c r="B267" t="inlineStr">
        <is>
          <t>server/src/testFixtures/java/org/elasticsearch/test/MockLogAppender.java</t>
        </is>
      </c>
      <c r="C267">
        <f>HYPERLINK("https://github.com/crate/crate/blob/master/server/src/testFixtures/java/org/elasticsearch/test/MockLogAppender.java")</f>
        <v/>
      </c>
      <c r="D267" t="inlineStr">
        <is>
          <t>The provided code is licensed under Apache License 2.0 and it's distributed on an "AS IS" BASIS without any warranties or conditions of any kind either expressed or implied. The specific language governing permissions and limitations under the license are also stated in detail at http://www.apache.org/licenses/LICENSE-2.0.
It contains a</t>
        </is>
      </c>
      <c r="E267" t="n">
        <v>0.0037</v>
      </c>
      <c r="F267" t="n">
        <v>0.0303</v>
      </c>
      <c r="G267" t="n">
        <v>0.0413</v>
      </c>
      <c r="H267" t="inlineStr">
        <is>
          <t>The provided code is a Java method for addition of two numbers (`add()`). It takes in two parameters `a` and `b` and returns their sum. The time complexity of this function is O(1), which means it executes in constant time regardless of the size of input data.
Here's a concise summary without repeating any part of the code:</t>
        </is>
      </c>
      <c r="I267" t="n">
        <v>0.0031</v>
      </c>
      <c r="J267" t="n">
        <v>0.0588</v>
      </c>
      <c r="K267" t="n">
        <v>0.1154</v>
      </c>
      <c r="L267" t="inlineStr">
        <is>
          <t>The provided code is a Java implementation of an Elasticsearch test class named `TestExample` under the package `org.elasticsearch.test`. The purpose of this class seems to be testing various functionalities related to Elasticsearch such as searching for documents in an index based on regular expressions and validating certain conditions using AssertJ assertions library.
Here's a conc</t>
        </is>
      </c>
      <c r="M267" t="n">
        <v>0.0033</v>
      </c>
      <c r="N267" t="n">
        <v>0.09089999999999999</v>
      </c>
      <c r="O267" t="n">
        <v>0.1575</v>
      </c>
    </row>
    <row r="268">
      <c r="A268" t="inlineStr">
        <is>
          <t>crate</t>
        </is>
      </c>
      <c r="B268" t="inlineStr">
        <is>
          <t>server/src/testFixtures/java/org/elasticsearch/test/AbstractDiffableWireSerializationTestCase.java</t>
        </is>
      </c>
      <c r="C268">
        <f>HYPERLINK("https://github.com/crate/crate/blob/master/server/src/testFixtures/java/org/elasticsearch/test/AbstractDiffableWireSerializationTestCase.java")</f>
        <v/>
      </c>
      <c r="D268" t="inlineStr">
        <is>
          <t>The code provided is licensed under Apache License 2.0 and it's a part of Elasticsearch project. It contains the implementation of core algorithms related to clustering in an open source search engine. The license grants you permission to use this file except when not compliant with the terms specified by the license. You can obtain a copy of the license at http://www.apache.org/</t>
        </is>
      </c>
      <c r="E268" t="n">
        <v>0.0035</v>
      </c>
      <c r="F268" t="n">
        <v>0.0533</v>
      </c>
      <c r="G268" t="n">
        <v>0.1866</v>
      </c>
      <c r="H268" t="inlineStr">
        <is>
          <t>The provided code is a Java class that appears to be part of an Elasticsearch project and implements the core algorithms for handling data serialization in Elasticsearch. The license at the top of the file states that it's licensed under Apache License 2.0 which means you can use this code in any way as long as you comply with its terms.
It seems like there</t>
        </is>
      </c>
      <c r="I268" t="n">
        <v>0.0037</v>
      </c>
      <c r="J268" t="n">
        <v>0.0533</v>
      </c>
      <c r="K268" t="n">
        <v>0.1825</v>
      </c>
      <c r="L268" t="inlineStr">
        <is>
          <t>ThegivenJavasourcecodeinthespecifiedfileappearsstobeabouttestingdifferencesbetweenclustersusingElasticSearch'sbuiltindiffingutility.Itdoessofthreeprimarysteps:Firstly,itinstantiatesaDiffobjectpassingsourcedifferenceandtargetdifferencetoinitializeit.Secondly,itcallsaexecute()methodondifferentypes</t>
        </is>
      </c>
      <c r="M268" t="n">
        <v>0</v>
      </c>
      <c r="N268" t="n">
        <v>0</v>
      </c>
      <c r="O268" t="n">
        <v>0</v>
      </c>
    </row>
    <row r="269">
      <c r="A269" t="inlineStr">
        <is>
          <t>crate</t>
        </is>
      </c>
      <c r="B269" t="inlineStr">
        <is>
          <t>server/src/testFixtures/java/org/elasticsearch/test/PosixPermissionsResetter.java</t>
        </is>
      </c>
      <c r="C269">
        <f>HYPERLINK("https://github.com/crate/crate/blob/master/server/src/testFixtures/java/org/elasticsearch/test/PosixPermissionsResetter.java")</f>
        <v/>
      </c>
      <c r="D269" t="inlineStr">
        <is>
          <t>The code is licensed under Apache License 2.0 and it's a test class for Elasticsearch software components. The license allows anyone to use the file except in compliance with the license terms. It provides specific language governing permissions and limitations under the license. This repository contains backend algorithms implementations of core algorithms which are distributed on an "AS IS" BASIS without warranties or conditions</t>
        </is>
      </c>
      <c r="E269" t="n">
        <v>0.004</v>
      </c>
      <c r="F269" t="n">
        <v>0.08110000000000001</v>
      </c>
      <c r="G269" t="n">
        <v>0.2206</v>
      </c>
      <c r="H269" t="inlineStr">
        <is>
          <t>The provided code is a Java implementation of the addition function for two numbers using Apache License 2.0. The functionality of this code can be summarized as follows: This software package contains backend components which implement core algorithms used in computer science and programming. It's licensed under Apache License Version 2.0, meaning it's free to use but you must abide by its terms and</t>
        </is>
      </c>
      <c r="I269" t="n">
        <v>0.0076</v>
      </c>
      <c r="J269" t="n">
        <v>0.1316</v>
      </c>
      <c r="K269" t="n">
        <v>0.3758</v>
      </c>
      <c r="L269" t="inlineStr">
        <is>
          <t>The provided code is a Java class that tests Elasticsearch's functionality using the AssertJ library for assertions and testing purposes. The main purpose of this test suite appears to be verifying various aspects related to file operations in conjunction with Elasticsearch such as reading files from disk, checking their attributes (like permissions) etc. 
It uses PosixSummary which represents an aggreg</t>
        </is>
      </c>
      <c r="M269" t="n">
        <v>0.0036</v>
      </c>
      <c r="N269" t="n">
        <v>0.058</v>
      </c>
      <c r="O269" t="n">
        <v>0.1136</v>
      </c>
    </row>
    <row r="270">
      <c r="A270" t="inlineStr">
        <is>
          <t>crate</t>
        </is>
      </c>
      <c r="B270" t="inlineStr">
        <is>
          <t>server/src/testFixtures/java/org/elasticsearch/test/TestCustomMetadata.java</t>
        </is>
      </c>
      <c r="C270">
        <f>HYPERLINK("https://github.com/crate/crate/blob/master/server/src/testFixtures/java/org/elasticsearch/test/TestCustomMetadata.java")</f>
        <v/>
      </c>
      <c r="D270" t="inlineStr">
        <is>
          <t>The code provided is a Java class for testing functionality in Elasticsearch under one or more contributor license agreements (CLA). It's licensed under the Apache License, Version 2.0 and can be used except in compliance with that license. The specific language governing permissions and limitations are detailed at http://www.apache.org/licenses/LICENSE-2.0 . This file</t>
        </is>
      </c>
      <c r="E270" t="n">
        <v>0.0046</v>
      </c>
      <c r="F270" t="n">
        <v>0.0588</v>
      </c>
      <c r="G270" t="n">
        <v>0.121</v>
      </c>
      <c r="H270" t="inlineStr">
        <is>
          <t>The code you provided is a Java package that contains backend software components for Elasticsearch. It implements core algorithms and provides functionalities related to parsing exceptions in the cluster of Elasticsearch. The license under which this work can be redistributed is Apache License Version 2.0. This file may not be used except in compliance with the License. You can obtain a copy of the License</t>
        </is>
      </c>
      <c r="I270" t="n">
        <v>0.0074</v>
      </c>
      <c r="J270" t="n">
        <v>0.1081</v>
      </c>
      <c r="K270" t="n">
        <v>0.3112</v>
      </c>
      <c r="L270" t="inlineStr">
        <is>
          <t>The provided code is a Java implementation of a test class for Elasticsearch. This class primarily tests the functionality and performance of various parts of the Elasticsearch system by simulating different scenarios using unit testing techniques.
The main purpose of this code seems to be to validate if certain functionalities in Elasticsearch are working as expected after modifications or updates have been made. It does so</t>
        </is>
      </c>
      <c r="M270" t="n">
        <v>0.0065</v>
      </c>
      <c r="N270" t="n">
        <v>0.08110000000000001</v>
      </c>
      <c r="O270" t="n">
        <v>0.2287</v>
      </c>
    </row>
    <row r="271">
      <c r="A271" t="inlineStr">
        <is>
          <t>crate</t>
        </is>
      </c>
      <c r="B271" t="inlineStr">
        <is>
          <t>server/src/testFixtures/java/org/elasticsearch/test/VersionUtils.java</t>
        </is>
      </c>
      <c r="C271">
        <f>HYPERLINK("https://github.com/crate/crate/blob/master/server/src/testFixtures/java/org/elasticsearch/test/VersionUtils.java")</f>
        <v/>
      </c>
      <c r="D271" t="inlineStr">
        <is>
          <t>The code is licensed under Apache License 2.0 and distributed with the notice file for additional information regarding copyright ownership. It may not be used except in compliance with the license. The software can be obtained at http://www.apache.org/licenses/LICENSE-2.0 Unless required by applicable law or agreed to in writing, software distributed under the License is distributed on an "</t>
        </is>
      </c>
      <c r="E271" t="n">
        <v>0.0037</v>
      </c>
      <c r="F271" t="n">
        <v>0.0274</v>
      </c>
      <c r="G271" t="n">
        <v>0.1154</v>
      </c>
      <c r="H271" t="inlineStr">
        <is>
          <t>The provided code is a Java package that contains backend software components for Elasticsearch. The main component of interest appears to be the `Test` class in this package which implements core algorithms. This includes sorting and searching operations using various data structures like arrays or lists. However, without specific details about what functionality it provides, I can only provide an overall summary based on common practices seen in such packages</t>
        </is>
      </c>
      <c r="I271" t="n">
        <v>0.0072</v>
      </c>
      <c r="J271" t="n">
        <v>0.1026</v>
      </c>
      <c r="K271" t="n">
        <v>0.3003</v>
      </c>
      <c r="L271" t="inlineStr">
        <is>
          <t>ThegivenJava code is a part of the ElasticSearch software's backend components and it contains various functionalities for testing purposes. It uses core algorithms to generate random data and perform operations on this generated data using Java Stream API. The main purpose of these codes seems to be generating large amounts of data randomly in order to test performance or stability of an application running against such load. Code complexity appears</t>
        </is>
      </c>
      <c r="M271" t="n">
        <v>0.0031</v>
      </c>
      <c r="N271" t="n">
        <v>0.0759</v>
      </c>
      <c r="O271" t="n">
        <v>0.1408</v>
      </c>
    </row>
    <row r="272">
      <c r="A272" t="inlineStr">
        <is>
          <t>crate</t>
        </is>
      </c>
      <c r="B272" t="inlineStr">
        <is>
          <t>server/src/testFixtures/java/org/elasticsearch/test/AbstractWireTestCase.java</t>
        </is>
      </c>
      <c r="C272">
        <f>HYPERLINK("https://github.com/crate/crate/blob/master/server/src/testFixtures/java/org/elasticsearch/test/AbstractWireTestCase.java")</f>
        <v/>
      </c>
      <c r="D272" t="inlineStr">
        <is>
          <t>&lt;!-- This code is licensed under one or more contributor license agreements. See the NOTICE file distributed with this work for additional information regarding copyright ownership. Elasticsearch licenses this file to you under the Apache License, Version 2.0 (the "License"); you may not use this file except in compliance with the License. You may obtain a copy of the License at http://</t>
        </is>
      </c>
      <c r="E272" t="n">
        <v>0.0029</v>
      </c>
      <c r="F272" t="n">
        <v>0.0286</v>
      </c>
      <c r="G272" t="n">
        <v>0.0746</v>
      </c>
      <c r="H272" t="inlineStr">
        <is>
          <t>The code provided is a simple function for adding two numbers in Java. The functionality of this function is to take as input two integers (numbers), add them together and return the result. This operation has a time complexity of O(1).
Here's the summary of the code:
```java
public class AddNumbers {
    public int add(int num1</t>
        </is>
      </c>
      <c r="I272" t="n">
        <v>0.0043</v>
      </c>
      <c r="J272" t="n">
        <v>0.09089999999999999</v>
      </c>
      <c r="K272" t="n">
        <v>0.1172</v>
      </c>
      <c r="L272" t="inlineStr">
        <is>
          <t>The provided code is a Java class that tests the functionality of Elasticsearch. It imports necessary classes and methods for asserting expected results against actual ones. The main purpose of this class seems to be testing various functionalities related to version compatibility with certain features in Elasticsearch.
The `check` method takes an instance of Version as input and checks if it's compatible with</t>
        </is>
      </c>
      <c r="M272" t="n">
        <v>0.0034</v>
      </c>
      <c r="N272" t="n">
        <v>0.0833</v>
      </c>
      <c r="O272" t="n">
        <v>0.1111</v>
      </c>
    </row>
    <row r="273">
      <c r="A273" t="inlineStr">
        <is>
          <t>crate</t>
        </is>
      </c>
      <c r="B273" t="inlineStr">
        <is>
          <t>server/src/testFixtures/java/org/elasticsearch/test/TestCluster.java</t>
        </is>
      </c>
      <c r="C273">
        <f>HYPERLINK("https://github.com/crate/crate/blob/master/server/src/testFixtures/java/org/elasticsearch/test/TestCluster.java")</f>
        <v/>
      </c>
      <c r="D273" t="inlineStr">
        <is>
          <t>The code is licensed under Apache License 2.0 and it's a part of the ElasticSearch project (a distributed real-time search and analytics engine). It contains tests for Lucene based on CrateDB which are used to verify its functionality. The license grants users permission to use this file except in compliance with the terms specified within. This notice provides additional information about copyright ownership and</t>
        </is>
      </c>
      <c r="E273" t="n">
        <v>0.0034</v>
      </c>
      <c r="F273" t="n">
        <v>0.0533</v>
      </c>
      <c r="G273" t="n">
        <v>0.1103</v>
      </c>
      <c r="H273" t="inlineStr">
        <is>
          <t>The provided code is a Java implementation of the Apache License 2.0 which covers not only copyright but also licensing terms related to Elasticsearch software package. The license allows users to use and distribute this file in compliance with the conditions stated under it. It prohibits any usage without permission from parties other than those specified by contributors or distributing modified versions without proper attribution. This repository</t>
        </is>
      </c>
      <c r="I273" t="n">
        <v>0.0036</v>
      </c>
      <c r="J273" t="n">
        <v>0.0526</v>
      </c>
      <c r="K273" t="n">
        <v>0.2676</v>
      </c>
      <c r="L273" t="inlineStr">
        <is>
          <t>The provided code is a Java class that tests the functionality of Elasticsearch using JUnit and AssertJ frameworks. The main purpose of this test suite seems to be validating various aspects of Lucene queries against CrateDB (a distributed SQL database).
Here's an overview of its functionality: 
It imports necessary classes from different packages for unit testing in J</t>
        </is>
      </c>
      <c r="M273" t="n">
        <v>0.0037</v>
      </c>
      <c r="N273" t="n">
        <v>0.0597</v>
      </c>
      <c r="O273" t="n">
        <v>0.1154</v>
      </c>
    </row>
    <row r="274">
      <c r="A274" t="inlineStr">
        <is>
          <t>crate</t>
        </is>
      </c>
      <c r="B274" t="inlineStr">
        <is>
          <t>server/src/testFixtures/java/org/elasticsearch/test/EqualsHashCodeTestUtils.java</t>
        </is>
      </c>
      <c r="C274">
        <f>HYPERLINK("https://github.com/crate/crate/blob/master/server/src/testFixtures/java/org/elasticsearch/test/EqualsHashCodeTestUtils.java")</f>
        <v/>
      </c>
      <c r="D274" t="inlineStr">
        <is>
          <t>The provided code is licensed under Apache License 2.0 and it's a utility class that encapsulates standard checks and assertions for testing the README file of this repository. The complexity of the function is O(n), where n represents the number of lines in the README file being tested. This implementation involves core algorithms related to handling files and strings, which are</t>
        </is>
      </c>
      <c r="E274" t="n">
        <v>0.0039</v>
      </c>
      <c r="F274" t="n">
        <v>0.1111</v>
      </c>
      <c r="G274" t="n">
        <v>0.188</v>
      </c>
      <c r="H274" t="inlineStr">
        <is>
          <t>The provided code is a Java class that contains an `add` method for adding two numbers together. The complexity of this function is O(1), meaning it takes constant time to execute regardless of the input size. This class also includes license information and comments explaining its purpose and usage.
The summary of the add method would be "Adds two numbers". 
Here's</t>
        </is>
      </c>
      <c r="I274" t="n">
        <v>0.0036</v>
      </c>
      <c r="J274" t="n">
        <v>0.08450000000000001</v>
      </c>
      <c r="K274" t="n">
        <v>0.1128</v>
      </c>
      <c r="L274" t="inlineStr">
        <is>
          <t>The provided code is a utility class named `TestUtils` that encapsulates standard checks and assertions around testing in Elasticsearch.
Here's the summary of its functionality: 
It provides static methods for various tests including checking if an index exists, whether a document exists within an index, creating or deleting indices, refreshing indexes, getting mappings from indices, etc</t>
        </is>
      </c>
      <c r="M274" t="n">
        <v>0.0033</v>
      </c>
      <c r="N274" t="n">
        <v>0.0308</v>
      </c>
      <c r="O274" t="n">
        <v>0.0781</v>
      </c>
    </row>
    <row r="275">
      <c r="A275" t="inlineStr">
        <is>
          <t>crate</t>
        </is>
      </c>
      <c r="B275" t="inlineStr">
        <is>
          <t>server/src/testFixtures/java/org/elasticsearch/test/IntegTestCase.java</t>
        </is>
      </c>
      <c r="C275">
        <f>HYPERLINK("https://github.com/crate/crate/blob/master/server/src/testFixtures/java/org/elasticsearch/test/IntegTestCase.java")</f>
        <v/>
      </c>
      <c r="D275" t="inlineStr">
        <is>
          <t>The code is licensed under Apache License 2.0 and it's for use with Crate.io GmbH ("Crate"). It allows the user to obtain a copy of the license at http://www.apache.org/licenses/LICENSE-2.0. The software may not be used except in compliance with this license agreement. This notice must also</t>
        </is>
      </c>
      <c r="E275" t="n">
        <v>0.0053</v>
      </c>
      <c r="F275" t="n">
        <v>0.0312</v>
      </c>
      <c r="G275" t="n">
        <v>0.1695</v>
      </c>
      <c r="H275" t="inlineStr">
        <is>
          <t>The provided code is a function named "add". This function takes two parameters (a and b), adds them together using the '+' operator, then returns the result. The time complexity of this operation is O(1).
In the README file, it states that this repository contains backend software components implementing core algorithms. It also mentions that there have been commits to the initial</t>
        </is>
      </c>
      <c r="I275" t="n">
        <v>0.0042</v>
      </c>
      <c r="J275" t="n">
        <v>0.1143</v>
      </c>
      <c r="K275" t="n">
        <v>0.3182</v>
      </c>
      <c r="L275" t="inlineStr">
        <is>
          <t>&lt;!-- This is a placeholder for the summary of the code --&gt;
```python
# Licensed to Crate.io GmbH ("Crate") under one or more contributor license agreements. See the NOTICE file distributed with this work for additional information regarding copyright ownership. Crate licenses this file to you under the Apache License, Version 2.0 (the "</t>
        </is>
      </c>
      <c r="M275" t="n">
        <v>0.0034</v>
      </c>
      <c r="N275" t="n">
        <v>0.0333</v>
      </c>
      <c r="O275" t="n">
        <v>0.0794</v>
      </c>
    </row>
    <row r="276">
      <c r="A276" t="inlineStr">
        <is>
          <t>crate</t>
        </is>
      </c>
      <c r="B276" t="inlineStr">
        <is>
          <t>server/src/testFixtures/java/org/elasticsearch/test/AbstractWireSerializingTestCase.java</t>
        </is>
      </c>
      <c r="C276">
        <f>HYPERLINK("https://github.com/crate/crate/blob/master/server/src/testFixtures/java/org/elasticsearch/test/AbstractWireSerializingTestCase.java")</f>
        <v/>
      </c>
      <c r="D276" t="inlineStr">
        <is>
          <t>The provided code is a Java class that extends an abstract test case for testing serialization and deserialization of objects in Elasticsearch using the Writeable interface from Elasticsearch's common IO stream package. The license at the top of this file states under Apache License 2.0 conditions which may be subject to changes or exceptions as stated by contributors. This software distributed under the terms</t>
        </is>
      </c>
      <c r="E276" t="n">
        <v>0.0067</v>
      </c>
      <c r="F276" t="n">
        <v>0.0541</v>
      </c>
      <c r="G276" t="n">
        <v>0.2321</v>
      </c>
      <c r="H276" t="inlineStr">
        <is>
          <t>The provided code is a Java class that extends an abstract test case for testing serialization in Elasticsearch (which uses the Writeable interface). The license at the top of the file states it's licensed under Apache 2.0 and includes terms such as "Except as contained in this notice, the name(s) of the above copyright holders shall not be used in advertising or</t>
        </is>
      </c>
      <c r="I276" t="n">
        <v>0.0029</v>
      </c>
      <c r="J276" t="n">
        <v>0.0274</v>
      </c>
      <c r="K276" t="n">
        <v>0.1119</v>
      </c>
      <c r="L276" t="inlineStr">
        <is>
          <t>The provided code is a Java class named `AbstractWireSerializingTestCase` that extends from the abstract base class `Testcase` in JUnit framework and uses ElasticSearch's serialization mechanism for testing purposes.
Here are some key points about this class:
1. The purpose of this class seems to be to test the wire (binary) serialization of objects</t>
        </is>
      </c>
      <c r="M276" t="n">
        <v>0.0035</v>
      </c>
      <c r="N276" t="n">
        <v>0.0323</v>
      </c>
      <c r="O276" t="n">
        <v>0.12</v>
      </c>
    </row>
    <row r="277">
      <c r="A277" t="inlineStr">
        <is>
          <t>crate</t>
        </is>
      </c>
      <c r="B277" t="inlineStr">
        <is>
          <t>server/src/testFixtures/java/org/elasticsearch/test/NotEqualMessageBuilder.java</t>
        </is>
      </c>
      <c r="C277">
        <f>HYPERLINK("https://github.com/crate/crate/blob/master/server/src/testFixtures/java/org/elasticsearch/test/NotEqualMessageBuilder.java")</f>
        <v/>
      </c>
      <c r="D277" t="inlineStr">
        <is>
          <t>The code provided is licensed under Apache License 2.0 and it's a part of Elasticsearch project which contains backend software components. The complexity of the implementation appears to be O(N), indicating that its performance may scale linearly with the size of input data set N. It also has comments explaining core algorithms implemented in the code. This repository consists of an initial commit base codebase.</t>
        </is>
      </c>
      <c r="E277" t="n">
        <v>0.004</v>
      </c>
      <c r="F277" t="n">
        <v>0.0789</v>
      </c>
      <c r="G277" t="n">
        <v>0.219</v>
      </c>
      <c r="H277" t="inlineStr">
        <is>
          <t>The code provided is a simple function for addition of two numbers in Java language and it's licensed under Apache License 2.0 as mentioned at the top. The functionality of this function is to add two given integers (numbers). It takes two parameters 'a' and 'b'. This operation has time complexity O(1), meaning that its execution time does not change with an increase in</t>
        </is>
      </c>
      <c r="I277" t="n">
        <v>0.0037</v>
      </c>
      <c r="J277" t="n">
        <v>0.08</v>
      </c>
      <c r="K277" t="n">
        <v>0.1103</v>
      </c>
      <c r="L277" t="inlineStr">
        <is>
          <t>The provided source code file is a Java class named `Test` which is part of the Elasticsearch project's backend software components. This class imports various necessary packages and classes for its functionality. The main purpose of this class seems to be related to testing functionalities in an application using JSpecify library for null safety checks. 
It defines several methods that use different data</t>
        </is>
      </c>
      <c r="M277" t="n">
        <v>0.0038</v>
      </c>
      <c r="N277" t="n">
        <v>0.0556</v>
      </c>
      <c r="O277" t="n">
        <v>0.1481</v>
      </c>
    </row>
    <row r="278">
      <c r="A278" t="inlineStr">
        <is>
          <t>crate</t>
        </is>
      </c>
      <c r="B278" t="inlineStr">
        <is>
          <t>server/src/testFixtures/java/org/elasticsearch/test/MockKeywordPlugin.java</t>
        </is>
      </c>
      <c r="C278">
        <f>HYPERLINK("https://github.com/crate/crate/blob/master/server/src/testFixtures/java/org/elasticsearch/test/MockKeywordPlugin.java")</f>
        <v/>
      </c>
      <c r="D278" t="inlineStr">
        <is>
          <t>```java
// Licensed to Elasticsearch under one or more contributor license agreements. See the NOTICE file distributed with this work for additional information regarding copyright ownership. 
// Elasticsearch licenses this file to you under the Apache License, Version 2.0 (the "License"); you may not use this file except in compliance with the License. You may</t>
        </is>
      </c>
      <c r="E278" t="n">
        <v>0</v>
      </c>
      <c r="F278" t="n">
        <v>0.0323</v>
      </c>
      <c r="G278" t="n">
        <v>0.07870000000000001</v>
      </c>
      <c r="H278" t="inlineStr">
        <is>
          <t>The code you provided is a Java class that extends the TokenizerFactory from Apache Lucene for tokenizing text data in Elasticsearch. The functionality of this code can be summarized as follows:
It provides an implementation of a custom tokenizer factory which creates instances of a mock tokenizer used for testing purposes within the context of Elasticsearch's search engine. This allows</t>
        </is>
      </c>
      <c r="I278" t="n">
        <v>0.0036</v>
      </c>
      <c r="J278" t="n">
        <v>0.058</v>
      </c>
      <c r="K278" t="n">
        <v>0.1136</v>
      </c>
      <c r="L278" t="inlineStr">
        <is>
          <t>The provided code is a Java implementation of an Elasticsearch tokenizer factory that extends the Lucene Tokenizer class for use in analyzing text data. The main purpose of this code seems to be creating and returning instances of MockTokenizers which are used for testing purposes within the context of Elasticsearch's analysis module.
Functionally speaking, it provides two public methods -</t>
        </is>
      </c>
      <c r="M278" t="n">
        <v>0.003</v>
      </c>
      <c r="N278" t="n">
        <v>0.0882</v>
      </c>
      <c r="O278" t="n">
        <v>0.1515</v>
      </c>
    </row>
    <row r="279">
      <c r="A279" t="inlineStr">
        <is>
          <t>crate</t>
        </is>
      </c>
      <c r="B279" t="inlineStr">
        <is>
          <t>server/src/testFixtures/java/org/elasticsearch/test/ClusterServiceUtils.java</t>
        </is>
      </c>
      <c r="C279">
        <f>HYPERLINK("https://github.com/crate/crate/blob/master/server/src/testFixtures/java/org/elasticsearch/test/ClusterServiceUtils.java")</f>
        <v/>
      </c>
      <c r="D279" t="inlineStr">
        <is>
          <t>&lt;!-- 
The code provided is licensed under Apache License Version 2.0 and it's a part of Elasticsearch project which is distributed on an "AS IS" BASIS without warranties or conditions of any kind either expressed or implied. The specific language governing permissions and limitations under the license can be found at http://www.apache.org/licenses/LIC</t>
        </is>
      </c>
      <c r="E279" t="n">
        <v>0.0035</v>
      </c>
      <c r="F279" t="n">
        <v>0.0303</v>
      </c>
      <c r="G279" t="n">
        <v>0.0806</v>
      </c>
      <c r="H279" t="inlineStr">
        <is>
          <t>The code provided is a Java implementation of the Apache License 2.0 which states that it's licensed under one or more contributor agreements. The license grants you permission to use this file except in compliance with the License. You may obtain a copy of the License at http://www.apache.org/licenses/LICENSE-2.0 Unless required by applicable law or agreed to</t>
        </is>
      </c>
      <c r="I279" t="n">
        <v>0</v>
      </c>
      <c r="J279" t="n">
        <v>0.0274</v>
      </c>
      <c r="K279" t="n">
        <v>0.1172</v>
      </c>
      <c r="L279" t="inlineStr">
        <is>
          <t>The provided code is a JUnit test for an Elasticsearch client library. The main purpose of this code seems to be testing the functionality related to concurrency and synchronization in distributed systems like Elasticsearch.
The function `assertNoConcurrentModificationException` tests whether there are no Concurrent Modification Exceptions thrown when multiple threads access shared data simultaneously without proper synchronization</t>
        </is>
      </c>
      <c r="M279" t="n">
        <v>0.0039</v>
      </c>
      <c r="N279" t="n">
        <v>0.09379999999999999</v>
      </c>
      <c r="O279" t="n">
        <v>0.1172</v>
      </c>
    </row>
    <row r="280">
      <c r="A280" t="inlineStr">
        <is>
          <t>crate</t>
        </is>
      </c>
      <c r="B280" t="inlineStr">
        <is>
          <t>server/src/testFixtures/java/org/elasticsearch/test/AbstractDiffableSerializationTestCase.java</t>
        </is>
      </c>
      <c r="C280">
        <f>HYPERLINK("https://github.com/crate/crate/blob/master/server/src/testFixtures/java/org/elasticsearch/test/AbstractDiffableSerializationTestCase.java")</f>
        <v/>
      </c>
      <c r="D280" t="inlineStr">
        <is>
          <t>The provided code is licensed under Apache License 2.0 and it's a part of Elasticsearch project which provides distributed real-time search and analytics engine capable of addressing large scale data workloads. The license allows users to use the software in any way they want as long as compliance with the terms of the license agreement is maintained. This includes using the software for commercial purposes or mod</t>
        </is>
      </c>
      <c r="E280" t="n">
        <v>0.0036</v>
      </c>
      <c r="F280" t="n">
        <v>0.0513</v>
      </c>
      <c r="G280" t="n">
        <v>0.1439</v>
      </c>
      <c r="H280" t="inlineStr">
        <is>
          <t>The provided code is a Java implementation of the Apache License 2.0 (see link at end for details). It appears to be part of an ElasticSearch package and seems to contain backend software components related to cluster differences or read/write operations in distributed systems. The complexity here would likely be O(n), where n represents the number of elements being processed by this function. However, without</t>
        </is>
      </c>
      <c r="I280" t="n">
        <v>0.0033</v>
      </c>
      <c r="J280" t="n">
        <v>0.0526</v>
      </c>
      <c r="K280" t="n">
        <v>0.1825</v>
      </c>
      <c r="L280" t="inlineStr">
        <is>
          <t>The provided code is a Java class named `ClusterTestUtils` which implements the functionality of testing Elasticsearch cluster changes using various algorithms and data structures. The main purpose of this class seems to be comparing two instances of an object implementing the Diffable interface (presumably representing some state in the cluster) for differences between them. This comparison process involves identifying key operations such as addition or removal of</t>
        </is>
      </c>
      <c r="M280" t="n">
        <v>0.0038</v>
      </c>
      <c r="N280" t="n">
        <v>0.08</v>
      </c>
      <c r="O280" t="n">
        <v>0.1439</v>
      </c>
    </row>
    <row r="281">
      <c r="A281" t="inlineStr">
        <is>
          <t>crate</t>
        </is>
      </c>
      <c r="B281" t="inlineStr">
        <is>
          <t>server/src/testFixtures/java/org/elasticsearch/test/ESTestCase.java</t>
        </is>
      </c>
      <c r="C281">
        <f>HYPERLINK("https://github.com/crate/crate/blob/master/server/src/testFixtures/java/org/elasticsearch/test/ESTestCase.java")</f>
        <v/>
      </c>
      <c r="D281" t="inlineStr">
        <is>
          <t>The code provided is licensed under Apache License 2.0 and it's distributed on an "AS IS" BASIS without any warranties or conditions of any kind either expressed or implied. The specific language governing permissions and limitations under the license can be found at http://www.apache.org/licenses/LICENSE-2.0. It imports static methods</t>
        </is>
      </c>
      <c r="E281" t="n">
        <v>0.0038</v>
      </c>
      <c r="F281" t="n">
        <v>0.0308</v>
      </c>
      <c r="G281" t="n">
        <v>0.0417</v>
      </c>
      <c r="H281" t="inlineStr">
        <is>
          <t>The provided code is a Java class that contains two static methods for testing the addition functionality of Elasticsearch. The first method generates random integers and checks if they are correctly added using assertions from AssertJ library. The second method reads an input file containing test data and performs similar operations on these values. Both tests use Apache Lucene's TestUtil to generate or read integer inputs. This repository</t>
        </is>
      </c>
      <c r="I281" t="n">
        <v>0.0035</v>
      </c>
      <c r="J281" t="n">
        <v>0.0519</v>
      </c>
      <c r="K281" t="n">
        <v>0.1071</v>
      </c>
      <c r="L281" t="inlineStr">
        <is>
          <t>The provided code is a Java implementation of an Elasticsearch test utility that uses Apache Lucene's Test Utilities for generating random data and asserting the results against expected values. The main purpose of this class seems to be testing various aspects of Elasticsearch functionality such as index creation, document insertion, search queries etc.
It takes in inputs like number of documents (number</t>
        </is>
      </c>
      <c r="M281" t="n">
        <v>0.0035</v>
      </c>
      <c r="N281" t="n">
        <v>0.0563</v>
      </c>
      <c r="O281" t="n">
        <v>0.1493</v>
      </c>
    </row>
    <row r="282">
      <c r="A282" t="inlineStr">
        <is>
          <t>crate</t>
        </is>
      </c>
      <c r="B282" t="inlineStr">
        <is>
          <t>server/src/testFixtures/java/org/elasticsearch/test/MockHttpTransport.java</t>
        </is>
      </c>
      <c r="C282">
        <f>HYPERLINK("https://github.com/crate/crate/blob/master/server/src/testFixtures/java/org/elasticsearch/test/MockHttpTransport.java")</f>
        <v/>
      </c>
      <c r="D282" t="inlineStr">
        <is>
          <t>This code is licensed under Apache License 2.0 and distributed with Elasticsearch under one or more contributor license agreements. It's a part of the backend software components for managing transport addresses in an elastic search environment. The specific language governing permissions and limitations under this license can be found at http://www.apache.org/licenses/LICENSE-2.0</t>
        </is>
      </c>
      <c r="E282" t="n">
        <v>0.0047</v>
      </c>
      <c r="F282" t="n">
        <v>0.0882</v>
      </c>
      <c r="G282" t="n">
        <v>0.1626</v>
      </c>
      <c r="H282" t="inlineStr">
        <is>
          <t>/*
  Licensed to Elasticsearch under one or more contributor
  license agreements. See the NOTICE file distributed with
  this work for additional information regarding copyright
  ownership. Elasticsearch licenses this file to you under
  the Apache License, Version 2.0 (the "License"); you may
  not use this file except in compliance with</t>
        </is>
      </c>
      <c r="I282" t="n">
        <v>0</v>
      </c>
      <c r="J282" t="n">
        <v>0.0351</v>
      </c>
      <c r="K282" t="n">
        <v>0.08260000000000001</v>
      </c>
      <c r="L282" t="inlineStr">
        <is>
          <t>The provided code is a Java class that extends the AbstractLifecycleComponent from Elasticsearch's common package and uses BoundTransportAddress from its transport package for network communication. The main purpose of this component seems to be managing lifecycles (starting, stopping) of various components in an elastic search cluster. 
It also provides information about the address where it</t>
        </is>
      </c>
      <c r="M282" t="n">
        <v>0.0033</v>
      </c>
      <c r="N282" t="n">
        <v>0.0312</v>
      </c>
      <c r="O282" t="n">
        <v>0.1181</v>
      </c>
    </row>
    <row r="283">
      <c r="A283" t="inlineStr">
        <is>
          <t>crate</t>
        </is>
      </c>
      <c r="B283" t="inlineStr">
        <is>
          <t>server/src/testFixtures/java/org/elasticsearch/test/AbstractSerializingTestCase.java</t>
        </is>
      </c>
      <c r="C283">
        <f>HYPERLINK("https://github.com/crate/crate/blob/master/server/src/testFixtures/java/org/elasticsearch/test/AbstractSerializingTestCase.java")</f>
        <v/>
      </c>
      <c r="D283" t="inlineStr">
        <is>
          <t>This code is licensed under one or more contributor license agreements and it's distributed with this work for additional information regarding copyright ownership. The Apache License (Version 2.0), as seen at http://www.apache.org/licenses/LICENSE-2.0, governs the permissions and limitations of software distributed under the License. It can be obtained by users</t>
        </is>
      </c>
      <c r="E283" t="n">
        <v>0.0049</v>
      </c>
      <c r="F283" t="n">
        <v>0.0606</v>
      </c>
      <c r="G283" t="n">
        <v>0.1653</v>
      </c>
      <c r="H283" t="inlineStr">
        <is>
          <t>The provided code is a Java class that contains the definition of an add function for two numbers. The complexity of this operation is O(1), meaning it takes constant time to perform regardless of the size of input data (n). This function returns the sum of its inputs. It also includes comments explaining what each part does and how they contribute to overall functionality.
In summary, there are</t>
        </is>
      </c>
      <c r="I283" t="n">
        <v>0.0032</v>
      </c>
      <c r="J283" t="n">
        <v>0.0779</v>
      </c>
      <c r="K283" t="n">
        <v>0.1429</v>
      </c>
      <c r="L283" t="inlineStr">
        <is>
          <t>The provided code is a Java implementation of an Elasticsearch test class named `Test` located in the package `org.elasticsearch.test`. The purpose of this class seems to be related to testing functionalities and utilities for Elasticsearch, which could include various operations such as filtering data or validating inputs against certain conditions.
Here's a concise summary based</t>
        </is>
      </c>
      <c r="M283" t="n">
        <v>0.0033</v>
      </c>
      <c r="N283" t="n">
        <v>0.09089999999999999</v>
      </c>
      <c r="O283" t="n">
        <v>0.2485</v>
      </c>
    </row>
    <row r="284">
      <c r="A284" t="inlineStr">
        <is>
          <t>crate</t>
        </is>
      </c>
      <c r="B284" t="inlineStr">
        <is>
          <t>server/src/testFixtures/java/org/elasticsearch/test/MockIndexEventListener.java</t>
        </is>
      </c>
      <c r="C284">
        <f>HYPERLINK("https://github.com/crate/crate/blob/master/server/src/testFixtures/java/org/elasticsearch/test/MockIndexEventListener.java")</f>
        <v/>
      </c>
      <c r="D284" t="inlineStr">
        <is>
          <t>The code provided is licensed under Apache License 2.0 and it's a test class for Elasticsearch which contains import statements of required libraries like java utilities (like Arrays, Collection etc.) and org.elasticsearch packages to handle cluster routing operations in an efficient way. The license states that the software distributed under this license can be used as long as you comply with its terms and</t>
        </is>
      </c>
      <c r="E284" t="n">
        <v>0.0034</v>
      </c>
      <c r="F284" t="n">
        <v>0.0533</v>
      </c>
      <c r="G284" t="n">
        <v>0.1471</v>
      </c>
      <c r="H284" t="inlineStr">
        <is>
          <t>The provided code is a Java package that contains backend software components for Elasticsearch. The license of this work is under Apache License 2.0 and it's distributed on an "AS IS" BASIS, without warranties or conditions of any kind either expressed or implied. This includes the implementation of core algorithms used by Elasticsearch.
It appears to be implementing some</t>
        </is>
      </c>
      <c r="I284" t="n">
        <v>0.0044</v>
      </c>
      <c r="J284" t="n">
        <v>0.08699999999999999</v>
      </c>
      <c r="K284" t="n">
        <v>0.229</v>
      </c>
      <c r="L284" t="inlineStr">
        <is>
          <t>The provided code is licensed under Apache License 2.0 and it's a test class for Elasticsearch cluster routing functionality. The main purpose of this class seems to be testing the ShardRouting class by providing different inputs (collections) and verifying if they are correctly routed based on certain conditions defined in the `route` method. This implementation might use core algorithms such as</t>
        </is>
      </c>
      <c r="M284" t="n">
        <v>0.0039</v>
      </c>
      <c r="N284" t="n">
        <v>0.08450000000000001</v>
      </c>
      <c r="O284" t="n">
        <v>0.188</v>
      </c>
    </row>
    <row r="285">
      <c r="A285" t="inlineStr">
        <is>
          <t>crate</t>
        </is>
      </c>
      <c r="B285" t="inlineStr">
        <is>
          <t>server/src/testFixtures/java/org/elasticsearch/test/IndexSettingsModule.java</t>
        </is>
      </c>
      <c r="C285">
        <f>HYPERLINK("https://github.com/crate/crate/blob/master/server/src/testFixtures/java/org/elasticsearch/test/IndexSettingsModule.java")</f>
        <v/>
      </c>
      <c r="D285" t="inlineStr">
        <is>
          <t>The code provided is licensed under Apache License 2.0 and it's a part of ElasticSearch project (a search engine based on Lucene). It contains the definition for an Index Metadata class with some properties like version, shards etc., which are used in managing indices in ElasticSearch cluster. The license details can be found at http://www.apache.org/lic</t>
        </is>
      </c>
      <c r="E285" t="n">
        <v>0.0033</v>
      </c>
      <c r="F285" t="n">
        <v>0.029</v>
      </c>
      <c r="G285" t="n">
        <v>0.07870000000000001</v>
      </c>
      <c r="H285" t="inlineStr">
        <is>
          <t>The provided code is a Java class that contains tests for Elasticsearch, an open source distributed real-time search and analytics engine. The license of this file states under the Apache License 2.0 (see http://www.apache.org/licenses/LICENSE-2.0). It prohibits unauthorized use except in compliance with the License.
The</t>
        </is>
      </c>
      <c r="I285" t="n">
        <v>0.0041</v>
      </c>
      <c r="J285" t="n">
        <v>0.0323</v>
      </c>
      <c r="K285" t="n">
        <v>0.1282</v>
      </c>
      <c r="L285" t="inlineStr">
        <is>
          <t>The provided code is a Java implementation of unit tests for Elasticsearch's index metadata management functionality. The purpose of this code is to test the creation and deletion of indices in an elastic search cluster using JUnit testing framework.
Here are the main steps involved in the logic flow: 
1) It creates instances of IndexMetadata class with different versions of ElasticSearch</t>
        </is>
      </c>
      <c r="M285" t="n">
        <v>0.003</v>
      </c>
      <c r="N285" t="n">
        <v>0.1143</v>
      </c>
      <c r="O285" t="n">
        <v>0.1504</v>
      </c>
    </row>
    <row r="286">
      <c r="A286" t="inlineStr">
        <is>
          <t>crate</t>
        </is>
      </c>
      <c r="B286" t="inlineStr">
        <is>
          <t>server/src/testFixtures/java/org/elasticsearch/test/CorruptionUtils.java</t>
        </is>
      </c>
      <c r="C286">
        <f>HYPERLINK("https://github.com/crate/crate/blob/master/server/src/testFixtures/java/org/elasticsearch/test/CorruptionUtils.java")</f>
        <v/>
      </c>
      <c r="D286" t="inlineStr">
        <is>
          <t>The code is licensed under Apache License 2.0 and distributed under the terms of that license. It's a test case for Elasticsearch using Crate Lucene which checks if certain conditions are true or not. If these conditions aren't met, it throws an exception. The specific language governing permissions and limitations under the License can be found at http://www.apache.org/</t>
        </is>
      </c>
      <c r="E286" t="n">
        <v>0.0031</v>
      </c>
      <c r="F286" t="n">
        <v>0.0278</v>
      </c>
      <c r="G286" t="n">
        <v>0.0769</v>
      </c>
      <c r="H286" t="inlineStr">
        <is>
          <t>The provided code is a license header for an ElasticSearch project written in Java. It states that the file is licensed under Apache License 2.0 and contains specific conditions related to redistribution of this software. This type of license typically includes terms about copying, modification, distribution etc., with some exceptions allowed as per the licensing agreement. The complexity of this function appears to be O(</t>
        </is>
      </c>
      <c r="I286" t="n">
        <v>0.0033</v>
      </c>
      <c r="J286" t="n">
        <v>0.08110000000000001</v>
      </c>
      <c r="K286" t="n">
        <v>0.1095</v>
      </c>
      <c r="L286" t="inlineStr">
        <is>
          <t>The provided code is a Java class that tests the functionality of Elasticsearch using Lucene's Crate module. It assumes certain conditions and then performs assertions to verify if the expected results match with actual ones. The main purpose of this test case seems to be verifying data integrity in an Elasticsearch cluster by comparing search queries against known correct answers.
There are two inputs</t>
        </is>
      </c>
      <c r="M286" t="n">
        <v>0.0034</v>
      </c>
      <c r="N286" t="n">
        <v>0.0548</v>
      </c>
      <c r="O286" t="n">
        <v>0.1103</v>
      </c>
    </row>
    <row r="287">
      <c r="A287" t="inlineStr">
        <is>
          <t>crate</t>
        </is>
      </c>
      <c r="B287" t="inlineStr">
        <is>
          <t>server/src/testFixtures/java/org/elasticsearch/test/engine/AssertingDirectoryReader.java</t>
        </is>
      </c>
      <c r="C287">
        <f>HYPERLINK("https://github.com/crate/crate/blob/master/server/src/testFixtures/java/org/elasticsearch/test/engine/AssertingDirectoryReader.java")</f>
        <v/>
      </c>
      <c r="D287" t="inlineStr">
        <is>
          <t>The provided code is licensed under Apache License 2.0 and it's written in a language that isn't specified here. It appears to be related to backend software components which are being developed for Crate.io GmbH ("Crate"). The license agreement allows users to use the file except in compliance with the terms of the license. If you have executed another commercial</t>
        </is>
      </c>
      <c r="E287" t="n">
        <v>0.0036</v>
      </c>
      <c r="F287" t="n">
        <v>0.0278</v>
      </c>
      <c r="G287" t="n">
        <v>0.1136</v>
      </c>
      <c r="H287" t="inlineStr">
        <is>
          <t>The code provided is a simple function for addition of two numbers in Python language. The functionality of this code can be summarized as follows:
It defines a function named `add` which takes two parameters (numbers), adds them together and returns the result. This operation has a time complexity of O(1). 
In terms of comments, it explains that this function performs</t>
        </is>
      </c>
      <c r="I287" t="n">
        <v>0.0039</v>
      </c>
      <c r="J287" t="n">
        <v>0.0857</v>
      </c>
      <c r="K287" t="n">
        <v>0.1128</v>
      </c>
      <c r="L287" t="inlineStr">
        <is>
          <t>The provided code is licensed under the Apache License 2.0 and it's written in Java. It appears to be a backend software component for a database management system named "Crate". The main purpose of this component seems to be handling communication with CrateDB instances over HTTP using RESTful API calls. This includes operations such as creating tables, inserting data into these</t>
        </is>
      </c>
      <c r="M287" t="n">
        <v>0.0039</v>
      </c>
      <c r="N287" t="n">
        <v>0.0282</v>
      </c>
      <c r="O287" t="n">
        <v>0.1504</v>
      </c>
    </row>
    <row r="288">
      <c r="A288" t="inlineStr">
        <is>
          <t>crate</t>
        </is>
      </c>
      <c r="B288" t="inlineStr">
        <is>
          <t>server/src/testFixtures/java/org/elasticsearch/test/engine/ThrowingLeafReaderWrapper.java</t>
        </is>
      </c>
      <c r="C288">
        <f>HYPERLINK("https://github.com/crate/crate/blob/master/server/src/testFixtures/java/org/elasticsearch/test/engine/ThrowingLeafReaderWrapper.java")</f>
        <v/>
      </c>
      <c r="D288" t="inlineStr">
        <is>
          <t>The code provided is licensed under Apache License 2.0 and it's a part of Elasticsearch project (a search engine based on Lucene library). It contains the implementation of core algorithms related to filtering leaf readers in an index. The license allows users to use this file for any purpose except compliance with the terms specified by the license. Users may obtain a copy of the license at http</t>
        </is>
      </c>
      <c r="E288" t="n">
        <v>0.0032</v>
      </c>
      <c r="F288" t="n">
        <v>0.0513</v>
      </c>
      <c r="G288" t="n">
        <v>0.1786</v>
      </c>
      <c r="H288" t="inlineStr">
        <is>
          <t>The provided code is a Java package that contains backend software components for Elasticsearch, an open source search and analytics engine based on Apache Lucene. The license of this file states under the Apache License 2.0 which requires attribution to its original authorship. This repository also includes implementations of core algorithms used in data processing tasks such as indexing and searching within the context of distributed systems</t>
        </is>
      </c>
      <c r="I288" t="n">
        <v>0.0038</v>
      </c>
      <c r="J288" t="n">
        <v>0.1053</v>
      </c>
      <c r="K288" t="n">
        <v>0.2158</v>
      </c>
      <c r="L288" t="inlineStr">
        <is>
          <t>The provided code is a part of the Elasticsearch project and it's used for testing engine components related to Lucene indexing system. The main purpose of this code seems to be filtering and reading binary document values from an Apache Lucene Leaf Reader object. This process can potentially involve complex operations with large datasets, hence its time complexity could be O(N).
There are</t>
        </is>
      </c>
      <c r="M288" t="n">
        <v>0.0034</v>
      </c>
      <c r="N288" t="n">
        <v>0.0548</v>
      </c>
      <c r="O288" t="n">
        <v>0.1111</v>
      </c>
    </row>
    <row r="289">
      <c r="A289" t="inlineStr">
        <is>
          <t>crate</t>
        </is>
      </c>
      <c r="B289" t="inlineStr">
        <is>
          <t>server/src/testFixtures/java/org/elasticsearch/test/engine/MockEngineFactory.java</t>
        </is>
      </c>
      <c r="C289">
        <f>HYPERLINK("https://github.com/crate/crate/blob/master/server/src/testFixtures/java/org/elasticsearch/test/engine/MockEngineFactory.java")</f>
        <v/>
      </c>
      <c r="D289" t="inlineStr">
        <is>
          <t>The provided code is a Java implementation of an engine for Elasticsearch, which is licensed under Apache License 2.0. It uses the Lucene library for indexing and searching data in Elasticsearch. The license allows users to use this software as per their needs but requires compliance with its terms and conditions. This includes not using it except in accordance with the Apache License</t>
        </is>
      </c>
      <c r="E289" t="n">
        <v>0.0038</v>
      </c>
      <c r="F289" t="n">
        <v>0.0833</v>
      </c>
      <c r="G289" t="n">
        <v>0.1852</v>
      </c>
      <c r="H289" t="inlineStr">
        <is>
          <t>The provided code is a Java class that extends the `Engine` class from Elasticsearch's indexing engine package (`org.elasticsearch.index.engine.Engine`). The purpose of this class seems to be implementing some core algorithms related to search and indexing operations in an efficient manner.
However, without more context or specific information about what it does, we can</t>
        </is>
      </c>
      <c r="I289" t="n">
        <v>0.0041</v>
      </c>
      <c r="J289" t="n">
        <v>0.1212</v>
      </c>
      <c r="K289" t="n">
        <v>0.16</v>
      </c>
      <c r="L289" t="inlineStr">
        <is>
          <t>The provided code is a Java implementation of an engine for Elasticsearch, which uses Apache Lucene as its underlying search engine. The main purpose of this code seems to be the creation and management of indices in Elasticsearch using different types of engines (like 'Lucene'). 
Here's a concise summary:
1. This software component creates and manages index</t>
        </is>
      </c>
      <c r="M289" t="n">
        <v>0.0075</v>
      </c>
      <c r="N289" t="n">
        <v>0.09089999999999999</v>
      </c>
      <c r="O289" t="n">
        <v>0.2884</v>
      </c>
    </row>
    <row r="290">
      <c r="A290" t="inlineStr">
        <is>
          <t>crate</t>
        </is>
      </c>
      <c r="B290" t="inlineStr">
        <is>
          <t>server/src/testFixtures/java/org/elasticsearch/test/engine/MockEngineSupport.java</t>
        </is>
      </c>
      <c r="C290">
        <f>HYPERLINK("https://github.com/crate/crate/blob/master/server/src/testFixtures/java/org/elasticsearch/test/engine/MockEngineSupport.java")</f>
        <v/>
      </c>
      <c r="D290" t="inlineStr">
        <is>
          <t>The code provided is a Java class that represents an engine for testing Elasticsearch under one or more contributor license agreements (CLA). The software is licensed under the Apache License, Version 2.0 and can be used except in compliance with this license. It provides functionality to close resources such as files.
```java
package org.elasticsearch.test.engine;</t>
        </is>
      </c>
      <c r="E290" t="n">
        <v>0.0045</v>
      </c>
      <c r="F290" t="n">
        <v>0.0606</v>
      </c>
      <c r="G290" t="n">
        <v>0.1587</v>
      </c>
      <c r="H290" t="inlineStr">
        <is>
          <t>The provided code is a Java package that contains backend software components for testing engine functionalities related to core algorithms. The complexity of the implementation appears to be O(n), as it involves looping over an array with size n and using reflection to instantiate objects. However, without more context or specific details about what's being tested or implemented in this repository, it's hard to provide a</t>
        </is>
      </c>
      <c r="I290" t="n">
        <v>0.0036</v>
      </c>
      <c r="J290" t="n">
        <v>0.0779</v>
      </c>
      <c r="K290" t="n">
        <v>0.2174</v>
      </c>
      <c r="L290" t="inlineStr">
        <is>
          <t>The provided code is a Java implementation of an engine for testing Elasticsearch components, which are distributed under the Apache License, Version 2.0. The main purpose of this code seems to be creating and managing instances of classes that implement Closeable interface (like java.io.InputStream or java.io.OutputStream). It uses reflection to create new objects from given class names, keeps track of</t>
        </is>
      </c>
      <c r="M290" t="n">
        <v>0.003</v>
      </c>
      <c r="N290" t="n">
        <v>0.0548</v>
      </c>
      <c r="O290" t="n">
        <v>0.1515</v>
      </c>
    </row>
    <row r="291">
      <c r="A291" t="inlineStr">
        <is>
          <t>crate</t>
        </is>
      </c>
      <c r="B291" t="inlineStr">
        <is>
          <t>server/src/testFixtures/java/org/elasticsearch/test/engine/MockInternalEngine.java</t>
        </is>
      </c>
      <c r="C291">
        <f>HYPERLINK("https://github.com/crate/crate/blob/master/server/src/testFixtures/java/org/elasticsearch/test/engine/MockInternalEngine.java")</f>
        <v/>
      </c>
      <c r="D291" t="inlineStr">
        <is>
          <t>&lt;!-- This code is licensed under one or more contributor license agreements. See the NOTICE file distributed with this work for additional information regarding copyright ownership. Elasticsearch licenses this file to you under the Apache License, Version 2.0 (the "License"); you may not use this file except in compliance with the License. You may obtain a copy of the License at http://</t>
        </is>
      </c>
      <c r="E291" t="n">
        <v>0.0029</v>
      </c>
      <c r="F291" t="n">
        <v>0.0286</v>
      </c>
      <c r="G291" t="n">
        <v>0.0746</v>
      </c>
      <c r="H291" t="inlineStr">
        <is>
          <t>The provided code is a Java class that implements an engine for indexing and searching documents in Elasticsearch. The license at the top of this file states that it's licensed under Apache License Version 2.0 which means you can use, modify or distribute this software as long as you follow the terms specified by the license. This repository contains backend components related to core algorithms used in search engines</t>
        </is>
      </c>
      <c r="I291" t="n">
        <v>0.0039</v>
      </c>
      <c r="J291" t="n">
        <v>0.0759</v>
      </c>
      <c r="K291" t="n">
        <v>0.2128</v>
      </c>
      <c r="L291" t="inlineStr">
        <is>
          <t>The provided code is a Java implementation of an Elasticsearch engine using Apache Lucene's FilterDirectoryReader for indexing and searching operations. The main purpose of this code seems to be the creation and management of indexes in Elasticsearch. 
Here are some key components involved:
1. `Engine` class - This appears to manage all aspects related to search and index</t>
        </is>
      </c>
      <c r="M291" t="n">
        <v>0.0037</v>
      </c>
      <c r="N291" t="n">
        <v>0.0606</v>
      </c>
      <c r="O291" t="n">
        <v>0.1538</v>
      </c>
    </row>
    <row r="292">
      <c r="A292" t="inlineStr">
        <is>
          <t>crate</t>
        </is>
      </c>
      <c r="B292" t="inlineStr">
        <is>
          <t>server/src/testFixtures/java/org/elasticsearch/test/gateway/TestGatewayAllocator.java</t>
        </is>
      </c>
      <c r="C292">
        <f>HYPERLINK("https://github.com/crate/crate/blob/master/server/src/testFixtures/java/org/elasticsearch/test/gateway/TestGatewayAllocator.java")</f>
        <v/>
      </c>
      <c r="D292" t="inlineStr">
        <is>
          <t>The code you provided is a Java class that implements the gateway functionality for Elasticsearch, which is an open source distributed real-time search and analytics engine. The license agreement details are included at the top of this file under Apache License 2.0 terms. This software allows users to distribute it as per these conditions unless otherwise agreed in writing by applicable law or agreed upon with the</t>
        </is>
      </c>
      <c r="E292" t="n">
        <v>0.0072</v>
      </c>
      <c r="F292" t="n">
        <v>0.0779</v>
      </c>
      <c r="G292" t="n">
        <v>0.2676</v>
      </c>
      <c r="H292" t="inlineStr">
        <is>
          <t>/*
  Licensed to Elasticsearch under one or more contributor
  license agreements. See the NOTICE file distributed with
  this work for additional information regarding copyright
  ownership. Elasticsearch licenses this file to you under
  the Apache License, Version 2.0 (the "License"); you may
  not use this file except in compliance with</t>
        </is>
      </c>
      <c r="I292" t="n">
        <v>0</v>
      </c>
      <c r="J292" t="n">
        <v>0.0351</v>
      </c>
      <c r="K292" t="n">
        <v>0.08260000000000001</v>
      </c>
      <c r="L292" t="inlineStr">
        <is>
          <t>The code provided is a part of the Elasticsearch backend software component and it's responsible for testing gateway functionality in an elastic search cluster. The main purpose of this code seems to be to verify if all shards are allocated correctly on different nodes within the cluster.
It takes as input a list of DiscoveryNodes (which represent individual nodes within the cluster) along with their corresponding</t>
        </is>
      </c>
      <c r="M292" t="n">
        <v>0.0036</v>
      </c>
      <c r="N292" t="n">
        <v>0.0533</v>
      </c>
      <c r="O292" t="n">
        <v>0.1449</v>
      </c>
    </row>
    <row r="293">
      <c r="A293" t="inlineStr">
        <is>
          <t>crate</t>
        </is>
      </c>
      <c r="B293" t="inlineStr">
        <is>
          <t>server/src/testFixtures/java/org/elasticsearch/test/store/MockFSIndexStore.java</t>
        </is>
      </c>
      <c r="C293">
        <f>HYPERLINK("https://github.com/crate/crate/blob/master/server/src/testFixtures/java/org/elasticsearch/test/store/MockFSIndexStore.java")</f>
        <v/>
      </c>
      <c r="D293" t="inlineStr">
        <is>
          <t>The code is licensed under Apache License 2.0 and it's distributed with the work for additional information regarding copyright ownership. The license grants permission to use this file except in compliance with the License which can be obtained at http://www.apache.org/licenses/LICENSE-2.0 Unless required by applicable law or agreed to in writing, software distributed under the License is distributed</t>
        </is>
      </c>
      <c r="E293" t="n">
        <v>0.0038</v>
      </c>
      <c r="F293" t="n">
        <v>0.0541</v>
      </c>
      <c r="G293" t="n">
        <v>0.155</v>
      </c>
      <c r="H293" t="inlineStr">
        <is>
          <t>The provided code is a Java class that contains an implementation of the add function for two numbers using Apache License 2.0 as stated in comments. The functionality of this code includes adding two numbers and returning their sum which has time complexity O(1). It's licensed under one or more contributor license agreements. This file may not be used except in compliance with the License. You can obtain</t>
        </is>
      </c>
      <c r="I293" t="n">
        <v>0.0035</v>
      </c>
      <c r="J293" t="n">
        <v>0.0759</v>
      </c>
      <c r="K293" t="n">
        <v>0.1786</v>
      </c>
      <c r="L293" t="inlineStr">
        <is>
          <t>The provided code is a part of the Elasticsearch project's test store package. It imports necessary classes for logging and handling settings in an elastic search environment. The main purpose of this code seems to be managing and storing tests related data efficiently.
It uses Apache Logging library (`org.apache.logging.log4j.Logger`) for logging purposes.</t>
        </is>
      </c>
      <c r="M293" t="n">
        <v>0.0035</v>
      </c>
      <c r="N293" t="n">
        <v>0.0615</v>
      </c>
      <c r="O293" t="n">
        <v>0.121</v>
      </c>
    </row>
    <row r="294">
      <c r="A294" t="inlineStr">
        <is>
          <t>crate</t>
        </is>
      </c>
      <c r="B294" t="inlineStr">
        <is>
          <t>server/src/testFixtures/java/org/elasticsearch/test/store/MockFSDirectoryFactory.java</t>
        </is>
      </c>
      <c r="C294">
        <f>HYPERLINK("https://github.com/crate/crate/blob/master/server/src/testFixtures/java/org/elasticsearch/test/store/MockFSDirectoryFactory.java")</f>
        <v/>
      </c>
      <c r="D294" t="inlineStr">
        <is>
          <t>&lt;!-- This repository contains backend software components written in Java and is licensed under Apache License 2.0. The code implements core algorithms but does not contain any comments or documentation explaining the functionality of individual methods. It's distributed on an "AS IS" BASIS without warranties or conditions of any kind either expressed or implied. --&gt;
The provided code appears to be</t>
        </is>
      </c>
      <c r="E294" t="n">
        <v>0.0083</v>
      </c>
      <c r="F294" t="n">
        <v>0.1449</v>
      </c>
      <c r="G294" t="n">
        <v>0.3206</v>
      </c>
      <c r="H294" t="inlineStr">
        <is>
          <t>The code you provided is a Java package that contains backend software components for Elasticsearch. It implements core algorithms and includes some tests to ensure the correctness of these implementations. The license at the top of this file states that it's licensed under Apache License 2.0 which means anyone can use or modify this code as long as they comply with its terms.
In summary</t>
        </is>
      </c>
      <c r="I294" t="n">
        <v>0.007</v>
      </c>
      <c r="J294" t="n">
        <v>0.1067</v>
      </c>
      <c r="K294" t="n">
        <v>0.3112</v>
      </c>
      <c r="L294" t="inlineStr">
        <is>
          <t>The provided code is a part of the Elasticsearch project and it's used for testing purposes related to data storage in an embedded mode (i.e., running tests within the same JVM). The main purpose of this class seems to be managing file system resources during test execution.
It defines two methods `open` and `close` which are responsible for opening and closing files</t>
        </is>
      </c>
      <c r="M294" t="n">
        <v>0.0029</v>
      </c>
      <c r="N294" t="n">
        <v>0.0556</v>
      </c>
      <c r="O294" t="n">
        <v>0.1119</v>
      </c>
    </row>
    <row r="295">
      <c r="A295" t="inlineStr">
        <is>
          <t>crate</t>
        </is>
      </c>
      <c r="B295" t="inlineStr">
        <is>
          <t>server/src/testFixtures/java/org/elasticsearch/test/hamcrest/ElasticsearchAssertions.java</t>
        </is>
      </c>
      <c r="C295">
        <f>HYPERLINK("https://github.com/crate/crate/blob/master/server/src/testFixtures/java/org/elasticsearch/test/hamcrest/ElasticsearchAssertions.java")</f>
        <v/>
      </c>
      <c r="D295" t="inlineStr">
        <is>
          <t>The code provided is a Java class that contains tests using Hamcrest and AssertJ for ElasticSearch. It's licensed under Apache License 2.0 (see NOTICE file). The license grants the user permission to use this software in compliance with the terms of the license. This includes obtaining a copy of the license at http://www.apache.org/licenses/LICENSE</t>
        </is>
      </c>
      <c r="E295" t="n">
        <v>0.0045</v>
      </c>
      <c r="F295" t="n">
        <v>0.0588</v>
      </c>
      <c r="G295" t="n">
        <v>0.16</v>
      </c>
      <c r="H295" t="inlineStr">
        <is>
          <t>The provided code is a Java class that contains a method for adding two numbers together and it's licensed under the Apache License 2.0. The function takes in two integers as parameters and returns their sum. This operation has a time complexity of O(1), meaning its execution time does not change with an increase in input size.
The license grants you permission to use this file</t>
        </is>
      </c>
      <c r="I295" t="n">
        <v>0.0033</v>
      </c>
      <c r="J295" t="n">
        <v>0.0519</v>
      </c>
      <c r="K295" t="n">
        <v>0.1087</v>
      </c>
      <c r="L295" t="inlineStr">
        <is>
          <t>```java
// This code is licensed under the Apache License 2.0 (https://www.apache.org/licenses/LICENSE-2.0). Elasticsearch licenses this file to you under one or more contributor license agreements. See the NOTICE file distributed with this work for additional information regarding copyright ownership. Unless required by applicable law or agreed to</t>
        </is>
      </c>
      <c r="M295" t="n">
        <v>0.0039</v>
      </c>
      <c r="N295" t="n">
        <v>0.0323</v>
      </c>
      <c r="O295" t="n">
        <v>0.08400000000000001</v>
      </c>
    </row>
    <row r="296">
      <c r="A296" t="inlineStr">
        <is>
          <t>crate</t>
        </is>
      </c>
      <c r="B296" t="inlineStr">
        <is>
          <t>server/src/testFixtures/java/org/elasticsearch/test/test/ESTestCaseTests.java</t>
        </is>
      </c>
      <c r="C296">
        <f>HYPERLINK("https://github.com/crate/crate/blob/master/server/src/testFixtures/java/org/elasticsearch/test/test/ESTestCaseTests.java")</f>
        <v/>
      </c>
      <c r="D296" t="inlineStr">
        <is>
          <t>The code provided is licensed under Apache License 2.0 and it's a test class for Elasticsearch. The license allows the use of this file except in compliance with the terms specified in the license. It also specifies conditions that must be met to distribute software distributed under the license. This includes being "AS IS", without warranties or conditions of any kind.
Please note</t>
        </is>
      </c>
      <c r="E296" t="n">
        <v>0.0038</v>
      </c>
      <c r="F296" t="n">
        <v>0.0548</v>
      </c>
      <c r="G296" t="n">
        <v>0.1481</v>
      </c>
      <c r="H296" t="inlineStr">
        <is>
          <t>The provided code is a Java class that contains the definition of an `add` method for two integers. The function takes in two parameters (numbers), adds them together and returns the result. This operation has a time complexity of O(1). 
In addition to this, there are license comments at the top of the file which state under what conditions you can use or distribute it</t>
        </is>
      </c>
      <c r="I296" t="n">
        <v>0.0033</v>
      </c>
      <c r="J296" t="n">
        <v>0.0541</v>
      </c>
      <c r="K296" t="n">
        <v>0.1095</v>
      </c>
      <c r="L296" t="inlineStr">
        <is>
          <t>The provided code is a Java implementation of an Elasticsearch test class that uses AssertJ for asserting the results of various tests against the Elasticsearch server. The main purpose of this code seems to be testing the functionality and performance of different components in the system like search engine or database indexing related functionalities.
To summarize, it performs unit tests on several aspects such as</t>
        </is>
      </c>
      <c r="M296" t="n">
        <v>0.0059</v>
      </c>
      <c r="N296" t="n">
        <v>0.0822</v>
      </c>
      <c r="O296" t="n">
        <v>0.2304</v>
      </c>
    </row>
    <row r="297">
      <c r="A297" t="inlineStr">
        <is>
          <t>crate</t>
        </is>
      </c>
      <c r="B297" t="inlineStr">
        <is>
          <t>server/src/testFixtures/java/org/elasticsearch/test/test/InternalTestClusterTests.java</t>
        </is>
      </c>
      <c r="C297">
        <f>HYPERLINK("https://github.com/crate/crate/blob/master/server/src/testFixtures/java/org/elasticsearch/test/test/InternalTestClusterTests.java")</f>
        <v/>
      </c>
      <c r="D297" t="inlineStr">
        <is>
          <t># This code is licensed under the Apache License 2.0 (see http://www.apache.org/licenses/LICENSE-2.0). You may not use this file except in compliance with the license. The software distributed under the license is provided as an "AS IS" BASIS without warranties or conditions of any kind either express or implied. Please see</t>
        </is>
      </c>
      <c r="E297" t="n">
        <v>0.0044</v>
      </c>
      <c r="F297" t="n">
        <v>0.0615</v>
      </c>
      <c r="G297" t="n">
        <v>0.123</v>
      </c>
      <c r="H297" t="inlineStr">
        <is>
          <t>The provided code appears to be a license agreement for software developed by Crate.io GmbH ("Crate"). The license is under the Apache License, Version 2.0 (the "License"), which requires that any derivative works must also use this same license and disclose source code. This includes modifications made by contributors or other parties. If you have executed another commercial license agreement with</t>
        </is>
      </c>
      <c r="I297" t="n">
        <v>0.0039</v>
      </c>
      <c r="J297" t="n">
        <v>0.0563</v>
      </c>
      <c r="K297" t="n">
        <v>0.1504</v>
      </c>
      <c r="L297" t="inlineStr">
        <is>
          <t>The provided code is licensed under the Apache License 2.0 and it's used by Crate.io GmbH ("Crate"). The license agreement requires that any modifications or uses of this file must comply with the terms specified in the license.
The main purpose of this software component appears to be handling data storage and retrieval using a distributed database system. It seems to</t>
        </is>
      </c>
      <c r="M297" t="n">
        <v>0.0036</v>
      </c>
      <c r="N297" t="n">
        <v>0.0833</v>
      </c>
      <c r="O297" t="n">
        <v>0.2373</v>
      </c>
    </row>
    <row r="298">
      <c r="A298" t="inlineStr">
        <is>
          <t>crate</t>
        </is>
      </c>
      <c r="B298" t="inlineStr">
        <is>
          <t>server/src/testFixtures/java/org/elasticsearch/test/test/InternalTestClusterIT.java</t>
        </is>
      </c>
      <c r="C298">
        <f>HYPERLINK("https://github.com/crate/crate/blob/master/server/src/testFixtures/java/org/elasticsearch/test/test/InternalTestClusterIT.java")</f>
        <v/>
      </c>
      <c r="D298" t="inlineStr">
        <is>
          <t>The code provided is licensed under Apache License 2.0 and it's written in Java language for ElasticSearch project. It contains a test case which uses AssertJ library to validate the results of certain operations against an instance of NodeClient class from ElasticSearch client API. The license agreement states that you may not use this file except in compliance with the Apache License Version 2.0</t>
        </is>
      </c>
      <c r="E298" t="n">
        <v>0.0028</v>
      </c>
      <c r="F298" t="n">
        <v>0.0267</v>
      </c>
      <c r="G298" t="n">
        <v>0.1103</v>
      </c>
      <c r="H298" t="inlineStr">
        <is>
          <t>The code provided is a Java function for adding two numbers using the Apache License 2.0 which states that it's licensed under one or more contributor agreements. The license can be found at http://www.apache.org/licenses/LICENSE-2.0 and includes conditions such as not to use this file except in compliance with the License. This software distributed under the License</t>
        </is>
      </c>
      <c r="I298" t="n">
        <v>0.0076</v>
      </c>
      <c r="J298" t="n">
        <v>0.0548</v>
      </c>
      <c r="K298" t="n">
        <v>0.2466</v>
      </c>
      <c r="L298" t="inlineStr">
        <is>
          <t>The provided code is a Java class that tests the functionality of an Elasticsearch client using AssertJ for assertions. The main purpose of this test suite seems to be to verify certain aspects of interaction with an Elasticsearch server.
Here's a concise summary: This class sets up and configures an in-memory instance of Elasticsearch (using NodeClient) for</t>
        </is>
      </c>
      <c r="M298" t="n">
        <v>0.0042</v>
      </c>
      <c r="N298" t="n">
        <v>0.0597</v>
      </c>
      <c r="O298" t="n">
        <v>0.1163</v>
      </c>
    </row>
    <row r="299">
      <c r="A299" t="inlineStr">
        <is>
          <t>crate</t>
        </is>
      </c>
      <c r="B299" t="inlineStr">
        <is>
          <t>server/src/testFixtures/java/org/elasticsearch/test/test/LoggingListenerTests.java</t>
        </is>
      </c>
      <c r="C299">
        <f>HYPERLINK("https://github.com/crate/crate/blob/master/server/src/testFixtures/java/org/elasticsearch/test/test/LoggingListenerTests.java")</f>
        <v/>
      </c>
      <c r="D299" t="inlineStr">
        <is>
          <t>The provided code is licensed under Apache License 2.0 and it's distributed with the work for additional information regarding copyright ownership. The license permits usage of this file except in compliance with the conditions specified therein. It can be obtained at http://www.apache.org/licenses/LICENSE-2.0 Unless required by applicable law or agreed to in writing, software distributed under the</t>
        </is>
      </c>
      <c r="E299" t="n">
        <v>0.0039</v>
      </c>
      <c r="F299" t="n">
        <v>0.0548</v>
      </c>
      <c r="G299" t="n">
        <v>0.1563</v>
      </c>
      <c r="H299" t="inlineStr">
        <is>
          <t>The code you provided is a Java method for addition of two numbers using the Apache License 2.0. The function `add` takes in two parameters (numbers), adds them together and returns the result. This operation has a time complexity of O(1).
Here's the summary without repeating any part of your original message or code:
```plaintext
Function</t>
        </is>
      </c>
      <c r="I299" t="n">
        <v>0.0039</v>
      </c>
      <c r="J299" t="n">
        <v>0.0597</v>
      </c>
      <c r="K299" t="n">
        <v>0.1172</v>
      </c>
      <c r="L299" t="inlineStr">
        <is>
          <t>The provided code is a Java class that tests Elasticsearch's core algorithms using AssertJ assertions. The main purpose of this code seems to be unit testing for the org.elasticsearch package. 
It starts by importing necessary classes and packages from both AssertJ (a testing framework) and java.lang.reflect libraries. Then it defines two test methods - one for</t>
        </is>
      </c>
      <c r="M299" t="n">
        <v>0.0039</v>
      </c>
      <c r="N299" t="n">
        <v>0.0597</v>
      </c>
      <c r="O299" t="n">
        <v>0.1563</v>
      </c>
    </row>
    <row r="300">
      <c r="A300" t="inlineStr">
        <is>
          <t>crate</t>
        </is>
      </c>
      <c r="B300" t="inlineStr">
        <is>
          <t>server/src/testFixtures/java/org/elasticsearch/test/disruption/NetworkDisruptionTests.java</t>
        </is>
      </c>
      <c r="C300">
        <f>HYPERLINK("https://github.com/crate/crate/blob/master/server/src/testFixtures/java/org/elasticsearch/test/disruption/NetworkDisruptionTests.java")</f>
        <v/>
      </c>
      <c r="D300" t="inlineStr">
        <is>
          <t>The code provided is a Java class for testing the disruption of Elasticsearch, which is an open source distributed real-time search and analytics engine. It's licensed under Apache License 2.0 (see NOTICE file). The purpose of this test case extends ESTestCase from Elasticsearch repository. This class uses assertJ library to validate results.
The main</t>
        </is>
      </c>
      <c r="E300" t="n">
        <v>0.004</v>
      </c>
      <c r="F300" t="n">
        <v>0.0308</v>
      </c>
      <c r="G300" t="n">
        <v>0.119</v>
      </c>
      <c r="H300" t="inlineStr">
        <is>
          <t>The code provided is a simple function for addition of two numbers in Java. The functionality it provides is straightforward - takes two integers as input and returns their sum. This operation has a time complexity of O(1), meaning the execution time remains constant regardless of the size of inputs.
Here's the summary of this code snippet:
```java
public class Main {</t>
        </is>
      </c>
      <c r="I300" t="n">
        <v>0.0039</v>
      </c>
      <c r="J300" t="n">
        <v>0.0571</v>
      </c>
      <c r="K300" t="n">
        <v>0.1119</v>
      </c>
      <c r="L300" t="inlineStr">
        <is>
          <t>The provided code is a Java class named `DisruptionTest` in the package `org.elasticsearch.test.disruption`. This class extends from an abstract base test case class called `ESTestCase` and uses static import for AssertJ assertions. 
The main purpose of this class seems to be testing how well Elasticsearch handles disruptions or failures</t>
        </is>
      </c>
      <c r="M300" t="n">
        <v>0.0045</v>
      </c>
      <c r="N300" t="n">
        <v>0.0667</v>
      </c>
      <c r="O300" t="n">
        <v>0.124</v>
      </c>
    </row>
    <row r="301">
      <c r="A301" t="inlineStr">
        <is>
          <t>crate</t>
        </is>
      </c>
      <c r="B301" t="inlineStr">
        <is>
          <t>server/src/testFixtures/java/org/elasticsearch/test/disruption/SlowClusterStateProcessing.java</t>
        </is>
      </c>
      <c r="C301">
        <f>HYPERLINK("https://github.com/crate/crate/blob/master/server/src/testFixtures/java/org/elasticsearch/test/disruption/SlowClusterStateProcessing.java")</f>
        <v/>
      </c>
      <c r="D301" t="inlineStr">
        <is>
          <t>The code provided is licensed under Apache License 2.0 and contains a test for Elasticsearch's disruption capabilities. It uses the CountDownLatch class to coordinate between multiple threads, AtomicBoolean to manage shared flags, and ActionListener interface for handling asynchronous operations in Java. The license allows anyone to use this file except where it contradicts with the terms of the license agreement</t>
        </is>
      </c>
      <c r="E301" t="n">
        <v>0.003</v>
      </c>
      <c r="F301" t="n">
        <v>0.0286</v>
      </c>
      <c r="G301" t="n">
        <v>0.1136</v>
      </c>
      <c r="H301" t="inlineStr">
        <is>
          <t>The provided code is a Java implementation of the Apache License 2.0, which includes copyright and license information about Elasticsearch. It also contains comments explaining what each section does for anyone who might be reviewing it in detail. The function add() adds two numbers together using basic arithmetic operations. This operation has a time complexity of O(1), meaning that no matter how large these numbers</t>
        </is>
      </c>
      <c r="I301" t="n">
        <v>0.0033</v>
      </c>
      <c r="J301" t="n">
        <v>0.0533</v>
      </c>
      <c r="K301" t="n">
        <v>0.146</v>
      </c>
      <c r="L301" t="inlineStr">
        <is>
          <t>The provided code is a Java class named `DisruptionsTest` that tests the disruption of Elasticsearch nodes by simulating network failures and observing how they affect cluster health. It does this through multiple threads running concurrent operations on different nodes in an Elasticsearch cluster.
It has four main components: 
1. The `NodeFailureSimulator` which takes</t>
        </is>
      </c>
      <c r="M301" t="n">
        <v>0.0035</v>
      </c>
      <c r="N301" t="n">
        <v>0.0328</v>
      </c>
      <c r="O301" t="n">
        <v>0.12</v>
      </c>
    </row>
    <row r="302">
      <c r="A302" t="inlineStr">
        <is>
          <t>crate</t>
        </is>
      </c>
      <c r="B302" t="inlineStr">
        <is>
          <t>server/src/testFixtures/java/org/elasticsearch/test/disruption/BlockMasterServiceOnMaster.java</t>
        </is>
      </c>
      <c r="C302">
        <f>HYPERLINK("https://github.com/crate/crate/blob/master/server/src/testFixtures/java/org/elasticsearch/test/disruption/BlockMasterServiceOnMaster.java")</f>
        <v/>
      </c>
      <c r="D302" t="inlineStr">
        <is>
          <t>```plaintext
The provided code is licensed under Apache License 2.0 and is part of Elasticsearch project. It's a Java class for testing the disruptions in Elasticsearch cluster state updates. The license requires that any modifications to this file must be distributed under the same terms as the original source code (Apache License 2.0). This notice should remain</t>
        </is>
      </c>
      <c r="E302" t="n">
        <v>0.0038</v>
      </c>
      <c r="F302" t="n">
        <v>0.0294</v>
      </c>
      <c r="G302" t="n">
        <v>0.1163</v>
      </c>
      <c r="H302" t="inlineStr">
        <is>
          <t>The provided code is a Java class that contains the definition of an `add` method for adding two numbers together. The function operates under O(1) complexity as it performs a constant number of operations regardless of input size. This means its time complexity remains constant and does not increase with increasing inputs.
In terms of comments, this code has been well documented to indicate what each part of</t>
        </is>
      </c>
      <c r="I302" t="n">
        <v>0.0032</v>
      </c>
      <c r="J302" t="n">
        <v>0.0519</v>
      </c>
      <c r="K302" t="n">
        <v>0.1071</v>
      </c>
      <c r="L302" t="inlineStr">
        <is>
          <t>The provided code is a part of Elasticsearch's disruption testing module. It defines two classes `Disruptions` and `ConcurrentIndexUpdatesTest` that are used to test the concurrency behavior in an index update scenario. The main purpose of these classes seems to be to simulate different types of updates (concurrent or sequential) on multiple indices and measure how they impact</t>
        </is>
      </c>
      <c r="M302" t="n">
        <v>0.0032</v>
      </c>
      <c r="N302" t="n">
        <v>0.0606</v>
      </c>
      <c r="O302" t="n">
        <v>0.0775</v>
      </c>
    </row>
    <row r="303">
      <c r="A303" t="inlineStr">
        <is>
          <t>crate</t>
        </is>
      </c>
      <c r="B303" t="inlineStr">
        <is>
          <t>server/src/testFixtures/java/org/elasticsearch/test/disruption/DisruptableMockTransport.java</t>
        </is>
      </c>
      <c r="C303">
        <f>HYPERLINK("https://github.com/crate/crate/blob/master/server/src/testFixtures/java/org/elasticsearch/test/disruption/DisruptableMockTransport.java")</f>
        <v/>
      </c>
      <c r="D303" t="inlineStr">
        <is>
          <t>The code provided is licensed under Apache License 2.0 and it's a part of Elasticsearch test suite for checking the disruption in its operations. The license grants you permission to use this file except when not compliant with the terms of the license. It also specifies conditions on how software distributed under the license should be handled. This includes that no warranties are given regarding the distribution</t>
        </is>
      </c>
      <c r="E303" t="n">
        <v>0.0036</v>
      </c>
      <c r="F303" t="n">
        <v>0.0519</v>
      </c>
      <c r="G303" t="n">
        <v>0.1439</v>
      </c>
      <c r="H303" t="inlineStr">
        <is>
          <t>This repository contains backend software components that implement core algorithms. The code is licensed under Apache License 2.0 and can be found at http://www.apache.org/licenses/LICENSE-2.0. It's distributed on an "AS IS" BASIS, WITHOUT WARRANTIES OR CONDITIONS OF ANY KIND, either express or implied. See the</t>
        </is>
      </c>
      <c r="I303" t="n">
        <v>0.0059</v>
      </c>
      <c r="J303" t="n">
        <v>0.1639</v>
      </c>
      <c r="K303" t="n">
        <v>0.3207</v>
      </c>
      <c r="L303" t="inlineStr">
        <is>
          <t>The provided code is part of the Elasticsearch project and it's used for testing purposes related to disruptions in network conditions. It imports several classes from different packages including `ESEstCase` which provides various methods for unit tests. 
There are two main functionalities defined within this file - one being a static method called `copyWriteable()` that checks if</t>
        </is>
      </c>
      <c r="M303" t="n">
        <v>0.0032</v>
      </c>
      <c r="N303" t="n">
        <v>0.0308</v>
      </c>
      <c r="O303" t="n">
        <v>0.1163</v>
      </c>
    </row>
    <row r="304">
      <c r="A304" t="inlineStr">
        <is>
          <t>crate</t>
        </is>
      </c>
      <c r="B304" t="inlineStr">
        <is>
          <t>server/src/testFixtures/java/org/elasticsearch/test/disruption/SingleNodeDisruption.java</t>
        </is>
      </c>
      <c r="C304">
        <f>HYPERLINK("https://github.com/crate/crate/blob/master/server/src/testFixtures/java/org/elasticsearch/test/disruption/SingleNodeDisruption.java")</f>
        <v/>
      </c>
      <c r="D304" t="inlineStr">
        <is>
          <t>The provided code is licensed under Apache License 2.0 and it's a Java class for testing the disruption of Elasticsearch cluster by randomly shutting down nodes in the cluster. The test checks if the system can still function correctly after some nodes are stopped or restarted. It uses AssertJ library to assert that certain conditions hold true during runtime. This file should be</t>
        </is>
      </c>
      <c r="E304" t="n">
        <v>0.0034</v>
      </c>
      <c r="F304" t="n">
        <v>0.0274</v>
      </c>
      <c r="G304" t="n">
        <v>0.1111</v>
      </c>
      <c r="H304" t="inlineStr">
        <is>
          <t>The code provided is a simple addition function in Java named `add` that takes two integers as input and returns their sum. The complexity of this operation is O(1), meaning it performs the same number of operations regardless of the size of the inputs. 
It's licensed under Apache License Version 2.0 which means you can use, modify or distribute the software for any</t>
        </is>
      </c>
      <c r="I304" t="n">
        <v>0.0034</v>
      </c>
      <c r="J304" t="n">
        <v>0.0541</v>
      </c>
      <c r="K304" t="n">
        <v>0.1481</v>
      </c>
      <c r="L304" t="inlineStr">
        <is>
          <t>The provided code is a Java class that tests the disruption of Elasticsearch's core algorithms by generating random data and comparing it to expected results. The primary purpose of this code seems to be testing the stability and performance of these algorithms under various conditions.
It uses an Apache Logging library for logging purposes which can help in debugging if any issues arise during execution. It also</t>
        </is>
      </c>
      <c r="M304" t="n">
        <v>0.0032</v>
      </c>
      <c r="N304" t="n">
        <v>0.0526</v>
      </c>
      <c r="O304" t="n">
        <v>0.1439</v>
      </c>
    </row>
    <row r="305">
      <c r="A305" t="inlineStr">
        <is>
          <t>crate</t>
        </is>
      </c>
      <c r="B305" t="inlineStr">
        <is>
          <t>server/src/testFixtures/java/org/elasticsearch/test/disruption/BlockClusterStateProcessing.java</t>
        </is>
      </c>
      <c r="C305">
        <f>HYPERLINK("https://github.com/crate/crate/blob/master/server/src/testFixtures/java/org/elasticsearch/test/disruption/BlockClusterStateProcessing.java")</f>
        <v/>
      </c>
      <c r="D305" t="inlineStr">
        <is>
          <t>The code provided is a Java implementation of an Elasticsearch test for disruptions. It uses the Apache License 2.0 which requires that any derivative works be distributed under the same license and must include copyright notices with original work. The software can only be used in compliance with this license agreement. An instance of CountDownLatch is being utilized to control concurrency between threads, while</t>
        </is>
      </c>
      <c r="E305" t="n">
        <v>0.0034</v>
      </c>
      <c r="F305" t="n">
        <v>0.0548</v>
      </c>
      <c r="G305" t="n">
        <v>0.1838</v>
      </c>
      <c r="H305" t="inlineStr">
        <is>
          <t>The code you provided is a Java method for adding two numbers (`a` and `b`). It uses the basic arithmetic operation of addition to add these two numbers together. This function does not contain any loops or recursive calls so its time complexity is O(1), meaning it performs a constant number of operations regardless of input size. The license at the top of this file states that</t>
        </is>
      </c>
      <c r="I305" t="n">
        <v>0.0032</v>
      </c>
      <c r="J305" t="n">
        <v>0.0526</v>
      </c>
      <c r="K305" t="n">
        <v>0.1079</v>
      </c>
      <c r="L305" t="inlineStr">
        <is>
          <t>The provided code is a test for Elasticsearch's disruption package. It tests the stability and performance of an elastic search cluster by simulating various types of disrupts such as node failures or data indexing disrupts.
It does this through multiple threads that perform operations on different nodes in parallel. The main purpose of these threads is to simulate network partitions, node failure</t>
        </is>
      </c>
      <c r="M305" t="n">
        <v>0.0029</v>
      </c>
      <c r="N305" t="n">
        <v>0.0282</v>
      </c>
      <c r="O305" t="n">
        <v>0.0746</v>
      </c>
    </row>
    <row r="306">
      <c r="A306" t="inlineStr">
        <is>
          <t>crate</t>
        </is>
      </c>
      <c r="B306" t="inlineStr">
        <is>
          <t>server/src/testFixtures/java/org/elasticsearch/test/disruption/NetworkDisruption.java</t>
        </is>
      </c>
      <c r="C306">
        <f>HYPERLINK("https://github.com/crate/crate/blob/master/server/src/testFixtures/java/org/elasticsearch/test/disruption/NetworkDisruption.java")</f>
        <v/>
      </c>
      <c r="D306" t="inlineStr">
        <is>
          <t>The code provided is a Java program that tests the disruption of Elasticsearch under various conditions using randomized testing techniques from Carrot Search library. It's distributed under Apache License 2.0 and may not be used except in compliance with this license. The specific language governing permissions and limitations are detailed in the license file located at http://www.apache.org/licenses/LIC</t>
        </is>
      </c>
      <c r="E306" t="n">
        <v>0.0032</v>
      </c>
      <c r="F306" t="n">
        <v>0.0556</v>
      </c>
      <c r="G306" t="n">
        <v>0.1163</v>
      </c>
      <c r="H306" t="inlineStr">
        <is>
          <t>The code provided is a Java package for testing Elasticsearch's disruptions. The functionality of the code revolves around generating random picks and logging them using Apache Log4J library. It also includes some license information at the top which states that it can be used under one or more contributor agreements as well as conditions regarding copyright ownership. This file may not be used except in compliance with the</t>
        </is>
      </c>
      <c r="I306" t="n">
        <v>0.0035</v>
      </c>
      <c r="J306" t="n">
        <v>0.0519</v>
      </c>
      <c r="K306" t="n">
        <v>0.1071</v>
      </c>
      <c r="L306" t="inlineStr">
        <is>
          <t>The provided code is a part of an Elasticsearch test suite for randomized testing and disruption handling in Java. It's designed to randomly select elements from large datasets using the Random Picks class from Carrot Search library. The purpose of this module seems to be to provide robustness against system failures or crashes by running tests on different subsets of data with varying sizes.
The</t>
        </is>
      </c>
      <c r="M306" t="n">
        <v>0.0033</v>
      </c>
      <c r="N306" t="n">
        <v>0.0541</v>
      </c>
      <c r="O306" t="n">
        <v>0.146</v>
      </c>
    </row>
    <row r="307">
      <c r="A307" t="inlineStr">
        <is>
          <t>crate</t>
        </is>
      </c>
      <c r="B307" t="inlineStr">
        <is>
          <t>server/src/testFixtures/java/org/elasticsearch/test/disruption/NoOpDisruptionScheme.java</t>
        </is>
      </c>
      <c r="C307">
        <f>HYPERLINK("https://github.com/crate/crate/blob/master/server/src/testFixtures/java/org/elasticsearch/test/disruption/NoOpDisruptionScheme.java")</f>
        <v/>
      </c>
      <c r="D307" t="inlineStr">
        <is>
          <t>The provided code is a Java implementation of the No Op Disruption Scheme for Elasticsearch testing. It implements an interface `ServiceDisruptionScheme` and provides no disruptive behavior to simulate a service that doesn't fail but still behaves differently under different conditions (like being overloaded). The license at the top indicates it may be used under Apache License 2.0</t>
        </is>
      </c>
      <c r="E307" t="n">
        <v>0.0038</v>
      </c>
      <c r="F307" t="n">
        <v>0.0597</v>
      </c>
      <c r="G307" t="n">
        <v>0.1163</v>
      </c>
      <c r="H307" t="inlineStr">
        <is>
          <t>The provided code is a Java class named NoOpDisruptionScheme that implements the ServiceDisruptionScheme interface from Elasticsearch's disruption testing framework. This means it provides no operation (no disruptions at all), but serves as an example of how to create custom service disruption schemes for use in tests. The license information at the top of the file states that this</t>
        </is>
      </c>
      <c r="I307" t="n">
        <v>0.0037</v>
      </c>
      <c r="J307" t="n">
        <v>0.0299</v>
      </c>
      <c r="K307" t="n">
        <v>0.1154</v>
      </c>
      <c r="L307" t="inlineStr">
        <is>
          <t>The provided code is a Java class named NoOpDisruptionScheme that implements the ServiceDisruptionScheme interface from Elasticsearch's test module. This class does not perform any disruptive actions during testing but serves as a placeholder for future implementations of service disruption schemes in Elasticsearch.
It takes no inputs and returns nothing when executed. The purpose of</t>
        </is>
      </c>
      <c r="M307" t="n">
        <v>0.0045</v>
      </c>
      <c r="N307" t="n">
        <v>0.09520000000000001</v>
      </c>
      <c r="O307" t="n">
        <v>0.119</v>
      </c>
    </row>
    <row r="308">
      <c r="A308" t="inlineStr">
        <is>
          <t>crate</t>
        </is>
      </c>
      <c r="B308" t="inlineStr">
        <is>
          <t>server/src/testFixtures/java/org/elasticsearch/test/disruption/ServiceDisruptionScheme.java</t>
        </is>
      </c>
      <c r="C308">
        <f>HYPERLINK("https://github.com/crate/crate/blob/master/server/src/testFixtures/java/org/elasticsearch/test/disruption/ServiceDisruptionScheme.java")</f>
        <v/>
      </c>
      <c r="D308" t="inlineStr">
        <is>
          <t>The provided code is licensed under Apache License 2.0 and it's a Java interface named ServiceDisruptionScheme that applies disruptive actions to an Elasticsearch cluster for testing purposes. It provides the method applyToCluster which accepts a TestCluster as input. The license details are given in the comments at the top of the file.
Please note that this summary does</t>
        </is>
      </c>
      <c r="E308" t="n">
        <v>0.0031</v>
      </c>
      <c r="F308" t="n">
        <v>0.0294</v>
      </c>
      <c r="G308" t="n">
        <v>0.0769</v>
      </c>
      <c r="H308" t="inlineStr">
        <is>
          <t>The provided code is a Java class that implements an interface for service disruption scheme in Elasticsearch. The `applyToCluster` method applies the disruption scheme to a given cluster. 
It appears to be licensed under Apache License Version 2.0 which means you can use it freely but must include the original license and copyright notice with any derivative works or copies of this work</t>
        </is>
      </c>
      <c r="I308" t="n">
        <v>0.0034</v>
      </c>
      <c r="J308" t="n">
        <v>0.0556</v>
      </c>
      <c r="K308" t="n">
        <v>0.1481</v>
      </c>
      <c r="L308" t="inlineStr">
        <is>
          <t>The provided code is a Java interface named `ServiceDisruptionScheme` that appears to be part of an Elasticsearch test suite for simulating service disruptions.
It has one method called `applyToCluster()` which accepts a parameter of type `TestCluster` and also takes in another parameter `clusSummary` (which could potentially represent some kind of cluster summary or</t>
        </is>
      </c>
      <c r="M308" t="n">
        <v>0.0035</v>
      </c>
      <c r="N308" t="n">
        <v>0.0328</v>
      </c>
      <c r="O308" t="n">
        <v>0.08</v>
      </c>
    </row>
    <row r="309">
      <c r="A309" t="inlineStr">
        <is>
          <t>crate</t>
        </is>
      </c>
      <c r="B309" t="inlineStr">
        <is>
          <t>server/src/testFixtures/java/org/elasticsearch/test/junit/annotations/TestLogging.java</t>
        </is>
      </c>
      <c r="C309">
        <f>HYPERLINK("https://github.com/crate/crate/blob/master/server/src/testFixtures/java/org/elasticsearch/test/junit/annotations/TestLogging.java")</f>
        <v/>
      </c>
      <c r="D309" t="inlineStr">
        <is>
          <t>The code provided is a Java annotation that Elasticsearch uses for testing purposes. It's licensed under the Apache License 2.0 and it specifies how long an annotated element should be retained in memory (how long its state will exist). The target of this annotation can be any element declared in a java program such as class or method etc., but not other annotations. This license provides</t>
        </is>
      </c>
      <c r="E309" t="n">
        <v>0.0033</v>
      </c>
      <c r="F309" t="n">
        <v>0.0263</v>
      </c>
      <c r="G309" t="n">
        <v>0.1087</v>
      </c>
      <c r="H309" t="inlineStr">
        <is>
          <t>The code you provided is a simple addition function in Python named `add` that takes two parameters and returns their sum. The complexity of this operation is O(1), meaning it always executes the same number of steps regardless of input size.
Here's your summary: 
```plaintext
Function Name: add
Input Parameters: Two numbers (integers or flo</t>
        </is>
      </c>
      <c r="I309" t="n">
        <v>0.0033</v>
      </c>
      <c r="J309" t="n">
        <v>0.0615</v>
      </c>
      <c r="K309" t="n">
        <v>0.1181</v>
      </c>
      <c r="L309" t="inlineStr">
        <is>
          <t>The provided code is a Java annotation that serves as a marker for JUnit tests in Elasticsearch project. It's used to indicate which methods should be treated as unit tests and run during the test suite execution. The purpose of this annotation is to provide information about what kind of testing needs to be performed on certain pieces of code.
Here are some key points from the code summary</t>
        </is>
      </c>
      <c r="M309" t="n">
        <v>0.0026</v>
      </c>
      <c r="N309" t="n">
        <v>0.0256</v>
      </c>
      <c r="O309" t="n">
        <v>0.1064</v>
      </c>
    </row>
    <row r="310">
      <c r="A310" t="inlineStr">
        <is>
          <t>crate</t>
        </is>
      </c>
      <c r="B310" t="inlineStr">
        <is>
          <t>server/src/testFixtures/java/org/elasticsearch/test/junit/annotations/Network.java</t>
        </is>
      </c>
      <c r="C310">
        <f>HYPERLINK("https://github.com/crate/crate/blob/master/server/src/testFixtures/java/org/elasticsearch/test/junit/annotations/Network.java")</f>
        <v/>
      </c>
      <c r="D310" t="inlineStr">
        <is>
          <t>The code is licensed under Apache License 2.0 and distributed under the terms specified in that license. The software may not be used except in compliance with this license. A copy of the license can be obtained at http://www.apache.org/licenses/LICENSE-2.0. This software is provided "as is", without any warranties or conditions of any kind, either</t>
        </is>
      </c>
      <c r="E310" t="n">
        <v>0.007900000000000001</v>
      </c>
      <c r="F310" t="n">
        <v>0.0571</v>
      </c>
      <c r="G310" t="n">
        <v>0.2505</v>
      </c>
      <c r="H310" t="inlineStr">
        <is>
          <t>The code you provided is a simple function for addition of two numbers in Python programming language. It's named 'add', which takes two parameters 'a' and 'b'. The complexity of this operation is O(1), meaning it always executes the same number of steps regardless of input size.
```python
def add(a, b):
    return a + b</t>
        </is>
      </c>
      <c r="I310" t="n">
        <v>0.0033</v>
      </c>
      <c r="J310" t="n">
        <v>0.0615</v>
      </c>
      <c r="K310" t="n">
        <v>0.1181</v>
      </c>
      <c r="L310" t="inlineStr">
        <is>
          <t>The provided code is a Java annotation that's used for categorizing and grouping tests in the Elasticsearch project using CarrotSearch's randomized testing framework. The purpose of this annotation is to specify which test groups (a category) each annotated class or method belongs to. This information helps with managing large numbers of tests by allowing developers to filter them based on their needs.</t>
        </is>
      </c>
      <c r="M310" t="n">
        <v>0.0035</v>
      </c>
      <c r="N310" t="n">
        <v>0.0278</v>
      </c>
      <c r="O310" t="n">
        <v>0.1119</v>
      </c>
    </row>
    <row r="311">
      <c r="A311" t="inlineStr">
        <is>
          <t>crate</t>
        </is>
      </c>
      <c r="B311" t="inlineStr">
        <is>
          <t>server/src/testFixtures/java/org/elasticsearch/test/junit/listeners/LoggingListener.java</t>
        </is>
      </c>
      <c r="C311">
        <f>HYPERLINK("https://github.com/crate/crate/blob/master/server/src/testFixtures/java/org/elasticsearch/test/junit/listeners/LoggingListener.java")</f>
        <v/>
      </c>
      <c r="D311" t="inlineStr">
        <is>
          <t>The code provided is a Java class that implements JUnit test listeners for Elasticsearch. It's licensed under Apache License 2.0 and it contains comments explaining the purpose of different parts of the code. The license grants users permission to use this file in compliance with the terms specified by the license. This software package may be distributed under the conditions stated in the license at http://www.</t>
        </is>
      </c>
      <c r="E311" t="n">
        <v>0.0069</v>
      </c>
      <c r="F311" t="n">
        <v>0.0519</v>
      </c>
      <c r="G311" t="n">
        <v>0.2696</v>
      </c>
      <c r="H311" t="inlineStr">
        <is>
          <t>The provided code is a Java implementation of the Apache License version 2.0 which governs usage and distribution rights for software components in Elasticsearch. The license permits use under one or more contributor agreements but requires that any derivative works are also licensed under this same agreement. It prohibits anyone from using the file except when compliant with the terms of the license. This can be obtained at</t>
        </is>
      </c>
      <c r="I311" t="n">
        <v>0.0035</v>
      </c>
      <c r="J311" t="n">
        <v>0.0519</v>
      </c>
      <c r="K311" t="n">
        <v>0.1786</v>
      </c>
      <c r="L311" t="inlineStr">
        <is>
          <t>The provided code is a JUnit test listener for Elasticsearch. It's used to log and manage the execution of tests in an automated testing environment.
Key operations include logging information about each test run using Apache Log4J library, managing logs based on their severities (error, info etc.), and providing notifications when certain events occur during the test process such as starting or ending</t>
        </is>
      </c>
      <c r="M311" t="n">
        <v>0.0029</v>
      </c>
      <c r="N311" t="n">
        <v>0.0278</v>
      </c>
      <c r="O311" t="n">
        <v>0.0741</v>
      </c>
    </row>
    <row r="312">
      <c r="A312" t="inlineStr">
        <is>
          <t>crate</t>
        </is>
      </c>
      <c r="B312" t="inlineStr">
        <is>
          <t>server/src/testFixtures/java/org/elasticsearch/test/junit/listeners/ReproduceInfoPrinter.java</t>
        </is>
      </c>
      <c r="C312">
        <f>HYPERLINK("https://github.com/crate/crate/blob/master/server/src/testFixtures/java/org/elasticsearch/test/junit/listeners/ReproduceInfoPrinter.java")</f>
        <v/>
      </c>
      <c r="D312" t="inlineStr">
        <is>
          <t>The code provided is licensed under Apache License 2.0 and it's a JUnit test listener for Elasticsearch. It uses CarrotSearch Randomized Testing to run tests multiple times with different inputs in order to find bugs or flaky behavior. The license allows anyone to use the software but requires that they comply with its terms of service.
It also specifies conditions on</t>
        </is>
      </c>
      <c r="E312" t="n">
        <v>0.0036</v>
      </c>
      <c r="F312" t="n">
        <v>0.0282</v>
      </c>
      <c r="G312" t="n">
        <v>0.1128</v>
      </c>
      <c r="H312" t="inlineStr">
        <is>
          <t>The provided code is a license header for an Apache License 2.0 that applies to the file it's attached to. The license states that you may not use this file except in compliance with the terms of the license. You can obtain a copy of the license at http://www.apache.org/licenses/LICENSE-2.0. Unless required by applicable law or agreed</t>
        </is>
      </c>
      <c r="I312" t="n">
        <v>0</v>
      </c>
      <c r="J312" t="n">
        <v>0.0274</v>
      </c>
      <c r="K312" t="n">
        <v>0.0781</v>
      </c>
      <c r="L312" t="inlineStr">
        <is>
          <t>The provided code is a JUnit test listener implementation for Elasticsearch. It's designed to run randomized tests and provides various functionalities related to the execution of those tests. The main purpose of this code is to monitor and control the behavior during these tests by utilizing system properties such as iterations (number of times each test case will be executed) and prefix (a string that can be used</t>
        </is>
      </c>
      <c r="M312" t="n">
        <v>0.0027</v>
      </c>
      <c r="N312" t="n">
        <v>0.0779</v>
      </c>
      <c r="O312" t="n">
        <v>0.1429</v>
      </c>
    </row>
    <row r="313">
      <c r="A313" t="inlineStr">
        <is>
          <t>crate</t>
        </is>
      </c>
      <c r="B313" t="inlineStr">
        <is>
          <t>server/src/testFixtures/java/org/elasticsearch/test/transport/MockTransportService.java</t>
        </is>
      </c>
      <c r="C313">
        <f>HYPERLINK("https://github.com/crate/crate/blob/master/server/src/testFixtures/java/org/elasticsearch/test/transport/MockTransportService.java")</f>
        <v/>
      </c>
      <c r="D313" t="inlineStr">
        <is>
          <t>The code is licensed under Apache License 2.0 and distributed under the terms of that license. It contains a test for transport functionality in Elasticsearch. The complexity appears to be O(N), but without more context it's hard to say exactly what this means. There are comments explaining some core algorithms implemented within the code.
# Imports
There are several import statements</t>
        </is>
      </c>
      <c r="E313" t="n">
        <v>0.0039</v>
      </c>
      <c r="F313" t="n">
        <v>0.0563</v>
      </c>
      <c r="G313" t="n">
        <v>0.188</v>
      </c>
      <c r="H313" t="inlineStr">
        <is>
          <t>The code you provided is a simple function for addition of two numbers in Java language. The functionality is straightforward and the complexity is O(1), meaning it performs only one operation regardless of input size. It's used to add two integers `a` and `b` together and return their sum. Here is the summary:
```plaintext
Function Name: Add
Input Par</t>
        </is>
      </c>
      <c r="I313" t="n">
        <v>0.0037</v>
      </c>
      <c r="J313" t="n">
        <v>0.058</v>
      </c>
      <c r="K313" t="n">
        <v>0.07630000000000001</v>
      </c>
      <c r="L313" t="inlineStr">
        <is>
          <t>The provided code is a Java implementation of unit tests for the Elasticsearch transport client. The main purpose of this code is to test various aspects of the transport layer in an elastic search cluster.
Inputs are parameters that define different scenarios and outputs are results from running these scenarios - whether they pass or fail. 
Key operations include setting up a new node with specific configurations,</t>
        </is>
      </c>
      <c r="M313" t="n">
        <v>0.0027</v>
      </c>
      <c r="N313" t="n">
        <v>0.0541</v>
      </c>
      <c r="O313" t="n">
        <v>0.1439</v>
      </c>
    </row>
    <row r="314">
      <c r="A314" t="inlineStr">
        <is>
          <t>crate</t>
        </is>
      </c>
      <c r="B314" t="inlineStr">
        <is>
          <t>server/src/testFixtures/java/org/elasticsearch/test/transport/StubbableConnectionManager.java</t>
        </is>
      </c>
      <c r="C314">
        <f>HYPERLINK("https://github.com/crate/crate/blob/master/server/src/testFixtures/java/org/elasticsearch/test/transport/StubbableConnectionManager.java")</f>
        <v/>
      </c>
      <c r="D314" t="inlineStr">
        <is>
          <t>The code is licensed under Apache License version 2.0 and it's distributed with Elasticsearch software under one or more contributor license agreements. It can be used except in compliance with the License which requires obtaining a copy of the License at http://www.apache.org/licenses/LICENSE-2.0 unless required by applicable law agreed to in writing. The software distributed</t>
        </is>
      </c>
      <c r="E314" t="n">
        <v>0.004</v>
      </c>
      <c r="F314" t="n">
        <v>0.0282</v>
      </c>
      <c r="G314" t="n">
        <v>0.119</v>
      </c>
      <c r="H314" t="inlineStr">
        <is>
          <t>The code you provided is a simple function for adding two numbers in Java. It's licensed under the Apache License 2.0 and contains comments explaining its functionality as well as conditions of use. The summary provides an overview of this code including its purpose (adding two numbers), complexity (constant time O(1)), initial commit size (30 lines), and license information.
Please</t>
        </is>
      </c>
      <c r="I314" t="n">
        <v>0.0036</v>
      </c>
      <c r="J314" t="n">
        <v>0.0563</v>
      </c>
      <c r="K314" t="n">
        <v>0.1136</v>
      </c>
      <c r="L314" t="inlineStr">
        <is>
          <t>The provided code is for a transport layer in Elasticsearch, which handles the communication between nodes in an elastic search cluster. The main purpose of this class seems to be managing connections and their associated listeners (callback functions) with other nodes in the cluster using ConcurrentHashMaps.
It takes care of maintaining these mappings from node ID's to ActionListeners that will handle</t>
        </is>
      </c>
      <c r="M314" t="n">
        <v>0.003</v>
      </c>
      <c r="N314" t="n">
        <v>0.0571</v>
      </c>
      <c r="O314" t="n">
        <v>0.1128</v>
      </c>
    </row>
    <row r="315">
      <c r="A315" t="inlineStr">
        <is>
          <t>crate</t>
        </is>
      </c>
      <c r="B315" t="inlineStr">
        <is>
          <t>server/src/testFixtures/java/org/elasticsearch/test/transport/MockTransport.java</t>
        </is>
      </c>
      <c r="C315">
        <f>HYPERLINK("https://github.com/crate/crate/blob/master/server/src/testFixtures/java/org/elasticsearch/test/transport/MockTransport.java")</f>
        <v/>
      </c>
      <c r="D315" t="inlineStr">
        <is>
          <t>&lt;!-- This repository contains backend software components for Elasticsearch, a distributed and scalable search engine based on Apache Lucene. The code is licensed under the Apache License 2.0 which allows you to use it in compliance with its terms or obtain a copy of the license at http://www.apache.org/licenses/LICENSE-2.0 Unless required by applicable</t>
        </is>
      </c>
      <c r="E315" t="n">
        <v>0.0046</v>
      </c>
      <c r="F315" t="n">
        <v>0.0896</v>
      </c>
      <c r="G315" t="n">
        <v>0.1613</v>
      </c>
      <c r="H315" t="inlineStr">
        <is>
          <t>The code provided is a Java package for testing transport related functionalities in Elasticsearch. The main class `CrateLuceneTestCase` contains methods to test various aspects of the Lucene indexing and searching functionality with CrateDB as backend storage system. It also includes some utility functions like `rarely()` which are used to handle rare events during tests.
In terms of</t>
        </is>
      </c>
      <c r="I315" t="n">
        <v>0.0038</v>
      </c>
      <c r="J315" t="n">
        <v>0.0615</v>
      </c>
      <c r="K315" t="n">
        <v>0.0775</v>
      </c>
      <c r="L315" t="inlineStr">
        <is>
          <t>The provided code is a part of the Elasticsearch project's test suite for transport layer functionalities. It uses Apache License 2.0 which requires that any derivative work must also be distributed under this same license. The main purpose of this code seems to be testing various aspects related to network communication and concurrency in Java.
It defines two classes `TransportTestRule` (</t>
        </is>
      </c>
      <c r="M315" t="n">
        <v>0.003</v>
      </c>
      <c r="N315" t="n">
        <v>0.0571</v>
      </c>
      <c r="O315" t="n">
        <v>0.1128</v>
      </c>
    </row>
    <row r="316">
      <c r="A316" t="inlineStr">
        <is>
          <t>crate</t>
        </is>
      </c>
      <c r="B316" t="inlineStr">
        <is>
          <t>server/src/testFixtures/java/org/elasticsearch/test/transport/CapturingTransport.java</t>
        </is>
      </c>
      <c r="C316">
        <f>HYPERLINK("https://github.com/crate/crate/blob/master/server/src/testFixtures/java/org/elasticsearch/test/transport/CapturingTransport.java")</f>
        <v/>
      </c>
      <c r="D316" t="inlineStr">
        <is>
          <t>The code provided is licensed under Apache License 2.0 and contains a test class for transport related functionalities in Elasticsearch. It may be used to distribute software distributed under the license as per the conditions mentioned at http://www.apache.org/licenses/LICENSE-2.0 without any restrictions or warranties except those explicitly stated by applicable law.
Please note</t>
        </is>
      </c>
      <c r="E316" t="n">
        <v>0.0042</v>
      </c>
      <c r="F316" t="n">
        <v>0.0294</v>
      </c>
      <c r="G316" t="n">
        <v>0.121</v>
      </c>
      <c r="H316" t="inlineStr">
        <is>
          <t>The provided code is a Java package named `org.elasticsearch.test.transport` which contains backend software components for transport related tasks in Elasticsearch. The main component of interest seems to be the class `TestTransportClient` that implements core algorithms used by Elasticsearch's client API. However, without more context or specific details about what functionality you are referring to from this code,</t>
        </is>
      </c>
      <c r="I316" t="n">
        <v>0.0081</v>
      </c>
      <c r="J316" t="n">
        <v>0.1159</v>
      </c>
      <c r="K316" t="n">
        <v>0.2884</v>
      </c>
      <c r="L316" t="inlineStr">
        <is>
          <t>The provided code is a Java class named `TransportServiceTest` that tests the functionality of an Elasticsearch transport service using JUnit framework for testing purposes. The main purpose of this class is to verify if the transport layer in Elasticsearch works as expected by sending various types of requests and validating responses.
It takes inputs (requests) from a list of test cases and</t>
        </is>
      </c>
      <c r="M316" t="n">
        <v>0.0035</v>
      </c>
      <c r="N316" t="n">
        <v>0.0571</v>
      </c>
      <c r="O316" t="n">
        <v>0.1119</v>
      </c>
    </row>
    <row r="317">
      <c r="A317" t="inlineStr">
        <is>
          <t>crate</t>
        </is>
      </c>
      <c r="B317" t="inlineStr">
        <is>
          <t>server/src/testFixtures/java/org/elasticsearch/test/transport/StubbableTransport.java</t>
        </is>
      </c>
      <c r="C317">
        <f>HYPERLINK("https://github.com/crate/crate/blob/master/server/src/testFixtures/java/org/elasticsearch/test/transport/StubbableTransport.java")</f>
        <v/>
      </c>
      <c r="D317" t="inlineStr">
        <is>
          <t>The code provided is a Java class for testing transport functionality in Elasticsearch. It's licensed under Apache License 2.0 and distributed under the terms of that license. The software may not be used except in compliance with this license. This notice should also be included when distributing or using any part of it.
It imports necessary packages like java.io, java.</t>
        </is>
      </c>
      <c r="E317" t="n">
        <v>0.0043</v>
      </c>
      <c r="F317" t="n">
        <v>0.0563</v>
      </c>
      <c r="G317" t="n">
        <v>0.1515</v>
      </c>
      <c r="H317" t="inlineStr">
        <is>
          <t>The code you provided is a Java implementation of the Elasticsearch transport layer client used for communication between nodes in an elastic search cluster. The function add() appears to be part of this package and it seems to perform addition operation on two numbers which can be seen from its usage inside other methods like `sendRequest`. This function takes as parameters two integers (longs), adds them together, then</t>
        </is>
      </c>
      <c r="I317" t="n">
        <v>0.0032</v>
      </c>
      <c r="J317" t="n">
        <v>0.0789</v>
      </c>
      <c r="K317" t="n">
        <v>0.1429</v>
      </c>
      <c r="L317" t="inlineStr">
        <is>
          <t>The provided code is a Java implementation of an Elasticsearch transport client and it's licensed under Apache License 2.0. The purpose of this class seems to be managing connections with different nodes in the cluster for data exchange. It provides methods like connect(), disconnect() etc. For each node, there are separate threads that handle sending and receiving messages asynchronously over TCP or IPC (</t>
        </is>
      </c>
      <c r="M317" t="n">
        <v>0.0028</v>
      </c>
      <c r="N317" t="n">
        <v>0.0548</v>
      </c>
      <c r="O317" t="n">
        <v>0.1103</v>
      </c>
    </row>
    <row r="318">
      <c r="A318" t="inlineStr">
        <is>
          <t>crate</t>
        </is>
      </c>
      <c r="B318" t="inlineStr">
        <is>
          <t>server/src/testFixtures/java/org/elasticsearch/test/transport/FakeTransport.java</t>
        </is>
      </c>
      <c r="C318">
        <f>HYPERLINK("https://github.com/crate/crate/blob/master/server/src/testFixtures/java/org/elasticsearch/test/transport/FakeTransport.java")</f>
        <v/>
      </c>
      <c r="D318" t="inlineStr">
        <is>
          <t>The code is licensed under Apache License 2.0 and it's a part of Elasticsearch project which provides distributed search engine capabilities with an HTTP web interface and schema-free JSON documents. It contains tests for transport layer in the system where nodes are discovered and actions are performed asynchronously using ActionListeners. The license requires compliance to distribute software under the terms specified at http://www</t>
        </is>
      </c>
      <c r="E318" t="n">
        <v>0.0034</v>
      </c>
      <c r="F318" t="n">
        <v>0.0267</v>
      </c>
      <c r="G318" t="n">
        <v>0.1111</v>
      </c>
      <c r="H318" t="inlineStr">
        <is>
          <t>The provided code is licensed under the Apache License 2.0 and it's a part of Elasticsearch project which contains backend software components for distributed real-time search and analytics. The implementation uses core algorithms to perform actions on nodes in an elastic cluster. It listens for any changes or updates related to these nodes using ActionListener interface from Elasticsearch library.
It has</t>
        </is>
      </c>
      <c r="I318" t="n">
        <v>0.0039</v>
      </c>
      <c r="J318" t="n">
        <v>0.0833</v>
      </c>
      <c r="K318" t="n">
        <v>0.188</v>
      </c>
      <c r="L318" t="inlineStr">
        <is>
          <t>The provided code is a part of Elasticsearch's test transport module which handles the testing of network communication between nodes in an elastic search cluster. The main purpose of this code seems to be to verify that each node can successfully communicate with every other node on the same cluster using various types of transports (like TCP or HTTP).
The function `verifyTransport` takes as input</t>
        </is>
      </c>
      <c r="M318" t="n">
        <v>0.0028</v>
      </c>
      <c r="N318" t="n">
        <v>0.0541</v>
      </c>
      <c r="O318" t="n">
        <v>0.1095</v>
      </c>
    </row>
    <row r="319">
      <c r="A319" t="inlineStr">
        <is>
          <t>crate</t>
        </is>
      </c>
      <c r="B319" t="inlineStr">
        <is>
          <t>server/src/testFixtures/java/org/elasticsearch/indices/analysis/AnalysisFactoryTestCase.java</t>
        </is>
      </c>
      <c r="C319">
        <f>HYPERLINK("https://github.com/crate/crate/blob/master/server/src/testFixtures/java/org/elasticsearch/indices/analysis/AnalysisFactoryTestCase.java")</f>
        <v/>
      </c>
      <c r="D319" t="inlineStr">
        <is>
          <t>The provided code is licensed under Apache License 2.0 and it's a part of ElasticSearch software which includes the functionality for indexing analysis. The license grants you permission to use this file except in compliance with the license terms. It also specifies conditions that apply if applicable law or agreed upon by contributors. This repository contains backend components implementing core algorithms related to indexing analysis.</t>
        </is>
      </c>
      <c r="E319" t="n">
        <v>0.0042</v>
      </c>
      <c r="F319" t="n">
        <v>0.08</v>
      </c>
      <c r="G319" t="n">
        <v>0.3112</v>
      </c>
      <c r="H319" t="inlineStr">
        <is>
          <t>The provided code is a Java class that defines an add function for two numbers using Apache License 2.0. The license details are included at the top of the file which states that it's licensed under Apache License Version 2.0 and you may not use this file except in compliance with the License. You can obtain a copy of the License at http://www.apache.org/</t>
        </is>
      </c>
      <c r="I319" t="n">
        <v>0.0029</v>
      </c>
      <c r="J319" t="n">
        <v>0.0519</v>
      </c>
      <c r="K319" t="n">
        <v>0.1111</v>
      </c>
      <c r="L319" t="inlineStr">
        <is>
          <t>The provided code is a Java class for custom analyzer implementations in Elasticsearch. This software component allows users to define their own set of token filters and char filters that can be used during indexing or searching operations. The purpose of this code is to provide more control over the analysis process by allowing developers to customize how text data should be processed before it's stored and searched within an El</t>
        </is>
      </c>
      <c r="M319" t="n">
        <v>0.006</v>
      </c>
      <c r="N319" t="n">
        <v>0.075</v>
      </c>
      <c r="O319" t="n">
        <v>0.1748</v>
      </c>
    </row>
    <row r="320">
      <c r="A320" t="inlineStr">
        <is>
          <t>crate</t>
        </is>
      </c>
      <c r="B320" t="inlineStr">
        <is>
          <t>server/src/testFixtures/java/org/elasticsearch/indices/breaker/NoneCircuitBreakerService.java</t>
        </is>
      </c>
      <c r="C320">
        <f>HYPERLINK("https://github.com/crate/crate/blob/master/server/src/testFixtures/java/org/elasticsearch/indices/breaker/NoneCircuitBreakerService.java")</f>
        <v/>
      </c>
      <c r="D320" t="inlineStr">
        <is>
          <t>&lt;The code is licensed under Apache License 2.0 and it's a part of Elasticsearch repository which contains backend software components. The implementation uses core algorithms to handle circuit breakers in the system. It may throw CircuitBreakingExceptions if any operation exceeds defined limits set by the user or due to some internal error conditions.&gt;</t>
        </is>
      </c>
      <c r="E320" t="n">
        <v>0.0045</v>
      </c>
      <c r="F320" t="n">
        <v>0.09520000000000001</v>
      </c>
      <c r="G320" t="n">
        <v>0.2</v>
      </c>
      <c r="H320" t="inlineStr">
        <is>
          <t>The code provided is a Java function that adds two numbers together and returns the result. It's licensed under Apache 2.0 license which states it can be used for any purpose except if not in compliance with the terms of this license. The repository contains backend software components implementing core algorithms.
The complexity of the add method appears to be O(1), meaning its time complexity remains</t>
        </is>
      </c>
      <c r="I320" t="n">
        <v>0.0036</v>
      </c>
      <c r="J320" t="n">
        <v>0.1039</v>
      </c>
      <c r="K320" t="n">
        <v>0.309</v>
      </c>
      <c r="L320" t="inlineStr">
        <is>
          <t>The provided code is part of the Elasticsearch project and it's related to circuit breaking in Elasticsearch. The purpose of this class `CircuitBreaker` seems to be to monitor resource usage (like memory or CPU) within an index shard. If a certain threshold is exceeded, it raises a `CircuitBreakingException` which can then be caught by higher layers</t>
        </is>
      </c>
      <c r="M320" t="n">
        <v>0.0033</v>
      </c>
      <c r="N320" t="n">
        <v>0.0308</v>
      </c>
      <c r="O320" t="n">
        <v>0.1172</v>
      </c>
    </row>
    <row r="321">
      <c r="A321" t="inlineStr">
        <is>
          <t>crate</t>
        </is>
      </c>
      <c r="B321" t="inlineStr">
        <is>
          <t>server/src/testFixtures/java/org/elasticsearch/indices/recovery/AsyncRecoveryTarget.java</t>
        </is>
      </c>
      <c r="C321">
        <f>HYPERLINK("https://github.com/crate/crate/blob/master/server/src/testFixtures/java/org/elasticsearch/indices/recovery/AsyncRecoveryTarget.java")</f>
        <v/>
      </c>
      <c r="D321" t="inlineStr">
        <is>
          <t>The code provided appears to be a Java class for handling index recovery in Elasticsearch, which is part of the backend software components used by Elasticsearch itself. The license at the top states that it's licensed under Apache License 2.0 and provides specific language governing permissions and limitations under this license. It seems to handle core algorithms related to index recovery but without being able to see or</t>
        </is>
      </c>
      <c r="E321" t="n">
        <v>0.0035</v>
      </c>
      <c r="F321" t="n">
        <v>0.0513</v>
      </c>
      <c r="G321" t="n">
        <v>0.1786</v>
      </c>
      <c r="H321" t="inlineStr">
        <is>
          <t>The code provided is a Java method for adding two numbers (`a` and `b`). The functionality of this function is to return the sum of these two numbers. It operates with complexity O(1), meaning it has constant time complexity as it performs only one operation regardless of input size.
In terms of licensing, Elasticsearch license this file under Apache License 2</t>
        </is>
      </c>
      <c r="I321" t="n">
        <v>0.0036</v>
      </c>
      <c r="J321" t="n">
        <v>0.0571</v>
      </c>
      <c r="K321" t="n">
        <v>0.1504</v>
      </c>
      <c r="L321" t="inlineStr">
        <is>
          <t>The provided code is a Java implementation of the recovery module in Elasticsearch's indices package. It handles index shard recoveries and provides information about ongoing or completed index shard recoveries.
It takes as input an `IndexRecovery` object which represents the state of an individual index shard during recovery. The main purpose of this class seems to be to handle various operations</t>
        </is>
      </c>
      <c r="M321" t="n">
        <v>0.0036</v>
      </c>
      <c r="N321" t="n">
        <v>0.0571</v>
      </c>
      <c r="O321" t="n">
        <v>0.1504</v>
      </c>
    </row>
    <row r="322">
      <c r="A322" t="inlineStr">
        <is>
          <t>crate</t>
        </is>
      </c>
      <c r="B322" t="inlineStr">
        <is>
          <t>server/src/testFixtures/java/org/elasticsearch/transport/TestResponse.java</t>
        </is>
      </c>
      <c r="C322">
        <f>HYPERLINK("https://github.com/crate/crate/blob/master/server/src/testFixtures/java/org/elasticsearch/transport/TestResponse.java")</f>
        <v/>
      </c>
      <c r="D322" t="inlineStr">
        <is>
          <t>The code provided is a Java class named "TestResponse". This class extends the README file and implements functionality related to core algorithms. The license at the top of this file states that it's licensed under Apache License Version 2.0 which means you can use or modify this software as long as you comply with its terms.
The TestResponse class seems to be used for testing</t>
        </is>
      </c>
      <c r="E322" t="n">
        <v>0.0044</v>
      </c>
      <c r="F322" t="n">
        <v>0.08</v>
      </c>
      <c r="G322" t="n">
        <v>0.3112</v>
      </c>
      <c r="H322" t="inlineStr">
        <is>
          <t>The code provided is a Java class named TestResponse that extends README from org.elasticsearch.transport package. It appears to be part of an Elasticsearch project and it's licensed under Apache License 2.0. The complexity seems to be O(N), but the specific nature isn't clear without more context or further analysis. This class might contain methods related to handling responses</t>
        </is>
      </c>
      <c r="I322" t="n">
        <v>0.0037</v>
      </c>
      <c r="J322" t="n">
        <v>0.0278</v>
      </c>
      <c r="K322" t="n">
        <v>0.1154</v>
      </c>
      <c r="L322" t="inlineStr">
        <is>
          <t>The code provided is a Java class named "TestResponse". This class extends the base class "TransportResponse", which in turn extends another base class called "AbstractEsResponse". 
It appears to be part of an ElasticSearch software system and its purpose seems to involve handling responses from tests conducted on this system. The main functionality it provides includes serialization (converting complex data structures</t>
        </is>
      </c>
      <c r="M322" t="n">
        <v>0.0043</v>
      </c>
      <c r="N322" t="n">
        <v>0.0882</v>
      </c>
      <c r="O322" t="n">
        <v>0.1515</v>
      </c>
    </row>
    <row r="323">
      <c r="A323" t="inlineStr">
        <is>
          <t>crate</t>
        </is>
      </c>
      <c r="B323" t="inlineStr">
        <is>
          <t>server/src/testFixtures/java/org/elasticsearch/transport/TestProfiles.java</t>
        </is>
      </c>
      <c r="C323">
        <f>HYPERLINK("https://github.com/crate/crate/blob/master/server/src/testFixtures/java/org/elasticsearch/transport/TestProfiles.java")</f>
        <v/>
      </c>
      <c r="D323" t="inlineStr">
        <is>
          <t>The code is licensed under Apache License 2.0 and can be used for any purpose except in violation of the license terms. The software may also only be used if a relevant commercial agreement has been executed with Crate.io GmbH ("Crate"). This notice should be included when using this file. If not required by applicable law or agreed to in writing, software distributed</t>
        </is>
      </c>
      <c r="E323" t="n">
        <v>0.0038</v>
      </c>
      <c r="F323" t="n">
        <v>0.0548</v>
      </c>
      <c r="G323" t="n">
        <v>0.1481</v>
      </c>
      <c r="H323" t="inlineStr">
        <is>
          <t>The provided code is a function named "add", which takes two parameters (numbers), adds them together and returns the result. The time complexity of this operation is O(1). This means that it will always take constant time to execute regardless of the size of input data.
In the README file, there are details about licensing information for Crate.io GmbH</t>
        </is>
      </c>
      <c r="I323" t="n">
        <v>0.0037</v>
      </c>
      <c r="J323" t="n">
        <v>0.058</v>
      </c>
      <c r="K323" t="n">
        <v>0.1145</v>
      </c>
      <c r="L323" t="inlineStr">
        <is>
          <t>The provided code is licensed under the Apache License 2.0 and it's written in Java. It appears to be a backend software component for a database system called Crate.io (now known as Elasticsearch). The main purpose of this code seems to be related to data storage and retrieval using an SQL-like syntax. This includes operations like creating tables, insert</t>
        </is>
      </c>
      <c r="M323" t="n">
        <v>0.0041</v>
      </c>
      <c r="N323" t="n">
        <v>0.0563</v>
      </c>
      <c r="O323" t="n">
        <v>0.1527</v>
      </c>
    </row>
    <row r="324">
      <c r="A324" t="inlineStr">
        <is>
          <t>crate</t>
        </is>
      </c>
      <c r="B324" t="inlineStr">
        <is>
          <t>server/src/testFixtures/java/org/elasticsearch/transport/TestRequest.java</t>
        </is>
      </c>
      <c r="C324">
        <f>HYPERLINK("https://github.com/crate/crate/blob/master/server/src/testFixtures/java/org/elasticsearch/transport/TestRequest.java")</f>
        <v/>
      </c>
      <c r="D324" t="inlineStr">
        <is>
          <t>The provided code is licensed under Apache License 2.0 and it's a part of Elasticsearch project. It defines the TestRequest class that extends README file with some comments about its functionality. The complexity of this function seems to be O(N), but without more context or additional information, we can only make assumptions based on standard practices in software development. This specific piece of code</t>
        </is>
      </c>
      <c r="E324" t="n">
        <v>0.0037</v>
      </c>
      <c r="F324" t="n">
        <v>0.0533</v>
      </c>
      <c r="G324" t="n">
        <v>0.1471</v>
      </c>
      <c r="H324" t="inlineStr">
        <is>
          <t>The provided code is a Java class named `TestRequest` that extends the README file and implements some algorithms for core functionality of Elasticsearch software components. The complexity of this function appears to be O(N), where N represents an unknown variable or size of data being processed. This could vary depending on specific implementation details. It's licensed under Apache License 2.0 which means you</t>
        </is>
      </c>
      <c r="I324" t="n">
        <v>0.008</v>
      </c>
      <c r="J324" t="n">
        <v>0.08110000000000001</v>
      </c>
      <c r="K324" t="n">
        <v>0.3158</v>
      </c>
      <c r="L324" t="inlineStr">
        <is>
          <t>The code you provided is for a Java class named `TestRequest` that extends an abstract base class called `ActionRequest` from the Elasticsearch library. This class represents a request to perform some kind of test operation on the server.
Here's what it does in brief: 
It defines two fields (`name` and `value`) which are used as</t>
        </is>
      </c>
      <c r="M324" t="n">
        <v>0.004</v>
      </c>
      <c r="N324" t="n">
        <v>0.0625</v>
      </c>
      <c r="O324" t="n">
        <v>0.1181</v>
      </c>
    </row>
    <row r="325">
      <c r="A325" t="inlineStr">
        <is>
          <t>crate</t>
        </is>
      </c>
      <c r="B325" t="inlineStr">
        <is>
          <t>server/src/testFixtures/java/org/elasticsearch/transport/AbstractSimpleTransportTestCase.java</t>
        </is>
      </c>
      <c r="C325">
        <f>HYPERLINK("https://github.com/crate/crate/blob/master/server/src/testFixtures/java/org/elasticsearch/transport/AbstractSimpleTransportTestCase.java")</f>
        <v/>
      </c>
      <c r="D325" t="inlineStr">
        <is>
          <t>The code provided is licensed under Apache License 2.0 and it's a part of the Elasticsearch project. It contains backend software components related to transport layer in an elastic search cluster. The license allows for use, modification, distribution etc., subject to compliance with the terms set forth by the license.
Please note that this summary does not include any specific functionality or algorithm implementation</t>
        </is>
      </c>
      <c r="E325" t="n">
        <v>0.0037</v>
      </c>
      <c r="F325" t="n">
        <v>0.0541</v>
      </c>
      <c r="G325" t="n">
        <v>0.1838</v>
      </c>
      <c r="H325" t="inlineStr">
        <is>
          <t>The code provided is a Java class that extends an abstract ESTestCase for testing purposes and contains the implementation of core algorithms used in ElasticSearch transport layer. The license at the top of the file states it's licensed under Apache License 2.0 which means you can use this code as per your requirements but with conditions mentioned in the license. This code also uses some core concepts like</t>
        </is>
      </c>
      <c r="I325" t="n">
        <v>0.0035</v>
      </c>
      <c r="J325" t="n">
        <v>0.0513</v>
      </c>
      <c r="K325" t="n">
        <v>0.1786</v>
      </c>
      <c r="L325" t="inlineStr">
        <is>
          <t>The provided code is a Java class for transport layer in Elasticsearch's distributed search engine. The main purpose of this class appears to be handling communication between nodes within the cluster and processing responses from them. It uses asynchronous programming techniques with futures to handle incoming requests and outgoing responses. This class extends ESTestCase for unit testing purposes.
It takes inputs such as</t>
        </is>
      </c>
      <c r="M325" t="n">
        <v>0.0034</v>
      </c>
      <c r="N325" t="n">
        <v>0.0556</v>
      </c>
      <c r="O325" t="n">
        <v>0.1111</v>
      </c>
    </row>
    <row r="326">
      <c r="A326" t="inlineStr">
        <is>
          <t>crate</t>
        </is>
      </c>
      <c r="B326" t="inlineStr">
        <is>
          <t>server/src/testFixtures/java/org/elasticsearch/transport/TestTransportChannel.java</t>
        </is>
      </c>
      <c r="C326">
        <f>HYPERLINK("https://github.com/crate/crate/blob/master/server/src/testFixtures/java/org/elasticsearch/transport/TestTransportChannel.java")</f>
        <v/>
      </c>
      <c r="D326" t="inlineStr">
        <is>
          <t>The code provided is a Java class named TestTransportChannel that implements the TransportChannel interface from Elasticsearch's transport module. It provides an implementation for sending and receiving messages over a channel using asynchronous listeners to handle responses. The license at the top of this file specifies Apache License 2.0 conditions under which it can be used or modified.
It defines one private field listener</t>
        </is>
      </c>
      <c r="E326" t="n">
        <v>0.0034</v>
      </c>
      <c r="F326" t="n">
        <v>0.0822</v>
      </c>
      <c r="G326" t="n">
        <v>0.1481</v>
      </c>
      <c r="H326" t="inlineStr">
        <is>
          <t>The provided code is a Java class named `TestTransportChannel` that implements the interface `TransportChannel` from Elasticsearch's transport module. This class has one private field of type `ActionListener&lt;TransportResponse&gt;` and it provides an implementation for methods defined in the `TransportChannel` interface. The license at the top of this file states that you may not use any part of this software</t>
        </is>
      </c>
      <c r="I326" t="n">
        <v>0.0045</v>
      </c>
      <c r="J326" t="n">
        <v>0.0588</v>
      </c>
      <c r="K326" t="n">
        <v>0.2862</v>
      </c>
      <c r="L326" t="inlineStr">
        <is>
          <t>The provided code is a Java class named `TestTransportChannel` that implements the interface `TransportChannel` from Elasticsearch's transport module. This class seems to be used for testing purposes only and does not seem to have any external dependencies or interfaces it directly uses.
It has one private final field of type ActionListener which listens for TransportResponses. The main purpose</t>
        </is>
      </c>
      <c r="M326" t="n">
        <v>0.0041</v>
      </c>
      <c r="N326" t="n">
        <v>0.0597</v>
      </c>
      <c r="O326" t="n">
        <v>0.1538</v>
      </c>
    </row>
    <row r="327">
      <c r="A327" t="inlineStr">
        <is>
          <t>crate</t>
        </is>
      </c>
      <c r="B327" t="inlineStr">
        <is>
          <t>server/src/testFixtures/java/org/elasticsearch/cluster/MockInternalClusterInfoService.java</t>
        </is>
      </c>
      <c r="C327">
        <f>HYPERLINK("https://github.com/crate/crate/blob/master/server/src/testFixtures/java/org/elasticsearch/cluster/MockInternalClusterInfoService.java")</f>
        <v/>
      </c>
      <c r="D327" t="inlineStr">
        <is>
          <t>The code provided is a Java class for managing and interacting with clusters of Elasticsearch nodes. It's licensed under Apache License 2.0 which allows users to use it in compliance or non-compliance with the license terms. The cluster management involves tasks such as node discovery, partitioning data across multiple nodes (shard allocation), handling failures etc., using core algorithms implemented within this package</t>
        </is>
      </c>
      <c r="E327" t="n">
        <v>0.0035</v>
      </c>
      <c r="F327" t="n">
        <v>0.0274</v>
      </c>
      <c r="G327" t="n">
        <v>0.1866</v>
      </c>
      <c r="H327" t="inlineStr">
        <is>
          <t>The provided code is a Java implementation of the Apache License 2.0 which can be found at http://www.apache.org/licenses/LICENSE-2.0. This license applies to all files in this repository as it states that you may not use any file except in compliance with the terms and conditions stated within the license. The specific language governing permissions and limitations under the license</t>
        </is>
      </c>
      <c r="I327" t="n">
        <v>0.0037</v>
      </c>
      <c r="J327" t="n">
        <v>0.0533</v>
      </c>
      <c r="K327" t="n">
        <v>0.1527</v>
      </c>
      <c r="L327" t="inlineStr">
        <is>
          <t>The provided code is a part of the Elasticsearch cluster module in Java. The main purpose of this code seems to be managing and coordinating distributed data across multiple nodes (clusters). 
It uses functional programming concepts like `CompletableFuture` for handling asynchronous operations and `Stream API` for processing large amounts of data concurrently. It also employs l</t>
        </is>
      </c>
      <c r="M327" t="n">
        <v>0.0039</v>
      </c>
      <c r="N327" t="n">
        <v>0.09379999999999999</v>
      </c>
      <c r="O327" t="n">
        <v>0.1563</v>
      </c>
    </row>
    <row r="328">
      <c r="A328" t="inlineStr">
        <is>
          <t>crate</t>
        </is>
      </c>
      <c r="B328" t="inlineStr">
        <is>
          <t>server/src/testFixtures/java/org/elasticsearch/cluster/ESAllocationTestCase.java</t>
        </is>
      </c>
      <c r="C328">
        <f>HYPERLINK("https://github.com/crate/crate/blob/master/server/src/testFixtures/java/org/elasticsearch/cluster/ESAllocationTestCase.java")</f>
        <v/>
      </c>
      <c r="D328" t="inlineStr">
        <is>
          <t>The code provided is a Java class for managing cluster routing in Elasticsearch. It imports necessary classes and defines the Shard Routing State as INITIALIZING (a constant). The package org.elasticsearch.cluster contains various components of an elastic search cluster such as nodes, shards etc., which are used to manage and maintain data across multiple machines or servers. This implementation appears</t>
        </is>
      </c>
      <c r="E328" t="n">
        <v>0.0037</v>
      </c>
      <c r="F328" t="n">
        <v>0.058</v>
      </c>
      <c r="G328" t="n">
        <v>0.1527</v>
      </c>
      <c r="H328" t="inlineStr">
        <is>
          <t>The provided code is a Java package for Elasticsearch cluster management. It contains several classes and methods related to shards routing state in an elastic search cluster. The complexity of this code seems to be O(n), where n represents the number of nodes or elements in the system. This could potentially vary depending on how it's implemented.
Please provide more specific details about what functionality</t>
        </is>
      </c>
      <c r="I328" t="n">
        <v>0.0037</v>
      </c>
      <c r="J328" t="n">
        <v>0.08</v>
      </c>
      <c r="K328" t="n">
        <v>0.1095</v>
      </c>
      <c r="L328" t="inlineStr">
        <is>
          <t>The provided code is a part of the ElasticSearch software and it's responsible for managing cluster routing operations in an elastic search environment. It defines classes related to shards initialization state within clusters. The main purpose of this code seems to be defining states (initializing) that represent different stages during which shards can exist within a cluster. This implementation appears to follow best coding practices such as read</t>
        </is>
      </c>
      <c r="M328" t="n">
        <v>0.0035</v>
      </c>
      <c r="N328" t="n">
        <v>0.0519</v>
      </c>
      <c r="O328" t="n">
        <v>0.1786</v>
      </c>
    </row>
    <row r="329">
      <c r="A329" t="inlineStr">
        <is>
          <t>crate</t>
        </is>
      </c>
      <c r="B329" t="inlineStr">
        <is>
          <t>server/src/testFixtures/java/org/elasticsearch/cluster/routing/ShardRoutingHelper.java</t>
        </is>
      </c>
      <c r="C329">
        <f>HYPERLINK("https://github.com/crate/crate/blob/master/server/src/testFixtures/java/org/elasticsearch/cluster/routing/ShardRoutingHelper.java")</f>
        <v/>
      </c>
      <c r="D329" t="inlineStr">
        <is>
          <t>The code provided is a Java class named RecoverySource that extends an abstract base class called RoutingRecoveryListener. The purpose of this class seems to be for testing purposes only and it allows access to package private APIs used in the recovery process of Elasticsearch clusters. It's licensed under Apache License 2.0 which requires compliance with the license terms before usage.
There</t>
        </is>
      </c>
      <c r="E329" t="n">
        <v>0.003</v>
      </c>
      <c r="F329" t="n">
        <v>0.0563</v>
      </c>
      <c r="G329" t="n">
        <v>0.1128</v>
      </c>
      <c r="H329" t="inlineStr">
        <is>
          <t>The provided code is a Java class that contains package private APIs for testing purposes only. It's part of the Elasticsearch project which is an open source distributed real-time search and analytics engine. The license under which this file is licensed to you by Apache License Version 2.0 (see http://www.apache.org/licenses/LICENSE-2.0).</t>
        </is>
      </c>
      <c r="I329" t="n">
        <v>0.0037</v>
      </c>
      <c r="J329" t="n">
        <v>0.0294</v>
      </c>
      <c r="K329" t="n">
        <v>0.123</v>
      </c>
      <c r="L329" t="inlineStr">
        <is>
          <t>The provided code is a helper class named RecoverySource that extends the org.elasticsearch.cluster.routing package in an Elasticsearch project. This class has two subclasses - SnapshotRecoverySource and ShardRoutingState. The main purpose of this class seems to be for testing purposes only as it appears to have access to some private APIs used by other classes within the same</t>
        </is>
      </c>
      <c r="M329" t="n">
        <v>0.0038</v>
      </c>
      <c r="N329" t="n">
        <v>0.0597</v>
      </c>
      <c r="O329" t="n">
        <v>0.1163</v>
      </c>
    </row>
    <row r="330">
      <c r="A330" t="inlineStr">
        <is>
          <t>crate</t>
        </is>
      </c>
      <c r="B330" t="inlineStr">
        <is>
          <t>server/src/testFixtures/java/org/elasticsearch/cluster/routing/TestShardRouting.java</t>
        </is>
      </c>
      <c r="C330">
        <f>HYPERLINK("https://github.com/crate/crate/blob/master/server/src/testFixtures/java/org/elasticsearch/cluster/routing/TestShardRouting.java")</f>
        <v/>
      </c>
      <c r="D330" t="inlineStr">
        <is>
          <t>The code provided is a Java class for managing routing in Elasticsearch clusters. It's licensed under Apache License 2.0 and distributed on an "AS IS" BASIS without warranties or conditions of any kind either expressed or implied. The specific language governing permissions and limitations are governed by the license.
Please note that this summary does not include all details about the functionality</t>
        </is>
      </c>
      <c r="E330" t="n">
        <v>0.0035</v>
      </c>
      <c r="F330" t="n">
        <v>0.0556</v>
      </c>
      <c r="G330" t="n">
        <v>0.1119</v>
      </c>
      <c r="H330" t="inlineStr">
        <is>
          <t>The provided code is a Java class that contains the definition of an add method for two numbers. The function takes in two parameters and returns their sum. This operation has a time complexity of O(1), indicating it performs a constant number of operations regardless of input size.
It also includes comments explaining what the purpose of this piece of code is (adding two numbers). It's licensed</t>
        </is>
      </c>
      <c r="I330" t="n">
        <v>0.0032</v>
      </c>
      <c r="J330" t="n">
        <v>0.0519</v>
      </c>
      <c r="K330" t="n">
        <v>0.1079</v>
      </c>
      <c r="L330" t="inlineStr">
        <is>
          <t>The provided code is part of the Elasticsearch project and it's related to routing in a cluster. The main purpose seems to be managing how data gets distributed across different nodes within an elastic search cluster based on certain conditions or rules defined by the developer. It uses core algorithms for operations like shard allocation which are used during indexing and searching. This functionality enables efficient distribution of workload among</t>
        </is>
      </c>
      <c r="M330" t="n">
        <v>0.0037</v>
      </c>
      <c r="N330" t="n">
        <v>0.0506</v>
      </c>
      <c r="O330" t="n">
        <v>0.1408</v>
      </c>
    </row>
    <row r="331">
      <c r="A331" t="inlineStr">
        <is>
          <t>crate</t>
        </is>
      </c>
      <c r="B331" t="inlineStr">
        <is>
          <t>server/src/testFixtures/java/org/elasticsearch/snapshots/AbstractSnapshotIntegTestCase.java</t>
        </is>
      </c>
      <c r="C331">
        <f>HYPERLINK("https://github.com/crate/crate/blob/master/server/src/testFixtures/java/org/elasticsearch/snapshots/AbstractSnapshotIntegTestCase.java")</f>
        <v/>
      </c>
      <c r="D331" t="inlineStr">
        <is>
          <t>The code provided is licensed under Apache License 2.0 and it's a snapshot management component for Elasticsearch. It includes assertions to verify the correctness of certain operations in an automated testing context. The complexity of this code seems to be O(N), where N represents some form of data size or number of elements being processed. However, without further information about the specific implementation details</t>
        </is>
      </c>
      <c r="E331" t="n">
        <v>0.0028</v>
      </c>
      <c r="F331" t="n">
        <v>0.0533</v>
      </c>
      <c r="G331" t="n">
        <v>0.1103</v>
      </c>
      <c r="H331" t="inlineStr">
        <is>
          <t>The code you provided is a simple addition function in Java named `add` that takes two parameters and returns their sum. The complexity of this operation is O(1), meaning it always executes the same number of steps regardless of input size.
Here's the summary for your README file: 
```markdown
# Snapshot Repository
## Description</t>
        </is>
      </c>
      <c r="I331" t="n">
        <v>0.0034</v>
      </c>
      <c r="J331" t="n">
        <v>0.0645</v>
      </c>
      <c r="K331" t="n">
        <v>0.119</v>
      </c>
      <c r="L331" t="inlineStr">
        <is>
          <t>The provided code is a Java implementation of snapshot functionality for Elasticsearch. It's designed to manage and control the lifecycle of backups or snapshots in an elastic search cluster. The main purpose of this class seems to be managing repository locations where snapshots are stored.
It takes as input repositories (which could include different types like S3 buckets) along with their</t>
        </is>
      </c>
      <c r="M331" t="n">
        <v>0.0036</v>
      </c>
      <c r="N331" t="n">
        <v>0.0857</v>
      </c>
      <c r="O331" t="n">
        <v>0.1504</v>
      </c>
    </row>
    <row r="332">
      <c r="A332" t="inlineStr">
        <is>
          <t>crate</t>
        </is>
      </c>
      <c r="B332" t="inlineStr">
        <is>
          <t>server/src/testFixtures/java/org/elasticsearch/snapshots/mockstore/BlobStoreWrapper.java</t>
        </is>
      </c>
      <c r="C332">
        <f>HYPERLINK("https://github.com/crate/crate/blob/master/server/src/testFixtures/java/org/elasticsearch/snapshots/mockstore/BlobStoreWrapper.java")</f>
        <v/>
      </c>
      <c r="D332" t="inlineStr">
        <is>
          <t>The code provided is a mock implementation of the BlobStore interface from Elasticsearch's common blobstore package. The BlobStore represents an abstraction for storing and retrieving binary large objects (blobs). It provides methods to create containers (BlobContainers), store data in these containers at specific paths (BlobPath), retrieve data based on path, delete data etc</t>
        </is>
      </c>
      <c r="E332" t="n">
        <v>0.0035</v>
      </c>
      <c r="F332" t="n">
        <v>0.0645</v>
      </c>
      <c r="G332" t="n">
        <v>0.08</v>
      </c>
      <c r="H332" t="inlineStr">
        <is>
          <t>The code you provided is a Java implementation of the addition function for two numbers (integers). It's licensed under Apache License 2.0 and includes comments explaining its functionality and license details. The complexity of this operation is O(1), meaning it takes constant time to perform regardless of input size. This method simply adds two integers together and returns their sum.
Please provide more</t>
        </is>
      </c>
      <c r="I332" t="n">
        <v>0.0068</v>
      </c>
      <c r="J332" t="n">
        <v>0.08110000000000001</v>
      </c>
      <c r="K332" t="n">
        <v>0.1481</v>
      </c>
      <c r="L332" t="inlineStr">
        <is>
          <t>The provided code is a part of the Elasticsearch project and it's related to creating mock blob containers for testing purposes in an embedded environment. It provides an interface (`MockBlobStore`) that implements `BlobStore` from Elasticsearch common library which defines methods like open(), delete(), exists() etc. The main purpose of this class seems to be providing a way</t>
        </is>
      </c>
      <c r="M332" t="n">
        <v>0.0038</v>
      </c>
      <c r="N332" t="n">
        <v>0.0303</v>
      </c>
      <c r="O332" t="n">
        <v>0.155</v>
      </c>
    </row>
    <row r="333">
      <c r="A333" t="inlineStr">
        <is>
          <t>crate</t>
        </is>
      </c>
      <c r="B333" t="inlineStr">
        <is>
          <t>server/src/testFixtures/java/org/elasticsearch/snapshots/mockstore/MockRepository.java</t>
        </is>
      </c>
      <c r="C333">
        <f>HYPERLINK("https://github.com/crate/crate/blob/master/server/src/testFixtures/java/org/elasticsearch/snapshots/mockstore/MockRepository.java")</f>
        <v/>
      </c>
      <c r="D333" t="inlineStr">
        <is>
          <t>The code provided is a Java class for mock snapshot storage in Elasticsearch under the Apache License 2.0 (see NOTICE file). It handles licensing and copyright information as well as handling exceptions related to reading files from an unsupported encoding or obtaining a copy of the license at http://www.apache.org/licenses/LICENSE-2.0. The software distributed under</t>
        </is>
      </c>
      <c r="E333" t="n">
        <v>0.0041</v>
      </c>
      <c r="F333" t="n">
        <v>0.029</v>
      </c>
      <c r="G333" t="n">
        <v>0.08</v>
      </c>
      <c r="H333" t="inlineStr">
        <is>
          <t>The code you provided is a Java implementation of the addition operation in an Elasticsearch mock store package. It's licensed under Apache License 2.0 and contains comments explaining its usage, limitations, and conditions for distribution. The function `add` takes two parameters (a and b), adds them together, and returns the result. This operation has a time complexity of O(1).</t>
        </is>
      </c>
      <c r="I333" t="n">
        <v>0.0037</v>
      </c>
      <c r="J333" t="n">
        <v>0.0857</v>
      </c>
      <c r="K333" t="n">
        <v>0.1527</v>
      </c>
      <c r="L333" t="inlineStr">
        <is>
          <t>The provided code is part of the Elasticsearch project and it's a mock snapshot store implementation for testing purposes only. The main purpose of this class seems to be to simulate file system operations such as reading from files or directories with specific paths and return InputStream objects that can then be used in tests without actually interacting with an actual filesystem. 
It uses SHA hash functions to</t>
        </is>
      </c>
      <c r="M333" t="n">
        <v>0.0027</v>
      </c>
      <c r="N333" t="n">
        <v>0.0519</v>
      </c>
      <c r="O333" t="n">
        <v>0.1429</v>
      </c>
    </row>
    <row r="334">
      <c r="A334" t="inlineStr">
        <is>
          <t>crate</t>
        </is>
      </c>
      <c r="B334" t="inlineStr">
        <is>
          <t>server/src/testFixtures/java/org/elasticsearch/snapshots/mockstore/BlobContainerWrapper.java</t>
        </is>
      </c>
      <c r="C334">
        <f>HYPERLINK("https://github.com/crate/crate/blob/master/server/src/testFixtures/java/org/elasticsearch/snapshots/mockstore/BlobContainerWrapper.java")</f>
        <v/>
      </c>
      <c r="D334" t="inlineStr">
        <is>
          <t>The provided code is licensed under Apache License 2.0 and it's a part of Elasticsearch project which allows you to distribute the software in accordance with the license terms. The specific language governing permissions and limitations are defined by the Apache License version 2.0. It may not be used except in compliance with this license. You can obtain a copy of the License at http://www</t>
        </is>
      </c>
      <c r="E334" t="n">
        <v>0.0033</v>
      </c>
      <c r="F334" t="n">
        <v>0.0519</v>
      </c>
      <c r="G334" t="n">
        <v>0.146</v>
      </c>
      <c r="H334" t="inlineStr">
        <is>
          <t>The code provided is a Java implementation of an add function that adds two numbers together. The complexity of this operation is O(1), meaning it takes constant time to execute regardless of the size of the input data. This function does not use any loops or recursive calls and hence its performance will remain consistent even as the inputs grow in size.
Here's the summary for your reference</t>
        </is>
      </c>
      <c r="I334" t="n">
        <v>0.0032</v>
      </c>
      <c r="J334" t="n">
        <v>0.0769</v>
      </c>
      <c r="K334" t="n">
        <v>0.1429</v>
      </c>
      <c r="L334" t="inlineStr">
        <is>
          <t>The provided code is a Java implementation of an interface named `MockStore` that extends the functionality of Elasticsearch's blob store by providing mock implementations for testing purposes. The purpose of this class seems to be to simulate different scenarios related to storing and retrieving data in various formats using abstract classes like `BlobContainer`.
It appears to define methods such as `</t>
        </is>
      </c>
      <c r="M334" t="n">
        <v>0.0036</v>
      </c>
      <c r="N334" t="n">
        <v>0.08699999999999999</v>
      </c>
      <c r="O334" t="n">
        <v>0.1504</v>
      </c>
    </row>
    <row r="335">
      <c r="A335" t="inlineStr">
        <is>
          <t>crate</t>
        </is>
      </c>
      <c r="B335" t="inlineStr">
        <is>
          <t>server/src/testFixtures/java/org/elasticsearch/threadpool/TestThreadPool.java</t>
        </is>
      </c>
      <c r="C335">
        <f>HYPERLINK("https://github.com/crate/crate/blob/master/server/src/testFixtures/java/org/elasticsearch/threadpool/TestThreadPool.java")</f>
        <v/>
      </c>
      <c r="D335" t="inlineStr">
        <is>
          <t>The provided code is a Java class named TestThreadPool that extends the ThreadPool class from Elasticsearch's thread pool package. The license information at the top of the file states it is licensed under Apache License 2.0 and details about ownership and copying conditions are given. This class seems to be used for testing or setting up custom threads in an Elasticsearch environment.</t>
        </is>
      </c>
      <c r="E335" t="n">
        <v>0.0035</v>
      </c>
      <c r="F335" t="n">
        <v>0.0278</v>
      </c>
      <c r="G335" t="n">
        <v>0.1119</v>
      </c>
      <c r="H335" t="inlineStr">
        <is>
          <t>The provided code is a Java class named `TestThreadPool` that extends the base class `ThreadPool`. This class appears to be part of an Elasticsearch project and contains no functionality yet defined in this context. The license at the top of the file states that it's licensed under Apache License 2.0 which means you can use, modify or distribute this code as per terms</t>
        </is>
      </c>
      <c r="I335" t="n">
        <v>0.0038</v>
      </c>
      <c r="J335" t="n">
        <v>0.0548</v>
      </c>
      <c r="K335" t="n">
        <v>0.1111</v>
      </c>
      <c r="L335" t="inlineStr">
        <is>
          <t>The provided code is a Java class named `TestThreadPool` that extends the abstract base class `ThreadPool` from Elasticsearch's source code. This class seems to be used for testing purposes related to thread pool management in an elastic search environment.
It appears to have two public methods and one private method defined within it. The `initialize()` method initializes the</t>
        </is>
      </c>
      <c r="M335" t="n">
        <v>0.0037</v>
      </c>
      <c r="N335" t="n">
        <v>0.0597</v>
      </c>
      <c r="O335" t="n">
        <v>0.1154</v>
      </c>
    </row>
    <row r="336">
      <c r="A336" t="inlineStr">
        <is>
          <t>crate</t>
        </is>
      </c>
      <c r="B336" t="inlineStr">
        <is>
          <t>server/src/main/java/io/crate/Streamer.java</t>
        </is>
      </c>
      <c r="C336">
        <f>HYPERLINK("https://github.com/crate/crate/blob/master/server/src/main/java/io/crate/Streamer.java")</f>
        <v/>
      </c>
      <c r="D336" t="inlineStr">
        <is>
          <t>The code is licensed under Apache License 2.0 and can be used by anyone except in compliance with the license terms. The software may also only be used for commercial purposes if a separate agreement has been executed with Crate.io GmbH ("Crate"). This notice file provides additional information regarding copyright ownership. It's distributed on an "AS IS" BASIS</t>
        </is>
      </c>
      <c r="E336" t="n">
        <v>0.0041</v>
      </c>
      <c r="F336" t="n">
        <v>0.029</v>
      </c>
      <c r="G336" t="n">
        <v>0.1538</v>
      </c>
      <c r="H336" t="inlineStr">
        <is>
          <t>The function `add` takes two parameters (numbers), adds them together and returns the result. The time complexity of this operation is O(1).
The code also contains a license information at the top which states that it's licensed under Apache License 2.0. This means you can use, modify or distribute the software as per your needs but must include original copyright notice</t>
        </is>
      </c>
      <c r="I336" t="n">
        <v>0.0039</v>
      </c>
      <c r="J336" t="n">
        <v>0.0556</v>
      </c>
      <c r="K336" t="n">
        <v>0.1504</v>
      </c>
      <c r="L336" t="inlineStr">
        <is>
          <t>The provided code is licensed under the Apache License 2.0 and contains a license notice at the top of each file stating that it may be used except in compliance with this license agreement. The software component is part of a backend system which appears to implement core algorithms for data processing tasks. It seems to handle licensing information related to Crate.io GmbH ("Crate</t>
        </is>
      </c>
      <c r="M336" t="n">
        <v>0.0037</v>
      </c>
      <c r="N336" t="n">
        <v>0.1081</v>
      </c>
      <c r="O336" t="n">
        <v>0.3135</v>
      </c>
    </row>
    <row r="337">
      <c r="A337" t="inlineStr">
        <is>
          <t>crate</t>
        </is>
      </c>
      <c r="B337" t="inlineStr">
        <is>
          <t>server/src/main/java/io/crate/Constants.java</t>
        </is>
      </c>
      <c r="C337">
        <f>HYPERLINK("https://github.com/crate/crate/blob/master/server/src/main/java/io/crate/Constants.java")</f>
        <v/>
      </c>
      <c r="D337" t="inlineStr">
        <is>
          <t># This code is licensed under the Apache License 2.0 and can be used by anyone except in compliance with it. It may not use this file for commercial purposes without obtaining a copy of the license at http://www.apache.org/licenses/LICENSE-2.0 Unless required by applicable law or agreed to in writing, software distributed under the License is distributed on</t>
        </is>
      </c>
      <c r="E337" t="n">
        <v>0.0042</v>
      </c>
      <c r="F337" t="n">
        <v>0.0556</v>
      </c>
      <c r="G337" t="n">
        <v>0.155</v>
      </c>
      <c r="H337" t="inlineStr">
        <is>
          <t>The code provided is a simple function for addition of two numbers in Python. It takes two parameters 'a' and 'b', adds them together and returns the result. The time complexity of this operation is O(1), meaning it performs constant amount of work regardless of input size.
Here are some additional details about the repository you mentioned:
- This repository contains backend software components</t>
        </is>
      </c>
      <c r="I337" t="n">
        <v>0.0037</v>
      </c>
      <c r="J337" t="n">
        <v>0.0556</v>
      </c>
      <c r="K337" t="n">
        <v>0.1471</v>
      </c>
      <c r="L337" t="inlineStr">
        <is>
          <t>The provided code file is a backend software component licensed under the Apache License 2.0 by Critea.io GmbH ("Crate"). The purpose of this code appears to be related to handling and managing data storage operations using an underlying database system or service that may not be specified in the comments.
It begins with importing necessary libraries for interacting with databases, followed by</t>
        </is>
      </c>
      <c r="M337" t="n">
        <v>0.0035</v>
      </c>
      <c r="N337" t="n">
        <v>0.0556</v>
      </c>
      <c r="O337" t="n">
        <v>0.1493</v>
      </c>
    </row>
    <row r="338">
      <c r="A338" t="inlineStr">
        <is>
          <t>crate</t>
        </is>
      </c>
      <c r="B338" t="inlineStr">
        <is>
          <t>server/src/main/java/io/crate/time/StrictISODateTimeFormat.java</t>
        </is>
      </c>
      <c r="C338">
        <f>HYPERLINK("https://github.com/crate/crate/blob/master/server/src/main/java/io/crate/time/StrictISODateTimeFormat.java")</f>
        <v/>
      </c>
      <c r="D338" t="inlineStr">
        <is>
          <t>The code provided is licensed under Apache License Version 2.0 and it's a part of Elasticsearch project which uses Joda Time for handling date time fields. It contains the implementation of core algorithms related to time operations in Java. The license grants users permission to use this file except when not compliant with the terms set out by the license.
Please note that without the</t>
        </is>
      </c>
      <c r="E338" t="n">
        <v>0.0033</v>
      </c>
      <c r="F338" t="n">
        <v>0.0533</v>
      </c>
      <c r="G338" t="n">
        <v>0.1825</v>
      </c>
      <c r="H338" t="inlineStr">
        <is>
          <t>The provided code is licensed under the Apache License 2.0 and it's a part of Elasticsearch project which contains backend software components for time related operations. The complexity of this package seems to be O(N), where N represents some form of iteration or recursion based on the size of input data. This could potentially vary depending on specific implementation details. It appears that there are comments</t>
        </is>
      </c>
      <c r="I338" t="n">
        <v>0.0036</v>
      </c>
      <c r="J338" t="n">
        <v>0.0519</v>
      </c>
      <c r="K338" t="n">
        <v>0.1812</v>
      </c>
      <c r="L338" t="inlineStr">
        <is>
          <t>The provided code is licensed under Apache License 2.0 and it's used to handle time related operations in ElasticSearch crates. The main purpose of this code seems to be parsing a date string into different DateTimeFieldTypes using Joda Time library. It takes an input which should be the format for the date string along with the actual date string, then returns a set of all</t>
        </is>
      </c>
      <c r="M338" t="n">
        <v>0.0028</v>
      </c>
      <c r="N338" t="n">
        <v>0.0267</v>
      </c>
      <c r="O338" t="n">
        <v>0.1095</v>
      </c>
    </row>
    <row r="339">
      <c r="A339" t="inlineStr">
        <is>
          <t>crate</t>
        </is>
      </c>
      <c r="B339" t="inlineStr">
        <is>
          <t>server/src/main/java/io/crate/execution/package-info.java</t>
        </is>
      </c>
      <c r="C339">
        <f>HYPERLINK("https://github.com/crate/crate/blob/master/server/src/main/java/io/crate/execution/package-info.java")</f>
        <v/>
      </c>
      <c r="D339" t="inlineStr">
        <is>
          <t>The code is licensed under Apache License 2.0 and it's provided by Crate.io GmbH ("Crate"). It allows you to use the file in compliance with this license agreement but not without any conditions specified in the notice file distributed along with the work. The software can be obtained at http://www.apache.org/licenses/LICENSE-</t>
        </is>
      </c>
      <c r="E339" t="n">
        <v>0.0044</v>
      </c>
      <c r="F339" t="n">
        <v>0.0606</v>
      </c>
      <c r="G339" t="n">
        <v>0.1639</v>
      </c>
      <c r="H339" t="inlineStr">
        <is>
          <t>The code you provided appears to be a function for adding two numbers in Python named `add`. This function takes as input parameters 'a' and 'b', adds them together using the standard addition operator (+), then returns the result. The time complexity of this operation is O(1).
In the README file, it mentions that this repository contains backend software components implementing core</t>
        </is>
      </c>
      <c r="I339" t="n">
        <v>0.0042</v>
      </c>
      <c r="J339" t="n">
        <v>0.1143</v>
      </c>
      <c r="K339" t="n">
        <v>0.3182</v>
      </c>
      <c r="L339" t="inlineStr">
        <is>
          <t>The provided code file is licensed under the Apache License 2.0 and contains a license notice at the top of each source code file explaining its usage terms. The main purpose of this software component seems to be creating an instance of Crate.io GmbH ("Crate"), which appears to be a database management system based on Elasticsearch with additional features for time series data analysis. It</t>
        </is>
      </c>
      <c r="M339" t="n">
        <v>0.0033</v>
      </c>
      <c r="N339" t="n">
        <v>0.0533</v>
      </c>
      <c r="O339" t="n">
        <v>0.1865</v>
      </c>
    </row>
    <row r="340">
      <c r="A340" t="inlineStr">
        <is>
          <t>crate</t>
        </is>
      </c>
      <c r="B340" t="inlineStr">
        <is>
          <t>server/src/main/java/io/crate/execution/IncrementalPageBucketReceiver.java</t>
        </is>
      </c>
      <c r="C340">
        <f>HYPERLINK("https://github.com/crate/crate/blob/master/server/src/main/java/io/crate/execution/IncrementalPageBucketReceiver.java")</f>
        <v/>
      </c>
      <c r="D340" t="inlineStr">
        <is>
          <t>The code is licensed under Apache License 2.0 and it's provided by Crate.io GmbH ("Crate"). The license allows users to use the file for any purpose except in compliance with the terms of the license. It also requires attribution if used as part of a larger project or product. For more details about copyright ownership and licensing conditions, please</t>
        </is>
      </c>
      <c r="E340" t="n">
        <v>0.0031</v>
      </c>
      <c r="F340" t="n">
        <v>0.0286</v>
      </c>
      <c r="G340" t="n">
        <v>0.07630000000000001</v>
      </c>
      <c r="H340" t="inlineStr">
        <is>
          <t>The provided code is a function named "add". It takes two parameters 'a' and 'b', adds them together and returns the result. The time complexity of this operation is O(1), meaning it performs a constant number of operations regardless of input size. 
In summary, this code implements an addition functionality for numbers in Python. However, without additional context or details</t>
        </is>
      </c>
      <c r="I340" t="n">
        <v>0.004</v>
      </c>
      <c r="J340" t="n">
        <v>0.08699999999999999</v>
      </c>
      <c r="K340" t="n">
        <v>0.1515</v>
      </c>
      <c r="L340" t="inlineStr">
        <is>
          <t>The code provided is licensed under the Apache License 2.0 and it's written in C language. It appears to be a backend software component for an application that interacts with databases using SQL queries. The main purpose of this code seems to be managing connections to multiple database servers (MySQL, PostgreSQL) simultaneously via asynchronous I/O operations. This allows efficient use of</t>
        </is>
      </c>
      <c r="M340" t="n">
        <v>0.0039</v>
      </c>
      <c r="N340" t="n">
        <v>0.0278</v>
      </c>
      <c r="O340" t="n">
        <v>0.1504</v>
      </c>
    </row>
    <row r="341">
      <c r="A341" t="inlineStr">
        <is>
          <t>crate</t>
        </is>
      </c>
      <c r="B341" t="inlineStr">
        <is>
          <t>server/src/main/java/io/crate/execution/TransportExecutorModule.java</t>
        </is>
      </c>
      <c r="C341">
        <f>HYPERLINK("https://github.com/crate/crate/blob/master/server/src/main/java/io/crate/execution/TransportExecutorModule.java")</f>
        <v/>
      </c>
      <c r="D341" t="inlineStr">
        <is>
          <t>The code is licensed under Apache License 2.0 and it's provided by Crate.io GmbH ("Crate"). It allows you to use the file except in compliance with the license terms. You can obtain a copy of the license at http://www.apache.org/licenses/LICENSE-2.0 Unless required by applicable law or agreed to</t>
        </is>
      </c>
      <c r="E341" t="n">
        <v>0.0039</v>
      </c>
      <c r="F341" t="n">
        <v>0.0308</v>
      </c>
      <c r="G341" t="n">
        <v>0.08400000000000001</v>
      </c>
      <c r="H341" t="inlineStr">
        <is>
          <t>The function provided is a simple addition operation that takes two numbers as input and returns their sum. The time complexity of this function is O(1), indicating constant time regardless of the size of the inputs.
In terms of licensing information, it appears to be Apache 2.0 licensed software with some clauses requiring compliance or permission for commercial use. It's important to note that</t>
        </is>
      </c>
      <c r="I341" t="n">
        <v>0.0034</v>
      </c>
      <c r="J341" t="n">
        <v>0.0533</v>
      </c>
      <c r="K341" t="n">
        <v>0.1471</v>
      </c>
      <c r="L341" t="inlineStr">
        <is>
          <t>The provided code is licensed under the Apache License 2.0 and contains a notice at the top of each file detailing its copyright ownership and license terms. The software uses Crate.io's core algorithms to create an index for search functionality in Elasticsearch. It accepts user input as queries and returns relevant documents based on their content. This function has a time complexity of O(N</t>
        </is>
      </c>
      <c r="M341" t="n">
        <v>0.0043</v>
      </c>
      <c r="N341" t="n">
        <v>0.1053</v>
      </c>
      <c r="O341" t="n">
        <v>0.1838</v>
      </c>
    </row>
    <row r="342">
      <c r="A342" t="inlineStr">
        <is>
          <t>crate</t>
        </is>
      </c>
      <c r="B342" t="inlineStr">
        <is>
          <t>server/src/main/java/io/crate/execution/MultiPhaseExecutor.java</t>
        </is>
      </c>
      <c r="C342">
        <f>HYPERLINK("https://github.com/crate/crate/blob/master/server/src/main/java/io/crate/execution/MultiPhaseExecutor.java")</f>
        <v/>
      </c>
      <c r="D342" t="inlineStr">
        <is>
          <t>The provided code is licensed under Apache License 2.0 and it's being used by Crate.io GmbH ("Crate"). The license allows you to use the file in compliance with the terms of this agreement unless otherwise stated. You can obtain a copy of the license at http://www.apache.org/licenses/LICENSE-2.0 Unless</t>
        </is>
      </c>
      <c r="E342" t="n">
        <v>0.0039</v>
      </c>
      <c r="F342" t="n">
        <v>0.0308</v>
      </c>
      <c r="G342" t="n">
        <v>0.1261</v>
      </c>
      <c r="H342" t="inlineStr">
        <is>
          <t>The function provided is a simple addition operation that takes two numbers as input and returns their sum. The complexity of this function is O(1), meaning it performs a constant number of operations regardless of the size of the inputs.
```python
# Adds two numbers together
def add(a, b): 
    return a + b
```
In terms of lic</t>
        </is>
      </c>
      <c r="I342" t="n">
        <v>0.0031</v>
      </c>
      <c r="J342" t="n">
        <v>0.0615</v>
      </c>
      <c r="K342" t="n">
        <v>0.1154</v>
      </c>
      <c r="L342" t="inlineStr">
        <is>
          <t>The provided code is licensed under the Apache License 2.0 and it's written in Java. The purpose of this software component appears to be a data storage system that uses an underlying database called CrateDB for storing structured data such as logs or events from various sources. It provides APIs for CRUD (Create, Read, Update, Delete) operations on these stored items</t>
        </is>
      </c>
      <c r="M342" t="n">
        <v>0.0036</v>
      </c>
      <c r="N342" t="n">
        <v>0.0563</v>
      </c>
      <c r="O342" t="n">
        <v>0.2373</v>
      </c>
    </row>
    <row r="343">
      <c r="A343" t="inlineStr">
        <is>
          <t>crate</t>
        </is>
      </c>
      <c r="B343" t="inlineStr">
        <is>
          <t>server/src/main/java/io/crate/execution/engine/InitializationTracker.java</t>
        </is>
      </c>
      <c r="C343">
        <f>HYPERLINK("https://github.com/crate/crate/blob/master/server/src/main/java/io/crate/execution/engine/InitializationTracker.java")</f>
        <v/>
      </c>
      <c r="D343" t="inlineStr">
        <is>
          <t>The provided code is licensed under Apache License 2.0 and it's written in unknown language. It contains the license details at the beginning of each file which states that any use of this software must comply with the terms of the license unless otherwise agreed to by Crate GmbH ("Crate"). The license grants permission for commercial uses but requires a contributor agreement if more</t>
        </is>
      </c>
      <c r="E343" t="n">
        <v>0.0034</v>
      </c>
      <c r="F343" t="n">
        <v>0.0541</v>
      </c>
      <c r="G343" t="n">
        <v>0.2321</v>
      </c>
      <c r="H343" t="inlineStr">
        <is>
          <t>The provided code is a function named "add". It takes two parameters (a and b), adds them together using the '+' operator, then returns the result. The time complexity of this operation is O(1).
In summary, it performs addition on two numbers. 
Please note that there are license terms attached to this software component which may restrict its usage or modifications</t>
        </is>
      </c>
      <c r="I343" t="n">
        <v>0.0036</v>
      </c>
      <c r="J343" t="n">
        <v>0.058</v>
      </c>
      <c r="K343" t="n">
        <v>0.2373</v>
      </c>
      <c r="L343" t="inlineStr">
        <is>
          <t>The provided code is licensed under the Apache License 2.0 and it's written in Java. It appears to be a backend software component for a database management system named CrateDB ("Crate"). The purpose of this code seems to be related to implementing core algorithms or functionalities such as data indexing, query processing etc. However, without context about what specific functionality or</t>
        </is>
      </c>
      <c r="M343" t="n">
        <v>0.0042</v>
      </c>
      <c r="N343" t="n">
        <v>0.1127</v>
      </c>
      <c r="O343" t="n">
        <v>0.3206</v>
      </c>
    </row>
    <row r="344">
      <c r="A344" t="inlineStr">
        <is>
          <t>crate</t>
        </is>
      </c>
      <c r="B344" t="inlineStr">
        <is>
          <t>server/src/main/java/io/crate/execution/engine/NodeOperationTreeGenerator.java</t>
        </is>
      </c>
      <c r="C344">
        <f>HYPERLINK("https://github.com/crate/crate/blob/master/server/src/main/java/io/crate/execution/engine/NodeOperationTreeGenerator.java")</f>
        <v/>
      </c>
      <c r="D344" t="inlineStr">
        <is>
          <t>The provided code is licensed under Apache License 2.0 and it allows users to use the file except in compliance with this license agreement. The software distributed under the terms of the license can be used on an "AS IS" basis without any warranties or conditions of any kind, either express or implied. See the specific language governing permissions and limitations under the license for more details.</t>
        </is>
      </c>
      <c r="E344" t="n">
        <v>0.0032</v>
      </c>
      <c r="F344" t="n">
        <v>0.0789</v>
      </c>
      <c r="G344" t="n">
        <v>0.1439</v>
      </c>
      <c r="H344" t="inlineStr">
        <is>
          <t>The code provided is a simple function for addition of two numbers in Python. The functionality of the provided code can be summarized as follows:
In this repository, there are multiple files containing backend software components implementing core algorithms. Each file has been committed to version control system with each commit having its own unique identifier. 
Each file contains licensing information which states that it may only</t>
        </is>
      </c>
      <c r="I344" t="n">
        <v>0.0036</v>
      </c>
      <c r="J344" t="n">
        <v>0.1067</v>
      </c>
      <c r="K344" t="n">
        <v>0.2676</v>
      </c>
      <c r="L344" t="inlineStr">
        <is>
          <t>The provided code is licensed under the Apache License 2.0 and it's written in Python language. The purpose of this software component appears to be related to data storage and retrieval using a database system called CrateDB (a NoSQL document database). This specific piece of code seems to handle operations such as creating tables, inserting records into these tables, querying for</t>
        </is>
      </c>
      <c r="M344" t="n">
        <v>0.0039</v>
      </c>
      <c r="N344" t="n">
        <v>0.08450000000000001</v>
      </c>
      <c r="O344" t="n">
        <v>0.1504</v>
      </c>
    </row>
    <row r="345">
      <c r="A345" t="inlineStr">
        <is>
          <t>crate</t>
        </is>
      </c>
      <c r="B345" t="inlineStr">
        <is>
          <t>server/src/main/java/io/crate/execution/engine/JobLauncher.java</t>
        </is>
      </c>
      <c r="C345">
        <f>HYPERLINK("https://github.com/crate/crate/blob/master/server/src/main/java/io/crate/execution/engine/JobLauncher.java")</f>
        <v/>
      </c>
      <c r="D345" t="inlineStr">
        <is>
          <t># This code is licensed to Crate.io GmbH ("Crate"). It's subject to one or more contributor license agreements. 
# See the NOTICE file distributed with this work for additional information regarding copyright ownership. 
# The code is made available under Apache License, Version 2.0 (the "License"), which you may not use except in</t>
        </is>
      </c>
      <c r="E345" t="n">
        <v>0.0035</v>
      </c>
      <c r="F345" t="n">
        <v>0.0328</v>
      </c>
      <c r="G345" t="n">
        <v>0.08</v>
      </c>
      <c r="H345" t="inlineStr">
        <is>
          <t>The function provided is a simple addition operation that takes two numbers as arguments and returns their sum. The complexity of this function is O(1), meaning it performs a constant number of operations regardless of the size of the input data. It's licensed under Apache License 2.0 which allows for commercial use subject to certain conditions stated in the license agreement at http://www.apache.org/</t>
        </is>
      </c>
      <c r="I345" t="n">
        <v>0.0029</v>
      </c>
      <c r="J345" t="n">
        <v>0.0519</v>
      </c>
      <c r="K345" t="n">
        <v>0.1111</v>
      </c>
      <c r="L345" t="inlineStr">
        <is>
          <t>&lt;!-- Code Summary --&gt;
The provided code is a part of backend software components for the Critea platform licensed under Apache License 2.0. The purpose of this component appears to be related to data storage and retrieval using an in-memory database system like CrateDB or Elasticsearch. It provides functionalities such as creating tables, inserting records into them, query</t>
        </is>
      </c>
      <c r="M345" t="n">
        <v>0.0037</v>
      </c>
      <c r="N345" t="n">
        <v>0.0606</v>
      </c>
      <c r="O345" t="n">
        <v>0.1538</v>
      </c>
    </row>
    <row r="346">
      <c r="A346" t="inlineStr">
        <is>
          <t>crate</t>
        </is>
      </c>
      <c r="B346" t="inlineStr">
        <is>
          <t>server/src/main/java/io/crate/execution/engine/PhasesTaskFactory.java</t>
        </is>
      </c>
      <c r="C346">
        <f>HYPERLINK("https://github.com/crate/crate/blob/master/server/src/main/java/io/crate/execution/engine/PhasesTaskFactory.java")</f>
        <v/>
      </c>
      <c r="D346" t="inlineStr">
        <is>
          <t>The code is licensed under Apache License 2.0 and it's provided by Crate.io GmbH ("Crate"). It allows you to use the file in compliance with this license agreement but not without obtaining a copy of the license from http://www.apache.org/licenses/LICENSE-2.0. The software distributed under the License is distributed</t>
        </is>
      </c>
      <c r="E346" t="n">
        <v>0.0046</v>
      </c>
      <c r="F346" t="n">
        <v>0.0615</v>
      </c>
      <c r="G346" t="n">
        <v>0.1681</v>
      </c>
      <c r="H346" t="inlineStr">
        <is>
          <t>The function provided is a simple addition operation that takes two arguments and returns their sum. The complexity of this function is O(1), meaning it performs the same number of operations regardless of input size.
In terms of licensing information, it appears to be Apache License 2.0 which means you can use, copy, modify, merge, publish, distribute, sublicense,</t>
        </is>
      </c>
      <c r="I346" t="n">
        <v>0.0031</v>
      </c>
      <c r="J346" t="n">
        <v>0.0588</v>
      </c>
      <c r="K346" t="n">
        <v>0.1154</v>
      </c>
      <c r="L346" t="inlineStr">
        <is>
          <t>The provided code is licensed under the Apache License 2.0 and it's a backend software component for Crate.io GmbH ("Crate"). The main purpose of this code seems to be related to licensing terms and conditions. It checks if there are any license agreements that have been executed with Crate or not. If they haven't, then it restrict</t>
        </is>
      </c>
      <c r="M346" t="n">
        <v>0.0038</v>
      </c>
      <c r="N346" t="n">
        <v>0.058</v>
      </c>
      <c r="O346" t="n">
        <v>0.1163</v>
      </c>
    </row>
    <row r="347">
      <c r="A347" t="inlineStr">
        <is>
          <t>crate</t>
        </is>
      </c>
      <c r="B347" t="inlineStr">
        <is>
          <t>server/src/main/java/io/crate/execution/engine/InterceptingRowConsumer.java</t>
        </is>
      </c>
      <c r="C347">
        <f>HYPERLINK("https://github.com/crate/crate/blob/master/server/src/main/java/io/crate/execution/engine/InterceptingRowConsumer.java")</f>
        <v/>
      </c>
      <c r="D347" t="inlineStr">
        <is>
          <t>The provided code is licensed under Apache License 2.0 and it's used by Crate.io GmbH ("Crate"). The license allows users to use the software for any purpose except in compliance with the terms of this license. It also requires attribution if derivative works are created based on this work. This notice should be included alongside the source files where such modifications</t>
        </is>
      </c>
      <c r="E347" t="n">
        <v>0.0039</v>
      </c>
      <c r="F347" t="n">
        <v>0.0278</v>
      </c>
      <c r="G347" t="n">
        <v>0.1504</v>
      </c>
      <c r="H347" t="inlineStr">
        <is>
          <t>The provided code is a function named `add` that takes in two parameters (numbers), adds them together and returns the result. The complexity of this operation is O(1).
It's also licensed under Apache License 2.0 which means you can use it for any purpose, including commercial purposes as long as you comply with its terms and conditions. However, if there</t>
        </is>
      </c>
      <c r="I347" t="n">
        <v>0.003</v>
      </c>
      <c r="J347" t="n">
        <v>0.0563</v>
      </c>
      <c r="K347" t="n">
        <v>0.1136</v>
      </c>
      <c r="L347" t="inlineStr">
        <is>
          <t>The provided code is licensed under the Apache License 2.0 and it's written in Java. The purpose of this software component appears to be related to a distributed database system known as CrateDB (a fork of Elasticsearch). It seems to implement core algorithms for data storage and retrieval operations within a cluster environment. However, without context or specific details about what exactly</t>
        </is>
      </c>
      <c r="M347" t="n">
        <v>0.0039</v>
      </c>
      <c r="N347" t="n">
        <v>0.1389</v>
      </c>
      <c r="O347" t="n">
        <v>0.3328</v>
      </c>
    </row>
    <row r="348">
      <c r="A348" t="inlineStr">
        <is>
          <t>crate</t>
        </is>
      </c>
      <c r="B348" t="inlineStr">
        <is>
          <t>server/src/main/java/io/crate/execution/engine/PagingUnsupportedResultListener.java</t>
        </is>
      </c>
      <c r="C348">
        <f>HYPERLINK("https://github.com/crate/crate/blob/master/server/src/main/java/io/crate/execution/engine/PagingUnsupportedResultListener.java")</f>
        <v/>
      </c>
      <c r="D348" t="inlineStr">
        <is>
          <t>The code is licensed under one or more contributor license agreements with Crate.io GmbH ("Crate"), and it's distributed under the Apache License, Version 2.0 (the "License"). You may not use this file except in compliance with the License. The License can be obtained at http://www.apache.org/licenses/LICENSE-</t>
        </is>
      </c>
      <c r="E348" t="n">
        <v>0.0041</v>
      </c>
      <c r="F348" t="n">
        <v>0.0328</v>
      </c>
      <c r="G348" t="n">
        <v>0.1282</v>
      </c>
      <c r="H348" t="inlineStr">
        <is>
          <t>The provided code is a function named "add". This function takes two parameters (a and b), adds them together, and returns the result. The functionality of this code is to add two numbers.
It has a time complexity of O(1). In terms of computational complexity, it's considered constant because no matter how large the inputs are, there will always be only one operation</t>
        </is>
      </c>
      <c r="I348" t="n">
        <v>0.0038</v>
      </c>
      <c r="J348" t="n">
        <v>0.0822</v>
      </c>
      <c r="K348" t="n">
        <v>0.1111</v>
      </c>
      <c r="L348" t="inlineStr">
        <is>
          <t>The code provided is licensed under the Apache License 2.0 and it's written in Java. It seems to be a backend software component for a database management system called CrateDB ("Crate"). The main purpose of this file appears to be licensing information as well as copyright notices which are followed by an implementation of core algorithms used within the application. This particular piece</t>
        </is>
      </c>
      <c r="M348" t="n">
        <v>0.0041</v>
      </c>
      <c r="N348" t="n">
        <v>0.0822</v>
      </c>
      <c r="O348" t="n">
        <v>0.2222</v>
      </c>
    </row>
    <row r="349">
      <c r="A349" t="inlineStr">
        <is>
          <t>crate</t>
        </is>
      </c>
      <c r="B349" t="inlineStr">
        <is>
          <t>server/src/main/java/io/crate/execution/engine/BucketForwarder.java</t>
        </is>
      </c>
      <c r="C349">
        <f>HYPERLINK("https://github.com/crate/crate/blob/master/server/src/main/java/io/crate/execution/engine/BucketForwarder.java")</f>
        <v/>
      </c>
      <c r="D349" t="inlineStr">
        <is>
          <t>The code is licensed under Apache License 2.0 and it's being used by Crate.io GmbH ("Crate"). It grants the user permission to use this file as per terms of the license agreement but requires compliance with all conditions mentioned in the license. If a commercial license agreement has been executed with Crate, superseding the license will apply and software can be</t>
        </is>
      </c>
      <c r="E349" t="n">
        <v>0.0036</v>
      </c>
      <c r="F349" t="n">
        <v>0.0556</v>
      </c>
      <c r="G349" t="n">
        <v>0.1504</v>
      </c>
      <c r="H349" t="inlineStr">
        <is>
          <t>The provided code is a function named "add", which takes two parameters and returns their sum. The complexity of this operation is O(1), meaning it always executes in constant time regardless of the input size. This function can be used for adding numbers together.
&lt;jupyter_output&gt;
&lt;empty_output&gt;
&lt;jupyter_text&gt;</t>
        </is>
      </c>
      <c r="I349" t="n">
        <v>0.0046</v>
      </c>
      <c r="J349" t="n">
        <v>0.0678</v>
      </c>
      <c r="K349" t="n">
        <v>0.1261</v>
      </c>
      <c r="L349" t="inlineStr">
        <is>
          <t>The provided code is licensed under the Apache License 2.0 and it's a backend software component for Crite.io GmbH ("Crate"). It appears to be implementing core algorithms related to data management or processing tasks in various functions such as creating databases, managing connections, executing queries etc. The purpose of this module seems to be handling database operations efficiently with an emphasis</t>
        </is>
      </c>
      <c r="M349" t="n">
        <v>0.0042</v>
      </c>
      <c r="N349" t="n">
        <v>0.1111</v>
      </c>
      <c r="O349" t="n">
        <v>0.3606</v>
      </c>
    </row>
    <row r="350">
      <c r="A350" t="inlineStr">
        <is>
          <t>crate</t>
        </is>
      </c>
      <c r="B350" t="inlineStr">
        <is>
          <t>server/src/main/java/io/crate/execution/engine/FirstColumnConsumers.java</t>
        </is>
      </c>
      <c r="C350">
        <f>HYPERLINK("https://github.com/crate/crate/blob/master/server/src/main/java/io/crate/execution/engine/FirstColumnConsumers.java")</f>
        <v/>
      </c>
      <c r="D350" t="inlineStr">
        <is>
          <t>```python
# Licensed to Crate.io GmbH ("Crate") under one or more contributor license agreements. 
# See the NOTICE file distributed with this work for additional information regarding copyright ownership.  
# Crate licenses this file to you under the Apache License, Version 2.0 (the "License"); 
# you may not use</t>
        </is>
      </c>
      <c r="E350" t="n">
        <v>0</v>
      </c>
      <c r="F350" t="n">
        <v>0.0364</v>
      </c>
      <c r="G350" t="n">
        <v>0.08260000000000001</v>
      </c>
      <c r="H350" t="inlineStr">
        <is>
          <t>The function provided is a simple addition operation that takes two parameters and returns their sum. The complexity of this function is O(1), meaning it always performs the same number of operations regardless of input size.
Here's an example usage:
```python
result = add(5, 7) # result will be 12
```
Please note that in compliance</t>
        </is>
      </c>
      <c r="I350" t="n">
        <v>0.0033</v>
      </c>
      <c r="J350" t="n">
        <v>0.0625</v>
      </c>
      <c r="K350" t="n">
        <v>0.1172</v>
      </c>
      <c r="L350" t="inlineStr">
        <is>
          <t>I'm sorry but you haven't provided any source code file for me to analyze and summarize its functionality. Please provide the relevant code or specify which one you want a summary of so I can assist you better.</t>
        </is>
      </c>
      <c r="M350" t="n">
        <v>0.0049</v>
      </c>
      <c r="N350" t="n">
        <v>0.0417</v>
      </c>
      <c r="O350" t="n">
        <v>0.0455</v>
      </c>
    </row>
    <row r="351">
      <c r="A351" t="inlineStr">
        <is>
          <t>crate</t>
        </is>
      </c>
      <c r="B351" t="inlineStr">
        <is>
          <t>server/src/main/java/io/crate/execution/engine/CorrelatedJoinProjector.java</t>
        </is>
      </c>
      <c r="C351">
        <f>HYPERLINK("https://github.com/crate/crate/blob/master/server/src/main/java/io/crate/execution/engine/CorrelatedJoinProjector.java")</f>
        <v/>
      </c>
      <c r="D351" t="inlineStr">
        <is>
          <t>The provided code is licensed under the Apache License 2.0 and it's written in a language that doesn't have an explicit mention. The license grants you permission to use this file except when not compliant with the terms of the license. You can obtain a copy of the license at http://www.apache.org/licenses/LICENSE-2.0</t>
        </is>
      </c>
      <c r="E351" t="n">
        <v>0.0036</v>
      </c>
      <c r="F351" t="n">
        <v>0.029</v>
      </c>
      <c r="G351" t="n">
        <v>0.122</v>
      </c>
      <c r="H351" t="inlineStr">
        <is>
          <t>The function provided is a simple addition operation that takes two numbers as input and returns their sum. The complexity of this operation is O(1), meaning it performs the same number of operations regardless of the size of the inputs.
#include &lt;iostream&gt;
using namespace std;
int main() {
    int num1 = 5;  // first operand
    int</t>
        </is>
      </c>
      <c r="I351" t="n">
        <v>0.0033</v>
      </c>
      <c r="J351" t="n">
        <v>0.0645</v>
      </c>
      <c r="K351" t="n">
        <v>0.1172</v>
      </c>
      <c r="L351" t="inlineStr">
        <is>
          <t>The provided code is licensed under the Apache License version 2.0 and it's written in Java. The purpose of this software component is to interact with a database system named CrateDB which provides scalable SQL capabilities for elastic search applications. It allows users to perform CRUD operations on tables (Create, Read, Update, Delete) and also supports complex queries using SQL syntax</t>
        </is>
      </c>
      <c r="M351" t="n">
        <v>0.0036</v>
      </c>
      <c r="N351" t="n">
        <v>0.08450000000000001</v>
      </c>
      <c r="O351" t="n">
        <v>0.2373</v>
      </c>
    </row>
    <row r="352">
      <c r="A352" t="inlineStr">
        <is>
          <t>crate</t>
        </is>
      </c>
      <c r="B352" t="inlineStr">
        <is>
          <t>server/src/main/java/io/crate/execution/engine/collect/PKLookupOperation.java</t>
        </is>
      </c>
      <c r="C352">
        <f>HYPERLINK("https://github.com/crate/crate/blob/master/server/src/main/java/io/crate/execution/engine/collect/PKLookupOperation.java")</f>
        <v/>
      </c>
      <c r="D352" t="inlineStr">
        <is>
          <t>The provided code is licensed under Apache License 2.0 and it grants the user permission to use this software as per their requirements in compliance with the license terms. The notice file contains additional information regarding copyright ownership of the work. This repository contains backend software components implementing core algorithms for complex tasks which have a time complexity of O(N). It's important to note that any commercial licensing</t>
        </is>
      </c>
      <c r="E352" t="n">
        <v>0.0038</v>
      </c>
      <c r="F352" t="n">
        <v>0.1013</v>
      </c>
      <c r="G352" t="n">
        <v>0.3046</v>
      </c>
      <c r="H352" t="inlineStr">
        <is>
          <t>The code provided is a simple function to add two numbers together in Python. The functionality of the code can be summarized as follows:
```python
# Licensed to Crate.io GmbH ("Crate") under one or more contributor license agreements. 
# See the NOTICE file distributed with this work for additional information regarding copyright ownership.  
# Cr</t>
        </is>
      </c>
      <c r="I352" t="n">
        <v>0.0033</v>
      </c>
      <c r="J352" t="n">
        <v>0.0328</v>
      </c>
      <c r="K352" t="n">
        <v>0.07870000000000001</v>
      </c>
      <c r="L352" t="inlineStr">
        <is>
          <t>&lt;!-- This is a placeholder for the summary --&gt;
The provided code file is licensed under Apache License 2.0 and it's written in Java. The purpose of this software component appears to be related to data management or storage system where CrateDB (a database built on top of Elasticsearch) is being used as an underlying technology. It provides functionalities like creating tables</t>
        </is>
      </c>
      <c r="M352" t="n">
        <v>0.0039</v>
      </c>
      <c r="N352" t="n">
        <v>0.0857</v>
      </c>
      <c r="O352" t="n">
        <v>0.2355</v>
      </c>
    </row>
    <row r="353">
      <c r="A353" t="inlineStr">
        <is>
          <t>crate</t>
        </is>
      </c>
      <c r="B353" t="inlineStr">
        <is>
          <t>server/src/main/java/io/crate/execution/engine/collect/ShardCollectorProvider.java</t>
        </is>
      </c>
      <c r="C353">
        <f>HYPERLINK("https://github.com/crate/crate/blob/master/server/src/main/java/io/crate/execution/engine/collect/ShardCollectorProvider.java")</f>
        <v/>
      </c>
      <c r="D353" t="inlineStr">
        <is>
          <t>The code is licensed under Apache License 2.0 and it's provided by Crate.io GmbH ("Crate"). It allows you to use the file in compliance with this license agreement or any other contributorsâĢĻ agreements. The notice regarding copyright ownership can be found in a NOTICE file distributed along with the work. This software may not be used except in compliance</t>
        </is>
      </c>
      <c r="E353" t="n">
        <v>0.0072</v>
      </c>
      <c r="F353" t="n">
        <v>0.0571</v>
      </c>
      <c r="G353" t="n">
        <v>0.2409</v>
      </c>
      <c r="H353" t="inlineStr">
        <is>
          <t>The provided code is a function named "add". This function takes two parameters (numbers), adds them together and returns the result. The time complexity of this operation is O(1).
In addition to that, there's also another piece of commented out code in the repository which appears to be implementing core algorithms for complex calculations. However, without more context or specific information about what</t>
        </is>
      </c>
      <c r="I353" t="n">
        <v>0.0038</v>
      </c>
      <c r="J353" t="n">
        <v>0.0822</v>
      </c>
      <c r="K353" t="n">
        <v>0.2756</v>
      </c>
      <c r="L353" t="inlineStr">
        <is>
          <t># Code Summary: 
The code is licensed under the Apache License version 2.0 and it's written in a language that allows for commercial use but requires distribution of source code upon request from users who do not comply with this license agreement. The software component provided here uses Crate.io GmbH ("Crate"), which implements core algorithms to manage data storage and retrieval</t>
        </is>
      </c>
      <c r="M353" t="n">
        <v>0.0075</v>
      </c>
      <c r="N353" t="n">
        <v>0.1408</v>
      </c>
      <c r="O353" t="n">
        <v>0.3206</v>
      </c>
    </row>
    <row r="354">
      <c r="A354" t="inlineStr">
        <is>
          <t>crate</t>
        </is>
      </c>
      <c r="B354" t="inlineStr">
        <is>
          <t>server/src/main/java/io/crate/execution/engine/collect/GroupByOptimizedIterator.java</t>
        </is>
      </c>
      <c r="C354">
        <f>HYPERLINK("https://github.com/crate/crate/blob/master/server/src/main/java/io/crate/execution/engine/collect/GroupByOptimizedIterator.java")</f>
        <v/>
      </c>
      <c r="D354" t="inlineStr">
        <is>
          <t># This code is licensed under Apache License 2.0 and can be used for any purpose except in compliance with the license terms. The copyright holder of this work is Crate.io GmbH ("Crate"). You may obtain a copy of the License at http://www.apache.org/licenses/LICENSE-2.0 Unless required by applicable law or agreed to</t>
        </is>
      </c>
      <c r="E354" t="n">
        <v>0.0043</v>
      </c>
      <c r="F354" t="n">
        <v>0.0597</v>
      </c>
      <c r="G354" t="n">
        <v>0.122</v>
      </c>
      <c r="H354" t="inlineStr">
        <is>
          <t>The function provided is a simple addition operation that takes two arguments and returns their sum. The complexity of this function is O(1), meaning it performs a constant number of operations regardless of the size of the input data.
In terms of licensing, the code is licensed under Apache License 2.0 as stated in the comments at the top of the file. This means you can</t>
        </is>
      </c>
      <c r="I354" t="n">
        <v>0.0033</v>
      </c>
      <c r="J354" t="n">
        <v>0.0526</v>
      </c>
      <c r="K354" t="n">
        <v>0.1087</v>
      </c>
      <c r="L354" t="inlineStr">
        <is>
          <t>&lt;!-- This is a code summary --&gt;
The provided source code file contains backend software components for the Critea platform licensed under Apache License 2.0. The purpose of this code base seems to be related to data management and processing using algorithms implemented by Crate.io GmbH ("Crate"). It appears to handle various operations such as creating tables, inserting records into</t>
        </is>
      </c>
      <c r="M354" t="n">
        <v>0.004</v>
      </c>
      <c r="N354" t="n">
        <v>0.0882</v>
      </c>
      <c r="O354" t="n">
        <v>0.1894</v>
      </c>
    </row>
    <row r="355">
      <c r="A355" t="inlineStr">
        <is>
          <t>crate</t>
        </is>
      </c>
      <c r="B355" t="inlineStr">
        <is>
          <t>server/src/main/java/io/crate/execution/engine/collect/ValueAndInputRow.java</t>
        </is>
      </c>
      <c r="C355">
        <f>HYPERLINK("https://github.com/crate/crate/blob/master/server/src/main/java/io/crate/execution/engine/collect/ValueAndInputRow.java")</f>
        <v/>
      </c>
      <c r="D355" t="inlineStr">
        <is>
          <t>This code is licensed under the Apache License version 2.0 and it's used by Crate.io GmbH ("Crate"). The license agreement can be found at http://www.apache.org/licenses/LICENSE-2.0. You may not use this file except in compliance with the License. A copy of the License can also be obtained</t>
        </is>
      </c>
      <c r="E355" t="n">
        <v>0.0048</v>
      </c>
      <c r="F355" t="n">
        <v>0.0625</v>
      </c>
      <c r="G355" t="n">
        <v>0.1271</v>
      </c>
      <c r="H355" t="inlineStr">
        <is>
          <t>The code you provided is a Python function named "add". This function takes two parameters (a and b), adds them together, and returns the result. The time complexity of this operation is O(1). 
# README file summary:
This repository contains backend software components that implement core algorithms used in various applications such as databases, web servers etc. It's licensed under Apache</t>
        </is>
      </c>
      <c r="I355" t="n">
        <v>0.0042</v>
      </c>
      <c r="J355" t="n">
        <v>0.1143</v>
      </c>
      <c r="K355" t="n">
        <v>0.3206</v>
      </c>
      <c r="L355" t="inlineStr">
        <is>
          <t>The provided code is licensed under the Apache License 2.0 and it's written in Java. The purpose of this software component appears to be related to a database operation using CrateDB (a distributed SQL database). It seems to implement core algorithms for data manipulation such as CRUD operations on tables or documents within those databases. However, without context about what specific functionality is</t>
        </is>
      </c>
      <c r="M355" t="n">
        <v>0.0041</v>
      </c>
      <c r="N355" t="n">
        <v>0.137</v>
      </c>
      <c r="O355" t="n">
        <v>0.3786</v>
      </c>
    </row>
    <row r="356">
      <c r="A356" t="inlineStr">
        <is>
          <t>crate</t>
        </is>
      </c>
      <c r="B356" t="inlineStr">
        <is>
          <t>server/src/main/java/io/crate/execution/engine/collect/BlobShardCollectorProvider.java</t>
        </is>
      </c>
      <c r="C356">
        <f>HYPERLINK("https://github.com/crate/crate/blob/master/server/src/main/java/io/crate/execution/engine/collect/BlobShardCollectorProvider.java")</f>
        <v/>
      </c>
      <c r="D356" t="inlineStr">
        <is>
          <t># This code is licensed under the Apache License 2.0 (the "License"). You may not use this file except in compliance with the License. 
# You can obtain a copy of the License at http://www.apache.org/licenses/LICENSE-2.0 Unless required by applicable law or agreed to in writing, software distributed under the License is distributed</t>
        </is>
      </c>
      <c r="E356" t="n">
        <v>0.0042</v>
      </c>
      <c r="F356" t="n">
        <v>0.0606</v>
      </c>
      <c r="G356" t="n">
        <v>0.121</v>
      </c>
      <c r="H356" t="inlineStr">
        <is>
          <t>The provided code is a function named "add", which takes two arguments (numbers), adds them together and returns the result. The time complexity of this operation is O(1).
   This repository contains backend software components implementing core algorithms. The total number of lines in initial code base commit is 1000. However, due to implementation details, it's not clear</t>
        </is>
      </c>
      <c r="I356" t="n">
        <v>0.0045</v>
      </c>
      <c r="J356" t="n">
        <v>0.1194</v>
      </c>
      <c r="K356" t="n">
        <v>0.2326</v>
      </c>
      <c r="L356" t="inlineStr">
        <is>
          <t>The provided code is licensed under the Apache License 2.0 and it's written in Java language. The main purpose of this software component appears to be a REST API server for managing data related to users and their activities on an online platform. It uses CrateDB as its database system which provides distributed SQL capabilities with real-time analytics. There are endpoints defined for</t>
        </is>
      </c>
      <c r="M356" t="n">
        <v>0.0034</v>
      </c>
      <c r="N356" t="n">
        <v>0.08110000000000001</v>
      </c>
      <c r="O356" t="n">
        <v>0.2338</v>
      </c>
    </row>
    <row r="357">
      <c r="A357" t="inlineStr">
        <is>
          <t>crate</t>
        </is>
      </c>
      <c r="B357" t="inlineStr">
        <is>
          <t>server/src/main/java/io/crate/execution/engine/collect/RowsTransformer.java</t>
        </is>
      </c>
      <c r="C357">
        <f>HYPERLINK("https://github.com/crate/crate/blob/master/server/src/main/java/io/crate/execution/engine/collect/RowsTransformer.java")</f>
        <v/>
      </c>
      <c r="D357" t="inlineStr">
        <is>
          <t>The provided code is licensed under Apache License 2.0 and it's a backend software component for Crate.io GmbH ("Crate"). The license allows users to use the file except in compliance with the terms of the license. It provides additional information regarding copyright ownership which can be found in the NOTICE file distributed along with this work. If you have executed another</t>
        </is>
      </c>
      <c r="E357" t="n">
        <v>0.0036</v>
      </c>
      <c r="F357" t="n">
        <v>0.0278</v>
      </c>
      <c r="G357" t="n">
        <v>0.1504</v>
      </c>
      <c r="H357" t="inlineStr">
        <is>
          <t>The provided code is a function named "add". It takes two parameters (a and b), adds them together, and returns the result. The complexity of this operation is O(1). This means that it always executes in constant time regardless of the size of the input data.
In terms of licensing, the software is licensed under Apache License 2.0 as stated in</t>
        </is>
      </c>
      <c r="I357" t="n">
        <v>0.0039</v>
      </c>
      <c r="J357" t="n">
        <v>0.0563</v>
      </c>
      <c r="K357" t="n">
        <v>0.1504</v>
      </c>
      <c r="L357" t="inlineStr">
        <is>
          <t>The provided code is licensed under the Apache License 2.0 and it's a backend software component for Crate.io GmbH ("Crate"). The purpose of this code seems to be related to handling licensing agreements with third parties or users who execute another commercial license agreement with Crate. However, without more context about its functionality, we can only provide an abstract</t>
        </is>
      </c>
      <c r="M357" t="n">
        <v>0.0037</v>
      </c>
      <c r="N357" t="n">
        <v>0.0571</v>
      </c>
      <c r="O357" t="n">
        <v>0.1145</v>
      </c>
    </row>
    <row r="358">
      <c r="A358" t="inlineStr">
        <is>
          <t>crate</t>
        </is>
      </c>
      <c r="B358" t="inlineStr">
        <is>
          <t>server/src/main/java/io/crate/execution/engine/collect/CollectTask.java</t>
        </is>
      </c>
      <c r="C358">
        <f>HYPERLINK("https://github.com/crate/crate/blob/master/server/src/main/java/io/crate/execution/engine/collect/CollectTask.java")</f>
        <v/>
      </c>
      <c r="D358" t="inlineStr">
        <is>
          <t>Crate is licensed under one or more contributor license agreements (CLA). The NOTICE file contains additional information regarding copyright ownership and licensing details of the software components in this repository. č
č
The Apache License, Version 2.0 applies to this code base; you may not use it except in compliance with the License. You can obtain a copy of the License at http</t>
        </is>
      </c>
      <c r="E358" t="n">
        <v>0.0034</v>
      </c>
      <c r="F358" t="n">
        <v>0.0286</v>
      </c>
      <c r="G358" t="n">
        <v>0.1481</v>
      </c>
      <c r="H358" t="inlineStr">
        <is>
          <t>The code you provided is a simple addition function `add` that takes two parameters and returns their sum. This function operates with time complexity O(1), meaning it performs a constant number of operations regardless of the input size.
Here's the summary: 
```python
# Licensed to Crate.io GmbH ("Crate") under one or more contributor</t>
        </is>
      </c>
      <c r="I358" t="n">
        <v>0.0041</v>
      </c>
      <c r="J358" t="n">
        <v>0.0635</v>
      </c>
      <c r="K358" t="n">
        <v>0.12</v>
      </c>
      <c r="L358" t="inlineStr">
        <is>
          <t>&lt;!-- This is a summary of the provided code --&gt;
The given source code file is licensed under Apache License 2.0 and it's written in Java language by Critea Solutions GmbH ("Crate"). It implements core algorithms for data processing tasks such as sorting, searching, and indexing. The main purpose of this software component is to manage large datasets efficiently</t>
        </is>
      </c>
      <c r="M358" t="n">
        <v>0.008200000000000001</v>
      </c>
      <c r="N358" t="n">
        <v>0.1194</v>
      </c>
      <c r="O358" t="n">
        <v>0.3405</v>
      </c>
    </row>
    <row r="359">
      <c r="A359" t="inlineStr">
        <is>
          <t>crate</t>
        </is>
      </c>
      <c r="B359" t="inlineStr">
        <is>
          <t>server/src/main/java/io/crate/execution/engine/collect/DocValuesAggregates.java</t>
        </is>
      </c>
      <c r="C359">
        <f>HYPERLINK("https://github.com/crate/crate/blob/master/server/src/main/java/io/crate/execution/engine/collect/DocValuesAggregates.java")</f>
        <v/>
      </c>
      <c r="D359" t="inlineStr">
        <is>
          <t>The code is licensed under Apache 2.0 and it's provided by Crate.io GmbH ("Crate"). The license allows users to use the file for any purpose except in compliance with the License. Users may obtain a copy of the License at http://www.apache.org/licenses/LICENSE-2.0 Unless required by applicable law or</t>
        </is>
      </c>
      <c r="E359" t="n">
        <v>0.0039</v>
      </c>
      <c r="F359" t="n">
        <v>0.0308</v>
      </c>
      <c r="G359" t="n">
        <v>0.08400000000000001</v>
      </c>
      <c r="H359" t="inlineStr">
        <is>
          <t>The code provided is a function named `add` that takes two parameters (numbers), adds them together and returns the result. The time complexity of this operation is O(1). This means it performs a constant number of operations regardless of input size.
Here's the summary in more detail: 
```python
# Licensed to Crate.io GmbH</t>
        </is>
      </c>
      <c r="I359" t="n">
        <v>0.0041</v>
      </c>
      <c r="J359" t="n">
        <v>0.0635</v>
      </c>
      <c r="K359" t="n">
        <v>0.12</v>
      </c>
      <c r="L359" t="inlineStr">
        <is>
          <t>&lt;!-- Code Summary --&gt;
The provided code is licensed under the Apache License 2.0 and it's a backend software component for Crate.io GmbH ("Crate"). The main purpose of this code appears to be implementing core algorithms related to data management or storage. It provides functionalities such as creating databases, tables, inserting records into these tables, updating</t>
        </is>
      </c>
      <c r="M359" t="n">
        <v>0.0043</v>
      </c>
      <c r="N359" t="n">
        <v>0.1231</v>
      </c>
      <c r="O359" t="n">
        <v>0.3331</v>
      </c>
    </row>
    <row r="360">
      <c r="A360" t="inlineStr">
        <is>
          <t>crate</t>
        </is>
      </c>
      <c r="B360" t="inlineStr">
        <is>
          <t>server/src/main/java/io/crate/execution/engine/collect/RemoteCollectorFactory.java</t>
        </is>
      </c>
      <c r="C360">
        <f>HYPERLINK("https://github.com/crate/crate/blob/master/server/src/main/java/io/crate/execution/engine/collect/RemoteCollectorFactory.java")</f>
        <v/>
      </c>
      <c r="D360" t="inlineStr">
        <is>
          <t>The provided code is licensed under Apache License 2.0 by Crate.io GmbH ("Crate"). It allows you to use the file as per your compliance with this license agreement. You can obtain a copy of the license at http://www.apache.org/licenses/LICENSE-2.0 and it's distributed on an "AS IS"</t>
        </is>
      </c>
      <c r="E360" t="n">
        <v>0.0041</v>
      </c>
      <c r="F360" t="n">
        <v>0.0635</v>
      </c>
      <c r="G360" t="n">
        <v>0.1282</v>
      </c>
      <c r="H360" t="inlineStr">
        <is>
          <t>The provided code is a function named "add". It takes two parameters (a and b), adds them together, and returns the result. The time complexity of this operation is O(1).
In the README file, it states that this repository contains backend software components implementing core algorithms. This component has been initially committed with an initial code base size of 1000 lines</t>
        </is>
      </c>
      <c r="I360" t="n">
        <v>0.0042</v>
      </c>
      <c r="J360" t="n">
        <v>0.1143</v>
      </c>
      <c r="K360" t="n">
        <v>0.3206</v>
      </c>
      <c r="L360" t="inlineStr">
        <is>
          <t>The provided code is licensed under the Apache License 2.0 and it's written in Java. The purpose of this software component appears to be a data storage solution using CrateDB (a distributed SQL database). It provides functionality for creating tables, inserting records into them, querying these records, and deleting records from tables. However, without context or specific details about what</t>
        </is>
      </c>
      <c r="M360" t="n">
        <v>0.004</v>
      </c>
      <c r="N360" t="n">
        <v>0.1143</v>
      </c>
      <c r="O360" t="n">
        <v>0.2391</v>
      </c>
    </row>
    <row r="361">
      <c r="A361" t="inlineStr">
        <is>
          <t>crate</t>
        </is>
      </c>
      <c r="B361" t="inlineStr">
        <is>
          <t>server/src/main/java/io/crate/execution/engine/collect/MapSideDataCollectOperation.java</t>
        </is>
      </c>
      <c r="C361">
        <f>HYPERLINK("https://github.com/crate/crate/blob/master/server/src/main/java/io/crate/execution/engine/collect/MapSideDataCollectOperation.java")</f>
        <v/>
      </c>
      <c r="D361" t="inlineStr">
        <is>
          <t>The code is licensed under Apache License 2.0 and it's provided by Crate.io GmbH ("Crate"). The license allows you to use the file for any purpose except compliance with the terms of the license. You can obtain a copy of the license at http://www.apache.org/licenses/LICENSE-2.0. If not</t>
        </is>
      </c>
      <c r="E361" t="n">
        <v>0.004</v>
      </c>
      <c r="F361" t="n">
        <v>0.0312</v>
      </c>
      <c r="G361" t="n">
        <v>0.0847</v>
      </c>
      <c r="H361" t="inlineStr">
        <is>
          <t>The code provided is a simple function for addition of two numbers in Python. The functionality it provides is straightforward - it takes two arguments (numbers), adds them together and returns the result. This operation has a time complexity of O(1).
Here's an example usage:
```python
result = add(5, 7) # Result will be 12</t>
        </is>
      </c>
      <c r="I361" t="n">
        <v>0.0044</v>
      </c>
      <c r="J361" t="n">
        <v>0.0635</v>
      </c>
      <c r="K361" t="n">
        <v>0.1181</v>
      </c>
      <c r="L361" t="inlineStr">
        <is>
          <t>The provided code is licensed under the Apache License 2.0 and it's written in Java. The purpose of this software component appears to be a data management system for Crate.io (now known as Elasticsearch). It seems to provide an interface for creating, reading, updating, deleting documents from databases using HTTP requests. This functionality could potentially help with managing large amounts</t>
        </is>
      </c>
      <c r="M361" t="n">
        <v>0.0043</v>
      </c>
      <c r="N361" t="n">
        <v>0.08450000000000001</v>
      </c>
      <c r="O361" t="n">
        <v>0.1515</v>
      </c>
    </row>
    <row r="362">
      <c r="A362" t="inlineStr">
        <is>
          <t>crate</t>
        </is>
      </c>
      <c r="B362" t="inlineStr">
        <is>
          <t>server/src/main/java/io/crate/execution/engine/collect/LuceneShardCollectorProvider.java</t>
        </is>
      </c>
      <c r="C362">
        <f>HYPERLINK("https://github.com/crate/crate/blob/master/server/src/main/java/io/crate/execution/engine/collect/LuceneShardCollectorProvider.java")</f>
        <v/>
      </c>
      <c r="D362" t="inlineStr">
        <is>
          <t># This code is licensed under Apache License 2.0 and it's written by Critea (now known as Crate.io GmbH). It grants users the right to use this file in compliance with the license terms unless otherwise agreed upon in writing. The software distributed under the license can be used on an "AS IS" basis without any warranties or conditions of</t>
        </is>
      </c>
      <c r="E362" t="n">
        <v>0.004</v>
      </c>
      <c r="F362" t="n">
        <v>0.0571</v>
      </c>
      <c r="G362" t="n">
        <v>0.1515</v>
      </c>
      <c r="H362" t="inlineStr">
        <is>
          <t>The code provided is a function named "add". It takes two parameters (numbers), adds them together and returns the result of the addition operation. The time complexity of this function is O(1). This means that it performs a constant number of operations regardless of the size of the input data.
In other words, to add two numbers, you only need to perform one arithmetic</t>
        </is>
      </c>
      <c r="I362" t="n">
        <v>0.0034</v>
      </c>
      <c r="J362" t="n">
        <v>0.0548</v>
      </c>
      <c r="K362" t="n">
        <v>0.1103</v>
      </c>
      <c r="L362" t="inlineStr">
        <is>
          <t>The provided code is licensed under the Apache License 2.0 and it's written in Java. The purpose of this software component appears to be a RESTful API server for managing user accounts within an application. It provides endpoints for creating new users (POST /users), retrieving existing ones by their ID (GET /users/{id}), updating existing ones (PUT /</t>
        </is>
      </c>
      <c r="M362" t="n">
        <v>0.0038</v>
      </c>
      <c r="N362" t="n">
        <v>0.0597</v>
      </c>
      <c r="O362" t="n">
        <v>0.1981</v>
      </c>
    </row>
    <row r="363">
      <c r="A363" t="inlineStr">
        <is>
          <t>crate</t>
        </is>
      </c>
      <c r="B363" t="inlineStr">
        <is>
          <t>server/src/main/java/io/crate/execution/engine/collect/CollectExpression.java</t>
        </is>
      </c>
      <c r="C363">
        <f>HYPERLINK("https://github.com/crate/crate/blob/master/server/src/main/java/io/crate/execution/engine/collect/CollectExpression.java")</f>
        <v/>
      </c>
      <c r="D363" t="inlineStr">
        <is>
          <t>The code is licensed under Apache License version 2.0 and it's provided by Crate.io GmbH ("Crate"). It allows the user to use this file in compliance with the license terms but may not use it without explicit permission from Crite. The software distributed under the license can be used on an "AS IS" basis subject to any conditions specified or implied</t>
        </is>
      </c>
      <c r="E363" t="n">
        <v>0.0036</v>
      </c>
      <c r="F363" t="n">
        <v>0.0556</v>
      </c>
      <c r="G363" t="n">
        <v>0.1504</v>
      </c>
      <c r="H363" t="inlineStr">
        <is>
          <t>The provided code is a simple function that adds two numbers together and returns the result. The complexity of this operation is O(1), meaning it takes constant time to perform regardless of input size.
Here's the summary for the `add` function in Python: 
```python
# Licensed to Crate.io GmbH ("Crate") under one or more</t>
        </is>
      </c>
      <c r="I363" t="n">
        <v>0.0034</v>
      </c>
      <c r="J363" t="n">
        <v>0.0625</v>
      </c>
      <c r="K363" t="n">
        <v>0.119</v>
      </c>
      <c r="L363" t="inlineStr">
        <is>
          <t># This code is licensed under the Apache License 2.0 and comes with a commercial license agreement from Crate.io GmbH ("Crate"). The license allows for free use but requires compliance with any conditions stated in the license or an applicable commercial license agreement signed by Crite. The software can be obtained at http://www.apache.org/licenses/LICENSE</t>
        </is>
      </c>
      <c r="M363" t="n">
        <v>0.0045</v>
      </c>
      <c r="N363" t="n">
        <v>0.0597</v>
      </c>
      <c r="O363" t="n">
        <v>0.16</v>
      </c>
    </row>
    <row r="364">
      <c r="A364" t="inlineStr">
        <is>
          <t>crate</t>
        </is>
      </c>
      <c r="B364" t="inlineStr">
        <is>
          <t>server/src/main/java/io/crate/execution/engine/collect/CollectOperationModule.java</t>
        </is>
      </c>
      <c r="C364">
        <f>HYPERLINK("https://github.com/crate/crate/blob/master/server/src/main/java/io/crate/execution/engine/collect/CollectOperationModule.java")</f>
        <v/>
      </c>
      <c r="D364" t="inlineStr">
        <is>
          <t>The provided code is licensed under Apache License 2.0 and it's written in a language that isn't specified here. It appears to be related to data storage or database management system named "Crate". The license agreement allows users to use the software for any purpose except compliance with the terms of the license. If you have executed another commercial license agreement with Crate,</t>
        </is>
      </c>
      <c r="E364" t="n">
        <v>0.0034</v>
      </c>
      <c r="F364" t="n">
        <v>0.027</v>
      </c>
      <c r="G364" t="n">
        <v>0.1111</v>
      </c>
      <c r="H364" t="inlineStr">
        <is>
          <t>The code provided is a function named add that takes two parameters and returns their sum. The complexity of this operation is O(1), meaning it always executes in the same amount of time regardless of input size. This function can be used to perform addition operations in any software or application where such functionality might be needed.
In terms of licensing, there are multiple clauses specified at the</t>
        </is>
      </c>
      <c r="I364" t="n">
        <v>0.0038</v>
      </c>
      <c r="J364" t="n">
        <v>0.0779</v>
      </c>
      <c r="K364" t="n">
        <v>0.1429</v>
      </c>
      <c r="L364" t="inlineStr">
        <is>
          <t>The provided code is licensed under the Apache License 2.0 and it's written in Java. The main purpose of this software component appears to be a data storage system for an online marketplace similar to eBay or Amazon. It seems to use CrateDB (a distributed SQL database) as its underlying database management system. This software provides functionalities such as adding items,</t>
        </is>
      </c>
      <c r="M364" t="n">
        <v>0.007</v>
      </c>
      <c r="N364" t="n">
        <v>0.08450000000000001</v>
      </c>
      <c r="O364" t="n">
        <v>0.2373</v>
      </c>
    </row>
    <row r="365">
      <c r="A365" t="inlineStr">
        <is>
          <t>crate</t>
        </is>
      </c>
      <c r="B365" t="inlineStr">
        <is>
          <t>server/src/main/java/io/crate/execution/engine/collect/NestableCollectExpression.java</t>
        </is>
      </c>
      <c r="C365">
        <f>HYPERLINK("https://github.com/crate/crate/blob/master/server/src/main/java/io/crate/execution/engine/collect/NestableCollectExpression.java")</f>
        <v/>
      </c>
      <c r="D365" t="inlineStr">
        <is>
          <t>The code is licensed under Apache License 2.0 and it allows you to use the file as per your needs only if you comply with the terms of this license agreement. The software may not be used except in compliance with the license. You can obtain a copy of the license at http://www.apache.org/licenses/LICENSE-2.0 Unless required by</t>
        </is>
      </c>
      <c r="E365" t="n">
        <v>0.0039</v>
      </c>
      <c r="F365" t="n">
        <v>0.0556</v>
      </c>
      <c r="G365" t="n">
        <v>0.1563</v>
      </c>
      <c r="H365" t="inlineStr">
        <is>
          <t>The provided code is a function named "add". It takes two parameters (a and b), adds them together, and returns the result. The time complexity of this operation is O(1). This means that it will always take the same amount of time to execute regardless of the size of the input data.
In summary, this function performs basic arithmetic addition on its inputs. However</t>
        </is>
      </c>
      <c r="I365" t="n">
        <v>0.0034</v>
      </c>
      <c r="J365" t="n">
        <v>0.0548</v>
      </c>
      <c r="K365" t="n">
        <v>0.1103</v>
      </c>
      <c r="L365" t="inlineStr">
        <is>
          <t>The provided code is licensed under the Apache License 2.0 and restricts commercial use without prior written agreement from Crate.io GmbH ("Crate"). The license grants users permission to copy, modify, distribute and use this file for any purpose except in compliance with the terms of the license. This software is distributed on an "AS IS" basis, WITHOUT WARRANT</t>
        </is>
      </c>
      <c r="M365" t="n">
        <v>0.0074</v>
      </c>
      <c r="N365" t="n">
        <v>0.0588</v>
      </c>
      <c r="O365" t="n">
        <v>0.2428</v>
      </c>
    </row>
    <row r="366">
      <c r="A366" t="inlineStr">
        <is>
          <t>crate</t>
        </is>
      </c>
      <c r="B366" t="inlineStr">
        <is>
          <t>server/src/main/java/io/crate/execution/engine/collect/RowCollectExpression.java</t>
        </is>
      </c>
      <c r="C366">
        <f>HYPERLINK("https://github.com/crate/crate/blob/master/server/src/main/java/io/crate/execution/engine/collect/RowCollectExpression.java")</f>
        <v/>
      </c>
      <c r="D366" t="inlineStr">
        <is>
          <t>The provided code is licensed under Apache License 2.0 and it's used by Crate.io GmbH ("Crate"). It allows you to use the file except in compliance with the license terms. You can obtain a copy of the license at http://www.apache.org/licenses/LICENSE-2.0. The software distributed under this license</t>
        </is>
      </c>
      <c r="E366" t="n">
        <v>0.0048</v>
      </c>
      <c r="F366" t="n">
        <v>0.0312</v>
      </c>
      <c r="G366" t="n">
        <v>0.1695</v>
      </c>
      <c r="H366" t="inlineStr">
        <is>
          <t>The code provided is a simple function for addition of two numbers in Python. It takes two arguments (numbers), adds them together and returns the result. The time complexity of this operation is O(1).
In the README file, it mentions that the repository contains backend software components implementing core algorithms. The implementation has been done initially with an initial commit. The size of the code</t>
        </is>
      </c>
      <c r="I366" t="n">
        <v>0.0037</v>
      </c>
      <c r="J366" t="n">
        <v>0.1081</v>
      </c>
      <c r="K366" t="n">
        <v>0.219</v>
      </c>
      <c r="L366" t="inlineStr">
        <is>
          <t>The provided code is a part of backend software component licensed under Apache License 2.0 by Crate.io GmbH ("Crate"). The purpose of the code appears to be related to licensing and copyright information. It provides details about license agreements with Crate and also includes instructions for users on how to obtain a copy of the license at http://www.apache.org/lic</t>
        </is>
      </c>
      <c r="M366" t="n">
        <v>0.0037</v>
      </c>
      <c r="N366" t="n">
        <v>0.0556</v>
      </c>
      <c r="O366" t="n">
        <v>0.1154</v>
      </c>
    </row>
    <row r="367">
      <c r="A367" t="inlineStr">
        <is>
          <t>crate</t>
        </is>
      </c>
      <c r="B367" t="inlineStr">
        <is>
          <t>server/src/main/java/io/crate/execution/engine/collect/DocValuesGroupByOptimizedIterator.java</t>
        </is>
      </c>
      <c r="C367">
        <f>HYPERLINK("https://github.com/crate/crate/blob/master/server/src/main/java/io/crate/execution/engine/collect/DocValuesGroupByOptimizedIterator.java")</f>
        <v/>
      </c>
      <c r="D367" t="inlineStr">
        <is>
          <t>The provided code is licensed under Apache License 2.0 and it's written in a language that isn't specified here. It appears to be related to database operations or data management software (likely using Crate.io GmbH). The license agreement states conditions of use such as not distributing without permission, usage limitations etc., which are applicable for any derivative works created from this</t>
        </is>
      </c>
      <c r="E367" t="n">
        <v>0.0036</v>
      </c>
      <c r="F367" t="n">
        <v>0.0274</v>
      </c>
      <c r="G367" t="n">
        <v>0.1504</v>
      </c>
      <c r="H367" t="inlineStr">
        <is>
          <t>The provided code is a function called "add", which takes two parameters (numbers), adds them together and returns the result. The complexity of this operation is O(1). It's licensed under Apache 2.0 license with some additional terms related to commercial usage.
In summary, it performs simple addition operations on numbers.```python
def add(a, b):</t>
        </is>
      </c>
      <c r="I367" t="n">
        <v>0.0035</v>
      </c>
      <c r="J367" t="n">
        <v>0.0606</v>
      </c>
      <c r="K367" t="n">
        <v>0.12</v>
      </c>
      <c r="L367" t="inlineStr">
        <is>
          <t>&lt;!-- This is a placeholder for the code summary --&gt;
The provided source code file contains backend software components licensed under Apache License 2.0 by Criteo Labs SAS (formerly known as Crate). The main purpose of this component seems to be handling data storage and retrieval in an efficient manner using various core algorithms such as CRUD operations on databases. However,</t>
        </is>
      </c>
      <c r="M367" t="n">
        <v>0.0042</v>
      </c>
      <c r="N367" t="n">
        <v>0.0882</v>
      </c>
      <c r="O367" t="n">
        <v>0.188</v>
      </c>
    </row>
    <row r="368">
      <c r="A368" t="inlineStr">
        <is>
          <t>hystrix</t>
        </is>
      </c>
      <c r="B368" t="inlineStr">
        <is>
          <t>hystrix-core/src/jmh/java/com/netflix/hystrix/perf/CollapserPerfTest.java</t>
        </is>
      </c>
      <c r="C368">
        <f>HYPERLINK("https://github.com/Netflix/Hystrix/blob/master/hystrix-core/src/jmh/java/com/netflix/hystrix/perf/CollapserPerfTest.java")</f>
        <v/>
      </c>
      <c r="D368" t="inlineStr">
        <is>
          <t>The provided code is a Java implementation of core algorithms using Hystrix, which is a library used for handling faults and latency issues in distributed systems. The main class com.netflix.hystrix.perf contains the performance related classes that use Hystrix to handle complexities like O(N). It's licensed under Apache License 2.0, meaning it can be</t>
        </is>
      </c>
      <c r="E368" t="n">
        <v>0.0041</v>
      </c>
      <c r="F368" t="n">
        <v>0.0896</v>
      </c>
      <c r="G368" t="n">
        <v>0.16</v>
      </c>
      <c r="H368" t="inlineStr">
        <is>
          <t>The code provided is a simple function that takes two numbers as input and returns their sum. The complexity of this operation is O(1), meaning it performs the addition in constant time regardless of the size of the inputs.
Here's the summary for your reference: 
```java
public int add(int a, int b){
    return a + b; //</t>
        </is>
      </c>
      <c r="I368" t="n">
        <v>0.0032</v>
      </c>
      <c r="J368" t="n">
        <v>0.0606</v>
      </c>
      <c r="K368" t="n">
        <v>0.1163</v>
      </c>
      <c r="L368" t="inlineStr">
        <is>
          <t>The provided code is a part of Netflix's Hystrix library for handling fallbacks and fault tolerance in distributed systems. It includes the implementation of a collapser command that can batch multiple requests together to reduce network calls and improve performance.
The main purpose of this code is to collapse (batch) individual request commands into larger groups using an algorithm similar to MapReduce or</t>
        </is>
      </c>
      <c r="M368" t="n">
        <v>0.0029</v>
      </c>
      <c r="N368" t="n">
        <v>0.0556</v>
      </c>
      <c r="O368" t="n">
        <v>0.1481</v>
      </c>
    </row>
    <row r="369">
      <c r="A369" t="inlineStr">
        <is>
          <t>hystrix</t>
        </is>
      </c>
      <c r="B369" t="inlineStr">
        <is>
          <t>hystrix-core/src/jmh/java/com/netflix/hystrix/perf/ObservableCollapserPerfTest.java</t>
        </is>
      </c>
      <c r="C369">
        <f>HYPERLINK("https://github.com/Netflix/Hystrix/blob/master/hystrix-core/src/jmh/java/com/netflix/hystrix/perf/ObservableCollapserPerfTest.java")</f>
        <v/>
      </c>
      <c r="D369" t="inlineStr">
        <is>
          <t>The provided code is a Java implementation of the Hystrix library for distributed system fault tolerance and resilience. It appears to be related to performance monitoring or metrics collection in a microservices architecture context. The code imports various classes from the Hystrix package which are part of Netflix's open source libraries used for building reliable applications on cloud platforms. However, without more specific details about</t>
        </is>
      </c>
      <c r="E369" t="n">
        <v>0.0028</v>
      </c>
      <c r="F369" t="n">
        <v>0.0541</v>
      </c>
      <c r="G369" t="n">
        <v>0.1095</v>
      </c>
      <c r="H369" t="inlineStr">
        <is>
          <t>The code provided is a Java implementation of the Hystrix library's collapser feature for executing multiple commands in parallel and aggregating their results. The complexity is O(n), where n represents the number of requests that can be batched together by this mechanism.
Here are some key points about it:
- It uses `HystrixCollapser` to</t>
        </is>
      </c>
      <c r="I369" t="n">
        <v>0.0034</v>
      </c>
      <c r="J369" t="n">
        <v>0.0635</v>
      </c>
      <c r="K369" t="n">
        <v>0.1587</v>
      </c>
      <c r="L369" t="inlineStr">
        <is>
          <t>The provided code is a part of Netflix's Hystrix library for Java that deals with performance metrics and collapsing requests into larger ones to improve latency and efficiency.
It begins by defining the key properties for the command group and individual commands using `HystrixCommandGroupKey` and `HystrixCommandProperties` respectively. These are used in conjunction with `H</t>
        </is>
      </c>
      <c r="M369" t="n">
        <v>0.0034</v>
      </c>
      <c r="N369" t="n">
        <v>0.0317</v>
      </c>
      <c r="O369" t="n">
        <v>0.0794</v>
      </c>
    </row>
    <row r="370">
      <c r="A370" t="inlineStr">
        <is>
          <t>hystrix</t>
        </is>
      </c>
      <c r="B370" t="inlineStr">
        <is>
          <t>hystrix-core/src/jmh/java/com/netflix/hystrix/perf/CommandConstructionPerfTest.java</t>
        </is>
      </c>
      <c r="C370">
        <f>HYPERLINK("https://github.com/Netflix/Hystrix/blob/master/hystrix-core/src/jmh/java/com/netflix/hystrix/perf/CommandConstructionPerfTest.java")</f>
        <v/>
      </c>
      <c r="D370" t="inlineStr">
        <is>
          <t>The code provided is a benchmarking test for Hystrix command construction performance using OpenJDK Microbenchmarks Harness (JMH). It measures the time taken to construct and execute an instance of `HystrixCommand` in different scenarios. The results can help identify bottlenecks or areas where improvements could be made when dealing with large numbers of commands being constructed simultaneously.</t>
        </is>
      </c>
      <c r="E370" t="n">
        <v>0.0033</v>
      </c>
      <c r="F370" t="n">
        <v>0.0312</v>
      </c>
      <c r="G370" t="n">
        <v>0.0781</v>
      </c>
      <c r="H370" t="inlineStr">
        <is>
          <t>The provided code is a benchmarking test for Hystrix command construction performance using OpenJDK's JMeter harness (`@Benchmark`). It measures the time taken to construct an instance of `HystrixCommand` with varying input parameters and groups them into different categories based on their execution mode (`@BenchmarkMode`), which in this case includes "A</t>
        </is>
      </c>
      <c r="I370" t="n">
        <v>0.0037</v>
      </c>
      <c r="J370" t="n">
        <v>0.0339</v>
      </c>
      <c r="K370" t="n">
        <v>0.123</v>
      </c>
      <c r="L370" t="inlineStr">
        <is>
          <t>The provided code is a benchmarking test for Hystrix commands using the OpenJDK Microbenchmark Harness (JMH). It measures the performance of command construction and execution in Netflix's Hystrix library. The main purpose of this code seems to be to measure how long it takes to construct an instance of `HystrixCommand` with specific parameters and execute it multiple</t>
        </is>
      </c>
      <c r="M370" t="n">
        <v>0.0032</v>
      </c>
      <c r="N370" t="n">
        <v>0.0606</v>
      </c>
      <c r="O370" t="n">
        <v>0.1163</v>
      </c>
    </row>
    <row r="371">
      <c r="A371" t="inlineStr">
        <is>
          <t>hystrix</t>
        </is>
      </c>
      <c r="B371" t="inlineStr">
        <is>
          <t>hystrix-core/src/jmh/java/com/netflix/hystrix/perf/RollingMaxPerfTest.java</t>
        </is>
      </c>
      <c r="C371">
        <f>HYPERLINK("https://github.com/Netflix/Hystrix/blob/master/hystrix-core/src/jmh/java/com/netflix/hystrix/perf/RollingMaxPerfTest.java")</f>
        <v/>
      </c>
      <c r="D371" t="inlineStr">
        <is>
          <t>The provided code is a benchmarking tool for Java applications using the OpenJDK Microbenchmark Harness (JMH). It measures and compares different implementations of algorithms or components in terms of performance metrics like execution time, memory usage etc., by running them multiple times with various input sizes to find out their optimal configuration. The benchmark results are then used to make informed decisions about which implementation</t>
        </is>
      </c>
      <c r="E371" t="n">
        <v>0.0028</v>
      </c>
      <c r="F371" t="n">
        <v>0.0274</v>
      </c>
      <c r="G371" t="n">
        <v>0.1095</v>
      </c>
      <c r="H371" t="inlineStr">
        <is>
          <t>The provided code is a Java package named "com.netflix.hystrix.perf". It contains backend software components that implement core algorithms used in Hystrix. The complexity of the implementation appears to be O(n), as it involves processing an array or list with n elements using loops. However, without more context about what exactly this component does and how it's being used</t>
        </is>
      </c>
      <c r="I371" t="n">
        <v>0.0041</v>
      </c>
      <c r="J371" t="n">
        <v>0.1127</v>
      </c>
      <c r="K371" t="n">
        <v>0.2308</v>
      </c>
      <c r="L371" t="inlineStr">
        <is>
          <t>The provided code is a benchmarking tool for Hystrix library in Java. It measures the performance of various operations related to Hystrix commands and circuit breakers. 
Here's an overview of what it does:
- The `@Benchmark` annotation marks methods that should be measured by JMH (Java Microbenchmark Harness). These are typically</t>
        </is>
      </c>
      <c r="M371" t="n">
        <v>0.0036</v>
      </c>
      <c r="N371" t="n">
        <v>0.0339</v>
      </c>
      <c r="O371" t="n">
        <v>0.0407</v>
      </c>
    </row>
    <row r="372">
      <c r="A372" t="inlineStr">
        <is>
          <t>hystrix</t>
        </is>
      </c>
      <c r="B372" t="inlineStr">
        <is>
          <t>hystrix-core/src/jmh/java/com/netflix/hystrix/perf/CommandExecutionAndConcurrentMetricsReadPerfTest.java</t>
        </is>
      </c>
      <c r="C372">
        <f>HYPERLINK("https://github.com/Netflix/Hystrix/blob/master/hystrix-core/src/jmh/java/com/netflix/hystrix/perf/CommandExecutionAndConcurrentMetricsReadPerfTest.java")</f>
        <v/>
      </c>
      <c r="D372" t="inlineStr">
        <is>
          <t>The provided code is a benchmarking tool for Hystrix library which is used in Netflix's microservices architecture to handle fault tolerance and resilience. The main component of this code is the `HystrixCommand` class that provides methods for executing commands with fallbacks, circuit breakers etc., along with metrics collection related functionalities. This repository also contains various classes implementing core algorithms</t>
        </is>
      </c>
      <c r="E372" t="n">
        <v>0.0041</v>
      </c>
      <c r="F372" t="n">
        <v>0.0882</v>
      </c>
      <c r="G372" t="n">
        <v>0.284</v>
      </c>
      <c r="H372" t="inlineStr">
        <is>
          <t>The provided code is a Java class that extends the HystrixCommand class from Netflix's Hystrix library for use in benchmarking and performance testing of backend software components. The complexity of this code appears to be O(N), where N represents some aspect of the system being tested or measured. However, without additional context or information about how exactly it operates, we cannot provide an accurate</t>
        </is>
      </c>
      <c r="I372" t="n">
        <v>0.0034</v>
      </c>
      <c r="J372" t="n">
        <v>0.027</v>
      </c>
      <c r="K372" t="n">
        <v>0.1471</v>
      </c>
      <c r="L372" t="inlineStr">
        <is>
          <t>The code provided is a benchmarking tool for Hystrix commands in Java. The purpose of the code is to measure and compare performance characteristics between different implementations of an algorithm using JMH (Java Microbenchmark Harness).
It utilizes several classes from the Hystrix library which provides fault tolerance patterns like circuit breakers, command caching etc. It also uses Open</t>
        </is>
      </c>
      <c r="M372" t="n">
        <v>0.0031</v>
      </c>
      <c r="N372" t="n">
        <v>0.0303</v>
      </c>
      <c r="O372" t="n">
        <v>0.1154</v>
      </c>
    </row>
    <row r="373">
      <c r="A373" t="inlineStr">
        <is>
          <t>hystrix</t>
        </is>
      </c>
      <c r="B373" t="inlineStr">
        <is>
          <t>hystrix-core/src/jmh/java/com/netflix/hystrix/perf/CommandExecutionPerfTest.java</t>
        </is>
      </c>
      <c r="C373">
        <f>HYPERLINK("https://github.com/Netflix/Hystrix/blob/master/hystrix-core/src/jmh/java/com/netflix/hystrix/perf/CommandExecutionPerfTest.java")</f>
        <v/>
      </c>
      <c r="D373" t="inlineStr">
        <is>
          <t>The provided code is a Java implementation of Netflix's Hystrix library for handling fault tolerance patterns in distributed systems. It includes classes and interfaces related to command execution (`HystrixCommand`), observable commands (`HystrixObservableCommand`), thread pools (`HystrixThreadPool`), group keys (`HystrixCommandGroupKey`), properties like timeout</t>
        </is>
      </c>
      <c r="E373" t="n">
        <v>0.0045</v>
      </c>
      <c r="F373" t="n">
        <v>0.08</v>
      </c>
      <c r="G373" t="n">
        <v>0.0885</v>
      </c>
      <c r="H373" t="inlineStr">
        <is>
          <t>ThegivenJava code is a Hystrix command for executing an operation in parallel with other commands using the Hystrix library from Netflix. The complexity of this function appears to be O(N), where N represents the number of concurrent requests that can be handled by the underlying thread pool. This means that as more threads are added (i.e., more concurrent requests), performance may</t>
        </is>
      </c>
      <c r="I373" t="n">
        <v>0.003</v>
      </c>
      <c r="J373" t="n">
        <v>0.0563</v>
      </c>
      <c r="K373" t="n">
        <v>0.0752</v>
      </c>
      <c r="L373" t="inlineStr">
        <is>
          <t>The provided code is a part of Netflix's Hystrix library which provides fault tolerance patterns to isolate and control dependencies in distributed systems. The main purpose of this code seems to be the implementation of an asynchronous command using Hystrix that can execute tasks concurrently with other commands within a thread pool. This helps prevent failures from one dependent service or network partitioning causing cascading</t>
        </is>
      </c>
      <c r="M373" t="n">
        <v>0.0033</v>
      </c>
      <c r="N373" t="n">
        <v>0.0541</v>
      </c>
      <c r="O373" t="n">
        <v>0.146</v>
      </c>
    </row>
    <row r="374">
      <c r="A374" t="inlineStr">
        <is>
          <t>hystrix</t>
        </is>
      </c>
      <c r="B374" t="inlineStr">
        <is>
          <t>hystrix-core/src/jmh/java/com/netflix/hystrix/perf/RollingNumberPerfTest.java</t>
        </is>
      </c>
      <c r="C374">
        <f>HYPERLINK("https://github.com/Netflix/Hystrix/blob/master/hystrix-core/src/jmh/java/com/netflix/hystrix/perf/RollingNumberPerfTest.java")</f>
        <v/>
      </c>
      <c r="D374" t="inlineStr">
        <is>
          <t>The provided code is a benchmarking tool for Java called OpenJDK Microbenchmark Harness (JMH). It's used to measure the performance of different parts of your application by running them in an isolated environment and measuring how long they take. The results are then compared to determine which pieces of code perform best under certain conditions.
There are several annotations on top of</t>
        </is>
      </c>
      <c r="E374" t="n">
        <v>0.0029</v>
      </c>
      <c r="F374" t="n">
        <v>0.0282</v>
      </c>
      <c r="G374" t="n">
        <v>0.0746</v>
      </c>
      <c r="H374" t="inlineStr">
        <is>
          <t>The code provided is a Java function for addition of two numbers (integers). It takes in two parameters 'a' and 'b', performs the operation 'a + b', and returns the result. The complexity of this function is O(1), meaning it has constant time complexity as it only involves basic arithmetic operations which are performed directly on inputs without any loops or recursions.</t>
        </is>
      </c>
      <c r="I374" t="n">
        <v>0.0029</v>
      </c>
      <c r="J374" t="n">
        <v>0.0571</v>
      </c>
      <c r="K374" t="n">
        <v>0.1119</v>
      </c>
      <c r="L374" t="inlineStr">
        <is>
          <t>The provided code is a benchmarking tool for Hystrix (a fault tolerance library used in distributed systems). It measures the performance of various operations related to Hystrix's rolling number utilities.
The main purpose of this code is to measure and compare the performance characteristics of different approaches to storing metrics data within an application. The inputs are the type of operation being performed (incre</t>
        </is>
      </c>
      <c r="M374" t="n">
        <v>0.0028</v>
      </c>
      <c r="N374" t="n">
        <v>0.0548</v>
      </c>
      <c r="O374" t="n">
        <v>0.1103</v>
      </c>
    </row>
    <row r="375">
      <c r="A375" t="inlineStr">
        <is>
          <t>hystrix</t>
        </is>
      </c>
      <c r="B375" t="inlineStr">
        <is>
          <t>hystrix-core/src/jmh/java/com/netflix/hystrix/perf/RollingPercentilePerfTest.java</t>
        </is>
      </c>
      <c r="C375">
        <f>HYPERLINK("https://github.com/Netflix/Hystrix/blob/master/hystrix-core/src/jmh/java/com/netflix/hystrix/perf/RollingPercentilePerfTest.java")</f>
        <v/>
      </c>
      <c r="D375" t="inlineStr">
        <is>
          <t>The provided code appears to be a benchmarking tool for Hystrix, which is an open-source library developed by Netflix that provides fault tolerance patterns in distributed systems. The benchmark measures the performance of different parts of this system and compares them against each other. It's licensed under Apache 2.0 license. However, without knowing more specific details about what it does or how it</t>
        </is>
      </c>
      <c r="E375" t="n">
        <v>0.0029</v>
      </c>
      <c r="F375" t="n">
        <v>0.0541</v>
      </c>
      <c r="G375" t="n">
        <v>0.1111</v>
      </c>
      <c r="H375" t="inlineStr">
        <is>
          <t>The code you provided is a simple addition function in Python named `add` that takes two parameters and returns their sum. The time complexity of this operation is O(1), which means it always executes in the same amount of time regardless of the size of the input data.
Here's the summary for your code:
```python
# Copyright 2015 Net</t>
        </is>
      </c>
      <c r="I375" t="n">
        <v>0.0031</v>
      </c>
      <c r="J375" t="n">
        <v>0.0588</v>
      </c>
      <c r="K375" t="n">
        <v>0.1145</v>
      </c>
      <c r="L375" t="inlineStr">
        <is>
          <t>The provided code is a benchmarking tool for Hystrix library in Java. It measures the performance of various aspects related to Netflix's Hystrix circuit breaker implementation.
Here are some key functionalities and their purpose: 
1) The `@Benchmark` annotation marks methods that will be measured by JMH (Java Microbenchmark Harness</t>
        </is>
      </c>
      <c r="M375" t="n">
        <v>0.0037</v>
      </c>
      <c r="N375" t="n">
        <v>0.1034</v>
      </c>
      <c r="O375" t="n">
        <v>0.155</v>
      </c>
    </row>
    <row r="376">
      <c r="A376" t="inlineStr">
        <is>
          <t>hystrix</t>
        </is>
      </c>
      <c r="B376" t="inlineStr">
        <is>
          <t>hystrix-core/src/main/java/com/netflix/hystrix/HystrixTimerThreadPoolProperties.java</t>
        </is>
      </c>
      <c r="C376">
        <f>HYPERLINK("https://github.com/Netflix/Hystrix/blob/master/hystrix-core/src/main/java/com/netflix/hystrix/HystrixTimerThreadPoolProperties.java")</f>
        <v/>
      </c>
      <c r="D376" t="inlineStr">
        <is>
          <t>The code provided is a Java class for setting and getting properties related to the Hystrix timer thread pool in Netflix's framework. It uses Archaius (now known as Parameter Store by AWS), which provides dynamic configuration capabilities. The core algorithm of this implementation involves creating an integer property with default value set to available processors count at runtime. This class also has protected constructors that</t>
        </is>
      </c>
      <c r="E376" t="n">
        <v>0.0037</v>
      </c>
      <c r="F376" t="n">
        <v>0.0541</v>
      </c>
      <c r="G376" t="n">
        <v>0.1825</v>
      </c>
      <c r="H376" t="inlineStr">
        <is>
          <t>The code provided is a Java class named HystrixTimerThreadPoolProperties that extends the abstract class Hystrix properties strategy and uses Archaius for its configuration. The core algorithm used in this implementation involves getting an integer property from the system with default value being set to available processors of runtime environment. This class provides a way to configure thread pool related properties like core size which are typically associated</t>
        </is>
      </c>
      <c r="I376" t="n">
        <v>0.0036</v>
      </c>
      <c r="J376" t="n">
        <v>0.08</v>
      </c>
      <c r="K376" t="n">
        <v>0.1799</v>
      </c>
      <c r="L376" t="inlineStr">
        <is>
          <t>The provided code is a Java class named `HystrixTimerThreadPoolProperties` which extends an abstract base class and provides properties for the Hystrix timer thread pool. The purpose of this class seems to be to define core size related properties for use in Hystrix commands or circuit breakers. This class utilizes Archaius (now known as Parameter Store by AWS) for its</t>
        </is>
      </c>
      <c r="M376" t="n">
        <v>0.0041</v>
      </c>
      <c r="N376" t="n">
        <v>0.0597</v>
      </c>
      <c r="O376" t="n">
        <v>0.1527</v>
      </c>
    </row>
    <row r="377">
      <c r="A377" t="inlineStr">
        <is>
          <t>hystrix</t>
        </is>
      </c>
      <c r="B377" t="inlineStr">
        <is>
          <t>hystrix-core/src/main/java/com/netflix/hystrix/HystrixThreadPoolMetrics.java</t>
        </is>
      </c>
      <c r="C377">
        <f>HYPERLINK("https://github.com/Netflix/Hystrix/blob/master/hystrix-core/src/main/java/com/netflix/hystrix/HystrixThreadPoolMetrics.java")</f>
        <v/>
      </c>
      <c r="D377" t="inlineStr">
        <is>
          <t>The provided code is a Java implementation of the Hystrix library by Netflix for handling fault tolerance and resilience in distributed systems. It provides features such as circuit breakers, command metrics collection, thread pool monitoring etc., among others. The copyright information indicates that this software uses an Apache License version 2.0 which requires compliance with conditions stated in the license before usage. This repository contains</t>
        </is>
      </c>
      <c r="E377" t="n">
        <v>0.0037</v>
      </c>
      <c r="F377" t="n">
        <v>0.0541</v>
      </c>
      <c r="G377" t="n">
        <v>0.1825</v>
      </c>
      <c r="H377" t="inlineStr">
        <is>
          <t>The provided code is a Java package that contains several classes related to Hystrix, which is an open source library used for handling fault tolerance and resilience in distributed systems. The primary class within this package appears to be `HystrixCommand`, likely representing some form of command or operation that could potentially fail due to network issues, exceptions, etc., and should have built-in circuit</t>
        </is>
      </c>
      <c r="I377" t="n">
        <v>0.0029</v>
      </c>
      <c r="J377" t="n">
        <v>0.0556</v>
      </c>
      <c r="K377" t="n">
        <v>0.1111</v>
      </c>
      <c r="L377" t="inlineStr">
        <is>
          <t>The provided code is a part of Netflix's Hystrix library which provides fault tolerance patterns for distributed systems. The main purpose of this code is to monitor and manage the command execution in terms of latency, error rate, thread pool utilization etc. It uses core algorithms like event counters and rolling number events to calculate metrics related to these parameters. This functionality can be improved by improving understanding</t>
        </is>
      </c>
      <c r="M377" t="n">
        <v>0.0038</v>
      </c>
      <c r="N377" t="n">
        <v>0.0779</v>
      </c>
      <c r="O377" t="n">
        <v>0.1429</v>
      </c>
    </row>
    <row r="378">
      <c r="A378" t="inlineStr">
        <is>
          <t>hystrix</t>
        </is>
      </c>
      <c r="B378" t="inlineStr">
        <is>
          <t>hystrix-core/src/main/java/com/netflix/hystrix/HystrixInvokable.java</t>
        </is>
      </c>
      <c r="C378">
        <f>HYPERLINK("https://github.com/Netflix/Hystrix/blob/master/hystrix-core/src/main/java/com/netflix/hystrix/HystrixInvokable.java")</f>
        <v/>
      </c>
      <c r="D378" t="inlineStr">
        <is>
          <t>The code provided is a marker interface named HystrixInvokable for commands that can be invoked in the Netflix's Hystrix library. The license at the top of the file specifies conditions under which it may be used and distributed. It has no functionality as all methods are declared but not implemented.
It seems to follow an Object Oriented Programming paradigm where</t>
        </is>
      </c>
      <c r="E378" t="n">
        <v>0.0036</v>
      </c>
      <c r="F378" t="n">
        <v>0.029</v>
      </c>
      <c r="G378" t="n">
        <v>0.07580000000000001</v>
      </c>
      <c r="H378" t="inlineStr">
        <is>
          <t>The provided code is a simple addition function that takes two numbers as input and returns their sum. The functionality of this code can be summarized in the following way: "It defines an add method which takes two parameters (numbers), adds them together, and then returns the result." Its complexity is O(1) since it performs a constant number of operations regardless of the size of its inputs.</t>
        </is>
      </c>
      <c r="I378" t="n">
        <v>0.0032</v>
      </c>
      <c r="J378" t="n">
        <v>0.0526</v>
      </c>
      <c r="K378" t="n">
        <v>0.1079</v>
      </c>
      <c r="L378" t="inlineStr">
        <is>
          <t>The provided code is a marker interface named "HystrixInvokable". This interface is used to indicate that the implementing class can be invoked by Hystrix command which is part of Netflix's open source library for handling fault tolerance patterns in distributed systems. The purpose of this interface seems to be limited to type safety and it does not contain any methods or properties defined within its body</t>
        </is>
      </c>
      <c r="M378" t="n">
        <v>0.0033</v>
      </c>
      <c r="N378" t="n">
        <v>0.08</v>
      </c>
      <c r="O378" t="n">
        <v>0.1449</v>
      </c>
    </row>
    <row r="379">
      <c r="A379" t="inlineStr">
        <is>
          <t>hystrix</t>
        </is>
      </c>
      <c r="B379" t="inlineStr">
        <is>
          <t>hystrix-core/src/main/java/com/netflix/hystrix/HystrixCachedObservable.java</t>
        </is>
      </c>
      <c r="C379">
        <f>HYPERLINK("https://github.com/Netflix/Hystrix/blob/master/hystrix-core/src/main/java/com/netflix/hystrix/HystrixCachedObservable.java")</f>
        <v/>
      </c>
      <c r="D379" t="inlineStr">
        <is>
          <t>The code provided is a Java implementation of the Hystrix Cached Observable pattern. It's used to cache an observable (a type of data stream in RxJava), and automatically unsubscribes from the original subscription when there are no outstanding subscriptions on this cached observable. The caching mechanism ensures that only one underlying subscription exists at any given time for the same source Observ</t>
        </is>
      </c>
      <c r="E379" t="n">
        <v>0.0029</v>
      </c>
      <c r="F379" t="n">
        <v>0.0563</v>
      </c>
      <c r="G379" t="n">
        <v>0.1493</v>
      </c>
      <c r="H379" t="inlineStr">
        <is>
          <t>The provided code is a Java implementation of the Hystrix library's `HystrixCachedObservable` class which wraps an observable and caches its values until there are no outstanding subscriptions to it anymore. The cached observable will unsubscribefrom the original subscription when all subscribers have completed their tasks. This pattern can be useful in scenarios where you want to cache</t>
        </is>
      </c>
      <c r="I379" t="n">
        <v>0.0038</v>
      </c>
      <c r="J379" t="n">
        <v>0.0606</v>
      </c>
      <c r="K379" t="n">
        <v>0.155</v>
      </c>
      <c r="L379" t="inlineStr">
        <is>
          <t>The code provided is a Java implementation of the Hystrix library's `HystrixCachedObservable` class. This class provides caching functionality for an Observable object by maintaining a ReplaySubject that replays all values emitted from the original observable and also tracks outstanding subscriptions to this cached observable. The purpose of such behavior can be beneficial in scenarios where you want to cache</t>
        </is>
      </c>
      <c r="M379" t="n">
        <v>0.0041</v>
      </c>
      <c r="N379" t="n">
        <v>0.0882</v>
      </c>
      <c r="O379" t="n">
        <v>0.1527</v>
      </c>
    </row>
    <row r="380">
      <c r="A380" t="inlineStr">
        <is>
          <t>hystrix</t>
        </is>
      </c>
      <c r="B380" t="inlineStr">
        <is>
          <t>hystrix-core/src/main/java/com/netflix/hystrix/ExecutionResult.java</t>
        </is>
      </c>
      <c r="C380">
        <f>HYPERLINK("https://github.com/Netflix/Hystrix/blob/master/hystrix-core/src/main/java/com/netflix/hystrix/ExecutionResult.java")</f>
        <v/>
      </c>
      <c r="D380" t="inlineStr">
        <is>
          <t>The code provided appears to be a Java class for holding the status of command execution in Hystrix library by Netflix. It's an immutable holder class that can be referenced and modified by parent and child threads as well as different instances of Hystrix Command. The object is created once but could cache a Future which references it, indicating potential use within a distributed system or microservices architecture</t>
        </is>
      </c>
      <c r="E380" t="n">
        <v>0.0027</v>
      </c>
      <c r="F380" t="n">
        <v>0.026</v>
      </c>
      <c r="G380" t="n">
        <v>0.07140000000000001</v>
      </c>
      <c r="H380" t="inlineStr">
        <is>
          <t>The provided code is a simple function for addition of two numbers in Java. It defines an add method that takes two parameters and returns their sum. The time complexity of this operation is O(1), meaning it always executes in the same amount of time regardless of input size. This function does not violate any licensing conditions as specified by Apache 2.0 License.
```</t>
        </is>
      </c>
      <c r="I380" t="n">
        <v>0.0034</v>
      </c>
      <c r="J380" t="n">
        <v>0.0548</v>
      </c>
      <c r="K380" t="n">
        <v>0.1103</v>
      </c>
      <c r="L380" t="inlineStr">
        <is>
          <t>The code provided is an immutable holder class for the status of command execution in Hystrix library. This object holds information about whether a command has been executed successfully or not and also provides access to any exceptions that occurred during its execution. It can be referenced and modified by parent and child threads as well as different instances of Hystrix Command since one instance could create an Execution Result which c</t>
        </is>
      </c>
      <c r="M380" t="n">
        <v>0.003</v>
      </c>
      <c r="N380" t="n">
        <v>0.05</v>
      </c>
      <c r="O380" t="n">
        <v>0.0694</v>
      </c>
    </row>
    <row r="381">
      <c r="A381" t="inlineStr">
        <is>
          <t>hystrix</t>
        </is>
      </c>
      <c r="B381" t="inlineStr">
        <is>
          <t>hystrix-core/src/main/java/com/netflix/hystrix/HystrixCollapserKey.java</t>
        </is>
      </c>
      <c r="C381">
        <f>HYPERLINK("https://github.com/Netflix/Hystrix/blob/master/hystrix-core/src/main/java/com/netflix/hystrix/HystrixCollapserKey.java")</f>
        <v/>
      </c>
      <c r="D381" t="inlineStr">
        <is>
          <t>The code is a part of Hystrix library for Netflix which provides fault tolerance patterns such as circuit breakers and metrics publishing. It defines an interface `HystrixCollapserKey` to represent a key for collapsing requests together in monitoring, circuit breaking, metric publishing etc. The implementation can be an enum that implements this interface. This repository contains backend software components related to complex</t>
        </is>
      </c>
      <c r="E381" t="n">
        <v>0.0042</v>
      </c>
      <c r="F381" t="n">
        <v>0.058</v>
      </c>
      <c r="G381" t="n">
        <v>0.188</v>
      </c>
      <c r="H381" t="inlineStr">
        <is>
          <t>The function provided is a simple addition operation between two numbers 'a' and 'b'. It returns the sum of these two numbers. The time complexity of this function is O(1), indicating that it performs constant amount of work regardless of input size.
Here are some additional details about the code:
- This function takes in two parameters (numbers to be added).</t>
        </is>
      </c>
      <c r="I381" t="n">
        <v>0.0036</v>
      </c>
      <c r="J381" t="n">
        <v>0.058</v>
      </c>
      <c r="K381" t="n">
        <v>0.1504</v>
      </c>
      <c r="L381" t="inlineStr">
        <is>
          <t>The`HystrixCollapserKey` interface is part of the Hystrix library and serves as a key to monitor, circuit break, publish metrics, cache and other such uses in distributed systems. It's designed to work with enums that implement this interface for various use cases like monitoring, circuit breaking, metric publishing etc. The code does not contain any logic or operations directly related</t>
        </is>
      </c>
      <c r="M381" t="n">
        <v>0.0031</v>
      </c>
      <c r="N381" t="n">
        <v>0.058</v>
      </c>
      <c r="O381" t="n">
        <v>0.1527</v>
      </c>
    </row>
    <row r="382">
      <c r="A382" t="inlineStr">
        <is>
          <t>hystrix</t>
        </is>
      </c>
      <c r="B382" t="inlineStr">
        <is>
          <t>hystrix-core/src/main/java/com/netflix/hystrix/HystrixCounters.java</t>
        </is>
      </c>
      <c r="C382">
        <f>HYPERLINK("https://github.com/Netflix/Hystrix/blob/master/hystrix-core/src/main/java/com/netflix/hystrix/HystrixCounters.java")</f>
        <v/>
      </c>
      <c r="D382" t="inlineStr">
        <is>
          <t>The provided code is a Java class named HystrixCounters that provides global statistics on the runtime behavior of Hystrix in a JVM level scope. It maintains counters for concurrent threads executing and has methods to increment these counts. The license information at the top indicates it's licensed under Apache 2.0 License which allows users to use this file except in compliance with the License</t>
        </is>
      </c>
      <c r="E382" t="n">
        <v>0.0028</v>
      </c>
      <c r="F382" t="n">
        <v>0.027</v>
      </c>
      <c r="G382" t="n">
        <v>0.1103</v>
      </c>
      <c r="H382" t="inlineStr">
        <is>
          <t>The provided code is a Java class named HystrixCounters that maintains global statistics about the behavior of its associated JVM process using AtomicIntegers for concurrency control and thread management. The copyright notice at the top indicates this software may be used under certain conditions as outlined in the Apache License 2.0.
The main functionality of this code involves maintaining counters related to</t>
        </is>
      </c>
      <c r="I382" t="n">
        <v>0.0039</v>
      </c>
      <c r="J382" t="n">
        <v>0.08450000000000001</v>
      </c>
      <c r="K382" t="n">
        <v>0.1493</v>
      </c>
      <c r="L382" t="inlineStr">
        <is>
          <t>The provided code is a Java class named `HystrixCounters` that provides global statistics on Hystrix runtime behavior. The purpose of this class seems to be to track and manage the concurrency of threads executing within the system. 
Here's an overview of its functionality:
1. It maintains a count of currently active (executing) threads in the application</t>
        </is>
      </c>
      <c r="M382" t="n">
        <v>0.0033</v>
      </c>
      <c r="N382" t="n">
        <v>0.0615</v>
      </c>
      <c r="O382" t="n">
        <v>0.0781</v>
      </c>
    </row>
    <row r="383">
      <c r="A383" t="inlineStr">
        <is>
          <t>hystrix</t>
        </is>
      </c>
      <c r="B383" t="inlineStr">
        <is>
          <t>hystrix-core/src/main/java/com/netflix/hystrix/package-info.java</t>
        </is>
      </c>
      <c r="C383">
        <f>HYPERLINK("https://github.com/Netflix/Hystrix/blob/master/hystrix-core/src/main/java/com/netflix/hystrix/package-info.java")</f>
        <v/>
      </c>
      <c r="D383" t="inlineStr">
        <is>
          <t>The code provided is a Java library for handling fault tolerance and resilience in distributed systems called Hystrix. It provides features like circuit breakers, request caching, thread pool isolation etc., which help to improve the stability of applications by isolating components that are failing or taking too long to respond. The complexity of this code seems to be O(N), where N represents the number of</t>
        </is>
      </c>
      <c r="E383" t="n">
        <v>0.0028</v>
      </c>
      <c r="F383" t="n">
        <v>0.027</v>
      </c>
      <c r="G383" t="n">
        <v>0.073</v>
      </c>
      <c r="H383" t="inlineStr">
        <is>
          <t>The provided code is a function named "add". It takes two parameters (a and b), adds them together, then returns the result. The time complexity of this operation is O(1).
The README file explains that it's part of Netflix's Hystrix library for handling fault tolerance in distributed systems. 
It seems like there are some licensing</t>
        </is>
      </c>
      <c r="I383" t="n">
        <v>0.0033</v>
      </c>
      <c r="J383" t="n">
        <v>0.0606</v>
      </c>
      <c r="K383" t="n">
        <v>0.1181</v>
      </c>
      <c r="L383" t="inlineStr">
        <is>
          <t>The provided code is a part of Netflix's Hystrix library for handling fault tolerance in distributed systems. It includes core functionality such as the Hystrix Command and Collapser which are used to handle fallbacks when services fail or take too long to respond. The purpose of this code is to extend these basic components with additional functionalities suitable for specific use cases. This implementation complies</t>
        </is>
      </c>
      <c r="M383" t="n">
        <v>0.007</v>
      </c>
      <c r="N383" t="n">
        <v>0.08110000000000001</v>
      </c>
      <c r="O383" t="n">
        <v>0.2715</v>
      </c>
    </row>
    <row r="384">
      <c r="A384" t="inlineStr">
        <is>
          <t>hystrix</t>
        </is>
      </c>
      <c r="B384" t="inlineStr">
        <is>
          <t>hystrix-core/src/main/java/com/netflix/hystrix/HystrixObservableCommand.java</t>
        </is>
      </c>
      <c r="C384">
        <f>HYPERLINK("https://github.com/Netflix/Hystrix/blob/master/hystrix-core/src/main/java/com/netflix/hystrix/HystrixObservableCommand.java")</f>
        <v/>
      </c>
      <c r="D384" t="inlineStr">
        <is>
          <t>The provided code appears to be a Java class for wrapping another piece of code that will execute in parallel using the Hystrix library from Netflix. The Hystrix library is used for fault tolerance and resiliency in distributed systems by providing fallbacks, circuit breakers, thread pool isolation etc., It uses RxJava (Reactive Extensions for Java), an API for composing</t>
        </is>
      </c>
      <c r="E384" t="n">
        <v>0.0031</v>
      </c>
      <c r="F384" t="n">
        <v>0.0299</v>
      </c>
      <c r="G384" t="n">
        <v>0.07630000000000001</v>
      </c>
      <c r="H384" t="inlineStr">
        <is>
          <t>The provided code is a Java class that uses Hystrix to wrap another piece of code (presumably an algorithm or operation). The purpose seems to be fault tolerance and circuit breaking with the use of reactive programming via RxJava's Observables. It appears to have been written by someone who has significant experience in software architecture design patterns like Reactor Pattern.
It</t>
        </is>
      </c>
      <c r="I384" t="n">
        <v>0.0036</v>
      </c>
      <c r="J384" t="n">
        <v>0.0286</v>
      </c>
      <c r="K384" t="n">
        <v>0.1128</v>
      </c>
      <c r="L384" t="inlineStr">
        <is>
          <t>ThegivenJava code is for a Hystrix command which acts as a wrapper around the code that will be executed. The purpose of this class seems to be to provide fallbacks and fault tolerance mechanisms in case the wrapped execution fails or takes too long. It uses RxJava's Observables for its implementation, providing reactive programming capabilities. This code also includes various properties related to circuit breaking</t>
        </is>
      </c>
      <c r="M384" t="n">
        <v>0.0033</v>
      </c>
      <c r="N384" t="n">
        <v>0.0541</v>
      </c>
      <c r="O384" t="n">
        <v>0.1095</v>
      </c>
    </row>
    <row r="385">
      <c r="A385" t="inlineStr">
        <is>
          <t>hystrix</t>
        </is>
      </c>
      <c r="B385" t="inlineStr">
        <is>
          <t>hystrix-core/src/main/java/com/netflix/hystrix/HystrixRequestLog.java</t>
        </is>
      </c>
      <c r="C385">
        <f>HYPERLINK("https://github.com/Netflix/Hystrix/blob/master/hystrix-core/src/main/java/com/netflix/hystrix/HystrixRequestLog.java")</f>
        <v/>
      </c>
      <c r="D385" t="inlineStr">
        <is>
          <t>The provided code is a Java implementation of the Hystrix library by Netflix for handling fault tolerance and resilience in distributed systems. It includes various components to handle metrics collection, circuit breaking, threading strategies etc., among other things. The copyright notice at the top indicates that this software is licensed under Apache License 2.0 which means it can be used freely but with conditions specified in</t>
        </is>
      </c>
      <c r="E385" t="n">
        <v>0.0033</v>
      </c>
      <c r="F385" t="n">
        <v>0.0533</v>
      </c>
      <c r="G385" t="n">
        <v>0.2696</v>
      </c>
      <c r="H385" t="inlineStr">
        <is>
          <t>The code is a Java package for Hystrix, which is used in distributed systems to handle fault tolerance and latency issues. It includes core algorithms for concurrent execution strategy (`HystrixConcurrencyStrategy`), request context management (`HystrixRequestContext`), variable holder (`HystrixRequestVariableHolder`), and metric stream (`HystrixRequestEventsStream`</t>
        </is>
      </c>
      <c r="I385" t="n">
        <v>0.0054</v>
      </c>
      <c r="J385" t="n">
        <v>0.08160000000000001</v>
      </c>
      <c r="K385" t="n">
        <v>0.1327</v>
      </c>
      <c r="L385" t="inlineStr">
        <is>
          <t>The provided code is a part of Netflix's Hystrix library which provides fault tolerance patterns to applications by isolating points of access to services and controlling the interactions between them. It does this through circuit breakers, command pattern execution, request caching etc. The main purpose of this code seems to be setting up the context for executing commands in an isolated manner with fallbacks or timeouts</t>
        </is>
      </c>
      <c r="M385" t="n">
        <v>0.0028</v>
      </c>
      <c r="N385" t="n">
        <v>0.0267</v>
      </c>
      <c r="O385" t="n">
        <v>0.1087</v>
      </c>
    </row>
    <row r="386">
      <c r="A386" t="inlineStr">
        <is>
          <t>hystrix</t>
        </is>
      </c>
      <c r="B386" t="inlineStr">
        <is>
          <t>hystrix-core/src/main/java/com/netflix/hystrix/HystrixThreadPoolProperties.java</t>
        </is>
      </c>
      <c r="C386">
        <f>HYPERLINK("https://github.com/Netflix/Hystrix/blob/master/hystrix-core/src/main/java/com/netflix/hystrix/HystrixThreadPoolProperties.java")</f>
        <v/>
      </c>
      <c r="D386" t="inlineStr">
        <is>
          <t>```plaintext
The provided code is a part of the Hystrix library for Java by Netflix. It defines properties and strategies used in circuit breaking patterns within distributed systems. 
It provides various configuration options such as thread pool size limits, command execution timeout settings etc., which are set using chained property objects (`HystrixPropertiesChainedProperty`). The</t>
        </is>
      </c>
      <c r="E386" t="n">
        <v>0.0035</v>
      </c>
      <c r="F386" t="n">
        <v>0.0328</v>
      </c>
      <c r="G386" t="n">
        <v>0.08</v>
      </c>
      <c r="H386" t="inlineStr">
        <is>
          <t>The provided code is a Java class that extends the ThreadPoolExecutor class from java.util.concurrent package to add custom properties and commands for Hystrix circuit breakers. The complexity of this code can be considered as O(n), where n represents the number of threads in the thread pool.
It defines two chained properties (circuitBreakerEnabled and commandExecutionIs</t>
        </is>
      </c>
      <c r="I386" t="n">
        <v>0.0034</v>
      </c>
      <c r="J386" t="n">
        <v>0.0615</v>
      </c>
      <c r="K386" t="n">
        <v>0.0794</v>
      </c>
      <c r="L386" t="inlineStr">
        <is>
          <t>The provided code is a part of the Hystrix library by Netflix for handling fault tolerance in distributed systems. It provides various features like circuit breakers and command execution isolation to prevent network or system failures from cascading into other parts of your architecture.
The main purpose of this code seems to be creating an instance of `Command` which extends `AbstractCommand&lt;R&gt;` where R</t>
        </is>
      </c>
      <c r="M386" t="n">
        <v>0.0029</v>
      </c>
      <c r="N386" t="n">
        <v>0.0278</v>
      </c>
      <c r="O386" t="n">
        <v>0.1111</v>
      </c>
    </row>
    <row r="387">
      <c r="A387" t="inlineStr">
        <is>
          <t>hystrix</t>
        </is>
      </c>
      <c r="B387" t="inlineStr">
        <is>
          <t>hystrix-core/src/main/java/com/netflix/hystrix/HystrixCommand.java</t>
        </is>
      </c>
      <c r="C387">
        <f>HYPERLINK("https://github.com/Netflix/Hystrix/blob/master/hystrix-core/src/main/java/com/netflix/hystrix/HystrixCommand.java")</f>
        <v/>
      </c>
      <c r="D387" t="inlineStr">
        <is>
          <t>The provided code is a part of the Hystrix library for Java by Netflix. It contains copyright information and licensing details at the top. The license permits use without restrictions but requires compliance with it when using this file in any way other than compliant development environments or libraries.
Hystrix provides fault tolerance patterns such as circuit breakers, thread pool isolation, timeouts etc</t>
        </is>
      </c>
      <c r="E387" t="n">
        <v>0.0029</v>
      </c>
      <c r="F387" t="n">
        <v>0.0282</v>
      </c>
      <c r="G387" t="n">
        <v>0.1111</v>
      </c>
      <c r="H387" t="inlineStr">
        <is>
          <t>The provided code is a Java implementation of the Hystrix library used in distributed systems for fault tolerance and resilience. The function add() appears to be part of this library's core functionality which performs addition operations on two numbers. It might also have other related functions or methods that perform similar tasks. This code is licensed under Apache License 2.0 as indicated at the top of the</t>
        </is>
      </c>
      <c r="I387" t="n">
        <v>0.0068</v>
      </c>
      <c r="J387" t="n">
        <v>0.0779</v>
      </c>
      <c r="K387" t="n">
        <v>0.2676</v>
      </c>
      <c r="L387" t="inlineStr">
        <is>
          <t>The provided code is a part of the Hystrix library for Java, which provides fault tolerance patterns to increase resilience and availability in distributed systems. It uses concurrency features from java.util.concurrent package like ConcurrentHashMap, Future etc. The main purpose of this code seems to be managing command execution within a circuit breaker pattern.
It defines classes that enc</t>
        </is>
      </c>
      <c r="M387" t="n">
        <v>0.0031</v>
      </c>
      <c r="N387" t="n">
        <v>0.0294</v>
      </c>
      <c r="O387" t="n">
        <v>0.1154</v>
      </c>
    </row>
    <row r="388">
      <c r="A388" t="inlineStr">
        <is>
          <t>hystrix</t>
        </is>
      </c>
      <c r="B388" t="inlineStr">
        <is>
          <t>hystrix-core/src/main/java/com/netflix/hystrix/HystrixThreadPool.java</t>
        </is>
      </c>
      <c r="C388">
        <f>HYPERLINK("https://github.com/Netflix/Hystrix/blob/master/hystrix-core/src/main/java/com/netflix/hystrix/HystrixThreadPool.java")</f>
        <v/>
      </c>
      <c r="D388" t="inlineStr">
        <is>
          <t>The provided code is a part of Netflix's Hystrix library for handling fault tolerance and resilience in distributed systems. It initializes the core components required by Hystrix such as plugins, concurrency strategy (for controlling how threads are managed), metrics publisher factory (for publishing command level metrics), properties factory (for setting up default configuration). The license under which this software can be</t>
        </is>
      </c>
      <c r="E388" t="n">
        <v>0.0039</v>
      </c>
      <c r="F388" t="n">
        <v>0.0571</v>
      </c>
      <c r="G388" t="n">
        <v>0.2797</v>
      </c>
      <c r="H388" t="inlineStr">
        <is>
          <t>The provided code is a Java package that contains backend software components for Netflix's Hystrix library. The main component of interest appears to be the `com.netflix.hystrix` package which provides core algorithms and utilities used by the library. This includes classes related to concurrency strategy, metrics publisher factory, properties factory, etc.
The copyright notice at the</t>
        </is>
      </c>
      <c r="I388" t="n">
        <v>0.0047</v>
      </c>
      <c r="J388" t="n">
        <v>0.09089999999999999</v>
      </c>
      <c r="K388" t="n">
        <v>0.1969</v>
      </c>
      <c r="L388" t="inlineStr">
        <is>
          <t>ThegivenJava code is implementing a circuit breaker pattern for fault tolerance in distributed systems using Netflix's Hystrix library. It initializes several important components of the Hystrix framework such as plugins and strategies. The purpose of this code seems to be setting up the concurrency strategy, context scheduler, metrics publisher factory, properties factory etc. Code complexity appears to be O(N</t>
        </is>
      </c>
      <c r="M388" t="n">
        <v>0.0031</v>
      </c>
      <c r="N388" t="n">
        <v>0.058</v>
      </c>
      <c r="O388" t="n">
        <v>0.1527</v>
      </c>
    </row>
    <row r="389">
      <c r="A389" t="inlineStr">
        <is>
          <t>hystrix</t>
        </is>
      </c>
      <c r="B389" t="inlineStr">
        <is>
          <t>hystrix-core/src/main/java/com/netflix/hystrix/HystrixEventType.java</t>
        </is>
      </c>
      <c r="C389">
        <f>HYPERLINK("https://github.com/Netflix/Hystrix/blob/master/hystrix-core/src/main/java/com/netflix/hystrix/HystrixEventType.java")</f>
        <v/>
      </c>
      <c r="D389" t="inlineStr">
        <is>
          <t>The code provided is for a Java library called Hystrix by Netflix. It defines several types of events that can occur during the execution of commands in this library. These are typically accessed via `HystrixRequestLog` or `HystrixCommand.getExecutionEvents()` methods. The enum includes various states and events like EMIT (signifying an event emission), SUCCESS</t>
        </is>
      </c>
      <c r="E389" t="n">
        <v>0.0035</v>
      </c>
      <c r="F389" t="n">
        <v>0.06560000000000001</v>
      </c>
      <c r="G389" t="n">
        <v>0.0806</v>
      </c>
      <c r="H389" t="inlineStr">
        <is>
          <t>The provided code is a Java class named `HystrixEventType` that represents various states or events that execution can result in or have tracked. The enum values are `EMIT` and `SUCCESS` with the boolean value set to true for `SUCCESS`. This class also imports several other classes such as HystrixRollingNumberEvent, ArrayList,</t>
        </is>
      </c>
      <c r="I389" t="n">
        <v>0.0044</v>
      </c>
      <c r="J389" t="n">
        <v>0.0345</v>
      </c>
      <c r="K389" t="n">
        <v>0.082</v>
      </c>
      <c r="L389" t="inlineStr">
        <is>
          <t>The provided code is a Java class that defines an enumerated type called HystrixEventType for tracking various states and events in the execution of commands using Netflix's Hystrix library. The purpose of this enum seems to be to track whether command executions are successful or not (emitted vs success). 
It also includes comments explaining what each event represents but without repeating</t>
        </is>
      </c>
      <c r="M389" t="n">
        <v>0.003</v>
      </c>
      <c r="N389" t="n">
        <v>0.0286</v>
      </c>
      <c r="O389" t="n">
        <v>0.1128</v>
      </c>
    </row>
    <row r="390">
      <c r="A390" t="inlineStr">
        <is>
          <t>hystrix</t>
        </is>
      </c>
      <c r="B390" t="inlineStr">
        <is>
          <t>hystrix-core/src/main/java/com/netflix/hystrix/HystrixCircuitBreaker.java</t>
        </is>
      </c>
      <c r="C390">
        <f>HYPERLINK("https://github.com/Netflix/Hystrix/blob/master/hystrix-core/src/main/java/com/netflix/hystrix/HystrixCircuitBreaker.java")</f>
        <v/>
      </c>
      <c r="D390" t="inlineStr">
        <is>
          <t>The code provided is a Java implementation of the Hystrix circuit breaker pattern with hooks into {@link com.netflix.hystrix.HystrixCommand}. It uses concurrency features from java.util.concurrent package to manage thread safety and performance optimization. The code also implements an observer design pattern using RxJava's Subscriber class for notifications about command execution</t>
        </is>
      </c>
      <c r="E390" t="n">
        <v>0.0045</v>
      </c>
      <c r="F390" t="n">
        <v>0.0635</v>
      </c>
      <c r="G390" t="n">
        <v>0.124</v>
      </c>
      <c r="H390" t="inlineStr">
        <is>
          <t>The provided code is a Java implementation of the Circuit Breaker pattern used in distributed systems like Netflix's Hystrix library. It hooks into `HystrixCommand` execution and will stop allowing executions if certain conditions are met (like failure rate or latency threshold). This repository contains backend software components implementing core algorithms. The complexity of this code seems to be O(n), where</t>
        </is>
      </c>
      <c r="I390" t="n">
        <v>0.0043</v>
      </c>
      <c r="J390" t="n">
        <v>0.1143</v>
      </c>
      <c r="K390" t="n">
        <v>0.323</v>
      </c>
      <c r="L390" t="inlineStr">
        <is>
          <t>ThegivenJava code is an implementation of a circuit breaker logic in the Hystrix library for Java. It's hooked into {@link com.netflix.hystrix.HystrixCommand}'s execution and will stop allowing executions if certain conditions are met to prevent system overload or failure cascading. The purpose of this class seems to be maintaining metrics about command execution</t>
        </is>
      </c>
      <c r="M390" t="n">
        <v>0.0035</v>
      </c>
      <c r="N390" t="n">
        <v>0.0615</v>
      </c>
      <c r="O390" t="n">
        <v>0.121</v>
      </c>
    </row>
    <row r="391">
      <c r="A391" t="inlineStr">
        <is>
          <t>hystrix</t>
        </is>
      </c>
      <c r="B391" t="inlineStr">
        <is>
          <t>hystrix-core/src/main/java/com/netflix/hystrix/HystrixExecutable.java</t>
        </is>
      </c>
      <c r="C391">
        <f>HYPERLINK("https://github.com/Netflix/Hystrix/blob/master/hystrix-core/src/main/java/com/netflix/hystrix/HystrixExecutable.java")</f>
        <v/>
      </c>
      <c r="D391" t="inlineStr">
        <is>
          <t>The provided code is a Java implementation of the Hystrix library by Netflix for handling fault tolerance and resilience in distributed systems. It provides functionalities related to executing commands with fallbacks or circuit breakers. The main class used here is `HystrixCommand` which can be extended to create custom commands that execute asynchronously within their own threads when needed. This helps avoid blocking</t>
        </is>
      </c>
      <c r="E391" t="n">
        <v>0.0035</v>
      </c>
      <c r="F391" t="n">
        <v>0.0571</v>
      </c>
      <c r="G391" t="n">
        <v>0.1493</v>
      </c>
      <c r="H391" t="inlineStr">
        <is>
          <t>The code provided is a Java class that implements the Hystrix library for handling fault tolerance and resilience in distributed systems. The main functionality of this class appears to be related to executing commands with fallbacks or circuit breakers if exceptions occur during execution. It also seems to handle concurrency using RxJava observables which might help manage multiple threads efficiently.
However, without more</t>
        </is>
      </c>
      <c r="I391" t="n">
        <v>0.0038</v>
      </c>
      <c r="J391" t="n">
        <v>0.0563</v>
      </c>
      <c r="K391" t="n">
        <v>0.1481</v>
      </c>
      <c r="L391" t="inlineStr">
        <is>
          <t>The provided code is a Java implementation of the Hystrix library from Netflix for handling fault tolerance and resilience in distributed systems. The main purpose of this code is to execute commands with fallbacks or circuit breakers depending on various conditions like network failures, exceptions etc.
```java
package com.netflix.hystrix;
import java.util.con</t>
        </is>
      </c>
      <c r="M391" t="n">
        <v>0.0036</v>
      </c>
      <c r="N391" t="n">
        <v>0.0635</v>
      </c>
      <c r="O391" t="n">
        <v>0.122</v>
      </c>
    </row>
    <row r="392">
      <c r="A392" t="inlineStr">
        <is>
          <t>hystrix</t>
        </is>
      </c>
      <c r="B392" t="inlineStr">
        <is>
          <t>hystrix-core/src/main/java/com/netflix/hystrix/HystrixCollapserProperties.java</t>
        </is>
      </c>
      <c r="C392">
        <f>HYPERLINK("https://github.com/Netflix/Hystrix/blob/master/hystrix-core/src/main/java/com/netflix/hystrix/HystrixCollapserProperties.java")</f>
        <v/>
      </c>
      <c r="D392" t="inlineStr">
        <is>
          <t>The provided code is a Java implementation of the Hystrix library by Netflix for handling fault tolerance in distributed systems. It defines properties and strategies related to circuit breakers, command execution timeouts etc., which are used in conjunction with commands (like HTTP requests or database calls). The license details at the top indicate that this software can be redistributed under certain conditions as stated in the Apache License</t>
        </is>
      </c>
      <c r="E392" t="n">
        <v>0.0032</v>
      </c>
      <c r="F392" t="n">
        <v>0.0526</v>
      </c>
      <c r="G392" t="n">
        <v>0.2657</v>
      </c>
      <c r="H392" t="inlineStr">
        <is>
          <t>The code provided is a Java implementation of the Hystrix library from Netflix that implements circuit breakers and other fault tolerance patterns in distributed systems. The function add() appears to be part of this library's properties system for configuring command execution behavior. It seems like it sets up a property with an integer value representing the timeout duration (time before a fallback method will be called if no</t>
        </is>
      </c>
      <c r="I392" t="n">
        <v>0.0032</v>
      </c>
      <c r="J392" t="n">
        <v>0.0519</v>
      </c>
      <c r="K392" t="n">
        <v>0.1429</v>
      </c>
      <c r="L392" t="inlineStr">
        <is>
          <t>The provided code is a part of Netflix's Hystrix library for handling fault tolerance in distributed systems. It sets up properties related to circuit breakers and command execution timeout settings. The purpose of the code seems to be setting various configuration options that control how commands are executed within the context of a certain strategy (like fallback method or thread pool size).
It uses chained</t>
        </is>
      </c>
      <c r="M392" t="n">
        <v>0.0028</v>
      </c>
      <c r="N392" t="n">
        <v>0.027</v>
      </c>
      <c r="O392" t="n">
        <v>0.073</v>
      </c>
    </row>
    <row r="393">
      <c r="A393" t="inlineStr">
        <is>
          <t>hystrix</t>
        </is>
      </c>
      <c r="B393" t="inlineStr">
        <is>
          <t>hystrix-core/src/main/java/com/netflix/hystrix/HystrixCollapser.java</t>
        </is>
      </c>
      <c r="C393">
        <f>HYPERLINK("https://github.com/Netflix/Hystrix/blob/master/hystrix-core/src/main/java/com/netflix/hystrix/HystrixCollapser.java")</f>
        <v/>
      </c>
      <c r="D393" t="inlineStr">
        <is>
          <t>The provided code is a Java implementation of the Hystrix library for distributed systems fault tolerance and resilience in software applications. It provides features such as circuit breakers, command execution isolation strategies (like semaphore), request collapsing to reduce network calls etc., which are used to handle failures gracefully by providing fallbacks or default responses when services fail. The copyright notice</t>
        </is>
      </c>
      <c r="E393" t="n">
        <v>0.0036</v>
      </c>
      <c r="F393" t="n">
        <v>0.0588</v>
      </c>
      <c r="G393" t="n">
        <v>0.1515</v>
      </c>
      <c r="H393" t="inlineStr">
        <is>
          <t>The provided code is a Java implementation of the addition operation in Hystrix library for distributed systems. It's using Netflix OSS libraries to handle failures and latency issues at large scale services. The complexity is defined as O(N), where N represents the number of requests that can be collapsed together into one command execution.
The copyright notice indicates this software is licensed under Apache</t>
        </is>
      </c>
      <c r="I393" t="n">
        <v>0.0034</v>
      </c>
      <c r="J393" t="n">
        <v>0.0541</v>
      </c>
      <c r="K393" t="n">
        <v>0.2735</v>
      </c>
      <c r="L393" t="inlineStr">
        <is>
          <t>The provided code is a part of Netflix's Hystrix library for handling fault tolerance and resilience in distributed systems. It provides features such as circuit breakers, request collapsing (batch requests together to reduce the number of network calls made), and fallback methods when failures occur. The main purpose of this code seems to be implementing a command that can collapse multiple similar requests into</t>
        </is>
      </c>
      <c r="M393" t="n">
        <v>0.0028</v>
      </c>
      <c r="N393" t="n">
        <v>0.0548</v>
      </c>
      <c r="O393" t="n">
        <v>0.1471</v>
      </c>
    </row>
    <row r="394">
      <c r="A394" t="inlineStr">
        <is>
          <t>hystrix</t>
        </is>
      </c>
      <c r="B394" t="inlineStr">
        <is>
          <t>hystrix-core/src/main/java/com/netflix/hystrix/HystrixCommandResponseFromCache.java</t>
        </is>
      </c>
      <c r="C394">
        <f>HYPERLINK("https://github.com/Netflix/Hystrix/blob/master/hystrix-core/src/main/java/com/netflix/hystrix/HystrixCommandResponseFromCache.java")</f>
        <v/>
      </c>
      <c r="D394" t="inlineStr">
        <is>
          <t>The code provided is a Java class named `HystrixCommandResponseFromCache` that extends the abstract class `HystrixCachedObservable` and uses it to cache the response of an asynchronous command from Netflix's Hystrix library. The main functionality of this class revolves around copying state between two different commands using RxJava observables.
In detail</t>
        </is>
      </c>
      <c r="E394" t="n">
        <v>0.0045</v>
      </c>
      <c r="F394" t="n">
        <v>0.0345</v>
      </c>
      <c r="G394" t="n">
        <v>0.124</v>
      </c>
      <c r="H394" t="inlineStr">
        <is>
          <t>The code you provided appears to be a Java class that extends the HystrixCachedObservable class and implements caching for an Observable command in RxJava. The original command is stored as well as a flag indicating whether completion logic has been run. When copying state into another command, it runs error handling on the cached observable with the copied command's state being updated if necessary.</t>
        </is>
      </c>
      <c r="I394" t="n">
        <v>0.0034</v>
      </c>
      <c r="J394" t="n">
        <v>0.0548</v>
      </c>
      <c r="K394" t="n">
        <v>0.1103</v>
      </c>
      <c r="L394" t="inlineStr">
        <is>
          <t>The provided code is a Java implementation of the Hystrix library's `HystrixCommandResponseFromCache` class which extends from `HystrixCachedObservable`. This class is designed to handle caching and state copying for an original command in case of error or timeout.
Here are some key details about this class:
1. It takes as input</t>
        </is>
      </c>
      <c r="M394" t="n">
        <v>0.0044</v>
      </c>
      <c r="N394" t="n">
        <v>0.0678</v>
      </c>
      <c r="O394" t="n">
        <v>0.123</v>
      </c>
    </row>
    <row r="395">
      <c r="A395" t="inlineStr">
        <is>
          <t>hystrix</t>
        </is>
      </c>
      <c r="B395" t="inlineStr">
        <is>
          <t>hystrix-core/src/main/java/com/netflix/hystrix/HystrixObservable.java</t>
        </is>
      </c>
      <c r="C395">
        <f>HYPERLINK("https://github.com/Netflix/Hystrix/blob/master/hystrix-core/src/main/java/com/netflix/hystrix/HystrixObservable.java")</f>
        <v/>
      </c>
      <c r="D395" t="inlineStr">
        <is>
          <t>The provided code is a Java implementation of the Hystrix library for handling fault tolerance and resilience in distributed systems. It provides an interface with methods to execute observable tasks that can be observed (`observe()`). The code also includes exception handling mechanisms like `HystrixBadRequestException` and `HystrixRuntimeException` which are used for error management. This code uses</t>
        </is>
      </c>
      <c r="E395" t="n">
        <v>0.004</v>
      </c>
      <c r="F395" t="n">
        <v>0.0635</v>
      </c>
      <c r="G395" t="n">
        <v>0.1575</v>
      </c>
      <c r="H395" t="inlineStr">
        <is>
          <t>The provided code is a Java implementation of the Hystrix command pattern for executing commands with fallbacks and circuit breaking capabilities in distributed systems. It's using RxJava (Reactive Extensions for Java), which provides an abstraction over asynchronous programming to express computations as data flows through collections of operators. The complexity of this code appears to be O(N).
It</t>
        </is>
      </c>
      <c r="I395" t="n">
        <v>0.0031</v>
      </c>
      <c r="J395" t="n">
        <v>0.0588</v>
      </c>
      <c r="K395" t="n">
        <v>0.1538</v>
      </c>
      <c r="L395" t="inlineStr">
        <is>
          <t>The code provided is a Java class `Hystrix` which extends another abstract class named `HystrixCommand`. This class implements the Observable methods and has two main responsibilities - observe and summarize.
The purpose of this class seems to be creating an asynchronous command that can fall back on a default behavior if it encounters any errors or exceptions during execution. It does</t>
        </is>
      </c>
      <c r="M395" t="n">
        <v>0.0039</v>
      </c>
      <c r="N395" t="n">
        <v>0.0882</v>
      </c>
      <c r="O395" t="n">
        <v>0.1128</v>
      </c>
    </row>
    <row r="396">
      <c r="A396" t="inlineStr">
        <is>
          <t>hystrix</t>
        </is>
      </c>
      <c r="B396" t="inlineStr">
        <is>
          <t>hystrix-core/src/main/java/com/netflix/hystrix/Hystrix.java</t>
        </is>
      </c>
      <c r="C396">
        <f>HYPERLINK("https://github.com/Netflix/Hystrix/blob/master/hystrix-core/src/main/java/com/netflix/hystrix/Hystrix.java")</f>
        <v/>
      </c>
      <c r="D396" t="inlineStr">
        <is>
          <t>The code provided is a Java implementation of the Hystrix library from Netflix which provides fault tolerance patterns to improve resilience and availability of applications by isolating points of access to services and resources so that an application can continue to run as much as possible even when individual dependencies are down or unresponsive. It uses Reactive Extensions (RxJava) for non-blocking I/</t>
        </is>
      </c>
      <c r="E396" t="n">
        <v>0.0029</v>
      </c>
      <c r="F396" t="n">
        <v>0.0563</v>
      </c>
      <c r="G396" t="n">
        <v>0.1119</v>
      </c>
      <c r="H396" t="inlineStr">
        <is>
          <t>The provided code is a Java implementation of the Hystrix library which provides fault tolerance patterns for distributed systems. It includes lifecycle management and core algorithms related to circuit breakers, command execution etc. The function `add` in this context appears not to be part of the original question as it's used within another class or package rather than being defined separately. Nevertheless, if you are asking</t>
        </is>
      </c>
      <c r="I396" t="n">
        <v>0.0033</v>
      </c>
      <c r="J396" t="n">
        <v>0.08</v>
      </c>
      <c r="K396" t="n">
        <v>0.1812</v>
      </c>
      <c r="L396" t="inlineStr">
        <is>
          <t>The provided code is part of Netflix's Hystrix library which provides fault tolerance patterns to improve the resilience and availability of applications by isolating components from each other when failures occur. The main purpose of this code seems to be lifecycle management for a command instance in Hystrix. It creates an AtomicReference that holds information about whether or not the command has been executed</t>
        </is>
      </c>
      <c r="M396" t="n">
        <v>0.0028</v>
      </c>
      <c r="N396" t="n">
        <v>0.0274</v>
      </c>
      <c r="O396" t="n">
        <v>0.1103</v>
      </c>
    </row>
    <row r="397">
      <c r="A397" t="inlineStr">
        <is>
          <t>hystrix</t>
        </is>
      </c>
      <c r="B397" t="inlineStr">
        <is>
          <t>hystrix-core/src/main/java/com/netflix/hystrix/HystrixCollapserMetrics.java</t>
        </is>
      </c>
      <c r="C397">
        <f>HYPERLINK("https://github.com/Netflix/Hystrix/blob/master/hystrix-core/src/main/java/com/netflix/hystrix/HystrixCollapserMetrics.java")</f>
        <v/>
      </c>
      <c r="D397" t="inlineStr">
        <is>
          <t>The provided code is a Java implementation of Hystrix, which is Netflix's open source library for handling fault tolerance and resilience in distributed systems. It provides features like circuit breakers, thread pool isolation, request collapsing (batch requests), etc., to improve the stability and reliability of microservices architecture. The copyright information at the top indicates that this software is licensed under Apache</t>
        </is>
      </c>
      <c r="E397" t="n">
        <v>0.0036</v>
      </c>
      <c r="F397" t="n">
        <v>0.0571</v>
      </c>
      <c r="G397" t="n">
        <v>0.2373</v>
      </c>
      <c r="H397" t="inlineStr">
        <is>
          <t>The provided code is a Java package that contains several classes related to Hystrix, which is used for fault tolerance in distributed systems. The main class `com.netflix.hystrix` includes various packages and imports of other metrics and consumer streams. This repository seems to contain the implementation of core algorithms or components related to these metrics and event streams.
The function add()</t>
        </is>
      </c>
      <c r="I397" t="n">
        <v>0.004</v>
      </c>
      <c r="J397" t="n">
        <v>0.1143</v>
      </c>
      <c r="K397" t="n">
        <v>0.1894</v>
      </c>
      <c r="L397" t="inlineStr">
        <is>
          <t>ThegivenJavacodebelongs toaHystrixlibraryusedintheNetflixstack.Itimplementsdifferentmetricsrelatedtocollapserenqueuingandexecutiontiming.Therearefiveclassesbeingimportedfromthislibrary:(i)HystrixCollapserEvent,(ii)HystrixThreadEventStream,(iii)CumulativeCollapserEventCounterStream,(iv)</t>
        </is>
      </c>
      <c r="M397" t="n">
        <v>0</v>
      </c>
      <c r="N397" t="n">
        <v>0</v>
      </c>
      <c r="O397" t="n">
        <v>0</v>
      </c>
    </row>
    <row r="398">
      <c r="A398" t="inlineStr">
        <is>
          <t>hystrix</t>
        </is>
      </c>
      <c r="B398" t="inlineStr">
        <is>
          <t>hystrix-core/src/main/java/com/netflix/hystrix/HystrixKey.java</t>
        </is>
      </c>
      <c r="C398">
        <f>HYPERLINK("https://github.com/Netflix/Hystrix/blob/master/hystrix-core/src/main/java/com/netflix/hystrix/HystrixKey.java")</f>
        <v/>
      </c>
      <c r="D398" t="inlineStr">
        <is>
          <t>```java
// This package represents the Hystrix command keys in Netflix OSS project for circuit breaking and fault tolerance patterns. 
// The interface `HystrixKey` is used to define a basic contract for any object that has a name property.
public interface HystrixKey {
    // Returns the key/name of this instance.
    String</t>
        </is>
      </c>
      <c r="E398" t="n">
        <v>0.0043</v>
      </c>
      <c r="F398" t="n">
        <v>0.07140000000000001</v>
      </c>
      <c r="G398" t="n">
        <v>0.122</v>
      </c>
      <c r="H398" t="inlineStr">
        <is>
          <t>ThisJava package contains a basic interface for Hystrix keys and an abstract class that implements this interface by providing default behavior. The key name is returned as the string representation of the object which can be used in various parts of distributed systems like Netflix.
```plaintext
Note: This code snippet has been provided to illustrate how you might summarize it without repeating any part of the</t>
        </is>
      </c>
      <c r="I398" t="n">
        <v>0.0036</v>
      </c>
      <c r="J398" t="n">
        <v>0.027</v>
      </c>
      <c r="K398" t="n">
        <v>0.1449</v>
      </c>
      <c r="L398" t="inlineStr">
        <is>
          <t>```java
Package com.netflix.hystrix is a package containing backend software components related to the Hystrix library for handling fault tolerance in distributed systems. 
It provides an interface 'HystrixKey', which defines methods for getting and setting key names. The implementation of this interface uses default behavior with a name attribute that can be set during instantiation. 
The</t>
        </is>
      </c>
      <c r="M398" t="n">
        <v>0.004</v>
      </c>
      <c r="N398" t="n">
        <v>0.0615</v>
      </c>
      <c r="O398" t="n">
        <v>0.1969</v>
      </c>
    </row>
    <row r="399">
      <c r="A399" t="inlineStr">
        <is>
          <t>hystrix</t>
        </is>
      </c>
      <c r="B399" t="inlineStr">
        <is>
          <t>hystrix-core/src/main/java/com/netflix/hystrix/HystrixInvokableInfo.java</t>
        </is>
      </c>
      <c r="C399">
        <f>HYPERLINK("https://github.com/Netflix/Hystrix/blob/master/hystrix-core/src/main/java/com/netflix/hystrix/HystrixInvokableInfo.java")</f>
        <v/>
      </c>
      <c r="D399" t="inlineStr">
        <is>
          <t>The provided code is a Java interface for Hystrix command information which includes methods to get the group key of the command, its own key and thread pool key associated with it along with some other utility functions like getting public cache keys. The implementation details are not given in this summary as they were mentioned in comments but the complexity seems O(n).
Excerpt from README file</t>
        </is>
      </c>
      <c r="E399" t="n">
        <v>0.0027</v>
      </c>
      <c r="F399" t="n">
        <v>0.0263</v>
      </c>
      <c r="G399" t="n">
        <v>0.1439</v>
      </c>
      <c r="H399" t="inlineStr">
        <is>
          <t>The provided code is a Java interface named HystrixInvokableInfo that provides methods for getting the command group key, command key, thread pool key and public cache key of an invocable object in Netflix's Hystrix library. The complexity of this operation is O(1), indicating constant time complexity as it does not depend on the size of input data or number of operations</t>
        </is>
      </c>
      <c r="I399" t="n">
        <v>0.003</v>
      </c>
      <c r="J399" t="n">
        <v>0.0282</v>
      </c>
      <c r="K399" t="n">
        <v>0.0752</v>
      </c>
      <c r="L399" t="inlineStr">
        <is>
          <t>The provided code is a Java interface named `HystrixInvokableInfo` that defines the contract for invocables used in Hystrix commands and collapsers. It provides methods to get various keys related to command groups, command keys, thread pool keys, and public cache key. The purpose of this interface seems to be providing information about an operation (command or collapser)</t>
        </is>
      </c>
      <c r="M399" t="n">
        <v>0.0032</v>
      </c>
      <c r="N399" t="n">
        <v>0.0308</v>
      </c>
      <c r="O399" t="n">
        <v>0.1163</v>
      </c>
    </row>
    <row r="400">
      <c r="A400" t="inlineStr">
        <is>
          <t>hystrix</t>
        </is>
      </c>
      <c r="B400" t="inlineStr">
        <is>
          <t>hystrix-core/src/main/java/com/netflix/hystrix/HystrixRequestCache.java</t>
        </is>
      </c>
      <c r="C400">
        <f>HYPERLINK("https://github.com/Netflix/Hystrix/blob/master/hystrix-core/src/main/java/com/netflix/hystrix/HystrixRequestCache.java")</f>
        <v/>
      </c>
      <c r="D400" t="inlineStr">
        <is>
          <t>The provided code is a Java implementation of Hystrix library for distributed systems fault tolerance and resilience in the Netflix ecosystem. It's licensed under Apache 2.0 license which allows it to be used without restrictions but requires attribution. The main functionality revolves around handling concurrent requests using different strategies (like thread isolation or command pooling). This code provides an interface for setting</t>
        </is>
      </c>
      <c r="E400" t="n">
        <v>0.0039</v>
      </c>
      <c r="F400" t="n">
        <v>0.0556</v>
      </c>
      <c r="G400" t="n">
        <v>0.1493</v>
      </c>
      <c r="H400" t="inlineStr">
        <is>
          <t>The code provided is a Java implementation of the add function which adds two numbers together using Hystrix for concurrent execution strategy and SLF4J as logging framework. The complexity of this operation is O(1), meaning it takes constant time to perform regardless of input size.
The initial commit message suggests that this repository contains backend software components implementing core algorithms used in Netflix's</t>
        </is>
      </c>
      <c r="I400" t="n">
        <v>0.0038</v>
      </c>
      <c r="J400" t="n">
        <v>0.1096</v>
      </c>
      <c r="K400" t="n">
        <v>0.3158</v>
      </c>
      <c r="L400" t="inlineStr">
        <is>
          <t>ThegivenJavacodeimplementsaframeworkforcircuitbreakerdesignpatternusingthreadlocalvariablesandcommandkeys.Itusesahashmapstructuretostorerequestscopeddataassociatedwithacommandkey.Whenainewcommandsessionstartswithanexistingkey,itwilluseastoredvalueinsteadofcreatingnewone.Ifnoentryexistsfordesiredkey,</t>
        </is>
      </c>
      <c r="M400" t="n">
        <v>0</v>
      </c>
      <c r="N400" t="n">
        <v>0</v>
      </c>
      <c r="O400" t="n">
        <v>0</v>
      </c>
    </row>
    <row r="401">
      <c r="A401" t="inlineStr">
        <is>
          <t>hystrix</t>
        </is>
      </c>
      <c r="B401" t="inlineStr">
        <is>
          <t>hystrix-core/src/main/java/com/netflix/hystrix/HystrixCommandGroupKey.java</t>
        </is>
      </c>
      <c r="C401">
        <f>HYPERLINK("https://github.com/Netflix/Hystrix/blob/master/hystrix-core/src/main/java/com/netflix/hystrix/HystrixCommandGroupKey.java")</f>
        <v/>
      </c>
      <c r="D401" t="inlineStr">
        <is>
          <t>The code provided appears to be a Java class for defining the group name of an Hystrix command which is used in Netflix's Hystrix library for managing and monitoring distributed systems. The group name can be used for reporting, alerting, dashboarding or team/library ownership purposes. By default it will also define the {@link HystrixThreadPoolKey}, unless one has</t>
        </is>
      </c>
      <c r="E401" t="n">
        <v>0.0032</v>
      </c>
      <c r="F401" t="n">
        <v>0.0299</v>
      </c>
      <c r="G401" t="n">
        <v>0.0775</v>
      </c>
      <c r="H401" t="inlineStr">
        <is>
          <t>The code provided is a simple function that adds two numbers together and returns the result. The functionality of this code can be summarized as follows: "It takes in two parameters (numbers), performs an addition operation on them, and then returns the resulting sum." This summary does not repeat any code from the original snippet.
```java
public class HelloWorld {</t>
        </is>
      </c>
      <c r="I401" t="n">
        <v>0.004</v>
      </c>
      <c r="J401" t="n">
        <v>0.0597</v>
      </c>
      <c r="K401" t="n">
        <v>0.1136</v>
      </c>
      <c r="L401" t="inlineStr">
        <is>
          <t>The provided code is a part of Netflix's Hystrix library and it defines an interface named `HystrixCommandGroupKey` which acts as a group name for a {@link com.netflix.hystrix.HystrixCommand}, used for reporting, alerting, dashboard organization etc. By default this will be used to define the {@link com.netflix</t>
        </is>
      </c>
      <c r="M401" t="n">
        <v>0.0041</v>
      </c>
      <c r="N401" t="n">
        <v>0.0345</v>
      </c>
      <c r="O401" t="n">
        <v>0.1282</v>
      </c>
    </row>
    <row r="402">
      <c r="A402" t="inlineStr">
        <is>
          <t>hystrix</t>
        </is>
      </c>
      <c r="B402" t="inlineStr">
        <is>
          <t>hystrix-core/src/main/java/com/netflix/hystrix/HystrixThreadPoolKey.java</t>
        </is>
      </c>
      <c r="C402">
        <f>HYPERLINK("https://github.com/Netflix/Hystrix/blob/master/hystrix-core/src/main/java/com/netflix/hystrix/HystrixThreadPoolKey.java")</f>
        <v/>
      </c>
      <c r="D402" t="inlineStr">
        <is>
          <t>The code provided is a part of the Hystrix library for Java by Netflix. It defines an interface `HystrixThreadPoolKey` that extends another interface called `HystrixKey` and serves as a key to represent a thread pool in monitoring, metrics publishing, caching etc., used within Hystrix commands or circuit breakers. The implementation should be an enum because it</t>
        </is>
      </c>
      <c r="E402" t="n">
        <v>0.0033</v>
      </c>
      <c r="F402" t="n">
        <v>0.0312</v>
      </c>
      <c r="G402" t="n">
        <v>0.1172</v>
      </c>
      <c r="H402" t="inlineStr">
        <is>
          <t>The provided code is a Java implementation of the Hystrix library for distributed systems. It defines an interface `HystrixThreadPoolKey` that extends another interface `HystrixKey` and includes comments explaining its functionality. The copyright notice at the top also indicates it's licensed under Apache License 2.0.
Please provide a concise, clear, and direct summary</t>
        </is>
      </c>
      <c r="I402" t="n">
        <v>0.0035</v>
      </c>
      <c r="J402" t="n">
        <v>0.0968</v>
      </c>
      <c r="K402" t="n">
        <v>0.0806</v>
      </c>
      <c r="L402" t="inlineStr">
        <is>
          <t>The provided code is a Java class named "HystrixThreadPoolKey". This class extends the abstract base class "HystrixKey", and it's designed to serve as an identifier for a Hystrix thread pool used in monitoring, metrics publishing, caching, etc. The purpose of this class seems to be related to managing and organizing various aspects of distributed systems using Netflix</t>
        </is>
      </c>
      <c r="M402" t="n">
        <v>0.0038</v>
      </c>
      <c r="N402" t="n">
        <v>0.0606</v>
      </c>
      <c r="O402" t="n">
        <v>0.1163</v>
      </c>
    </row>
    <row r="403">
      <c r="A403" t="inlineStr">
        <is>
          <t>hystrix</t>
        </is>
      </c>
      <c r="B403" t="inlineStr">
        <is>
          <t>hystrix-core/src/main/java/com/netflix/hystrix/AbstractCommand.java</t>
        </is>
      </c>
      <c r="C403">
        <f>HYPERLINK("https://github.com/Netflix/Hystrix/blob/master/hystrix-core/src/main/java/com/netflix/hystrix/AbstractCommand.java")</f>
        <v/>
      </c>
      <c r="D403" t="inlineStr">
        <is>
          <t>The code provided is a Java library for handling fault tolerance and resilience in distributed systems using the Hystrix pattern. It provides features like circuit breakers, command properties (like isolation strategy), exception management etc., which help to prevent applications from crashing due to network issues or other transient problems. The license under Apache 2.0 allows it to be used freely but requires attribution if</t>
        </is>
      </c>
      <c r="E403" t="n">
        <v>0.0028</v>
      </c>
      <c r="F403" t="n">
        <v>0.0274</v>
      </c>
      <c r="G403" t="n">
        <v>0.0735</v>
      </c>
      <c r="H403" t="inlineStr">
        <is>
          <t>The provided code is a Java class that implements the Hystrix library for handling fault tolerance patterns in distributed systems. It contains various classes and methods related to circuit breakers, command properties, exception handling etc., but it doesn't seem to include an `add` function as requested by your example. The complexity of this code seems to be O(N), where N represents the number of commands</t>
        </is>
      </c>
      <c r="I403" t="n">
        <v>0.0033</v>
      </c>
      <c r="J403" t="n">
        <v>0.0533</v>
      </c>
      <c r="K403" t="n">
        <v>0.146</v>
      </c>
      <c r="L403" t="inlineStr">
        <is>
          <t>The provided code is a Java implementation of the Hystrix library by Netflix for handling fault tolerance and resilience in distributed systems. The main purpose of this code is to provide fallbacks (default responses) when calls fail or take too long due to network issues or system overloads. It also provides circuit breaking functionality where it monitors command execution metrics and automatically trips circuits if conditions are met</t>
        </is>
      </c>
      <c r="M403" t="n">
        <v>0.0032</v>
      </c>
      <c r="N403" t="n">
        <v>0.0789</v>
      </c>
      <c r="O403" t="n">
        <v>0.1429</v>
      </c>
    </row>
    <row r="404">
      <c r="A404" t="inlineStr">
        <is>
          <t>hystrix</t>
        </is>
      </c>
      <c r="B404" t="inlineStr">
        <is>
          <t>hystrix-core/src/main/java/com/netflix/hystrix/HystrixCommandKey.java</t>
        </is>
      </c>
      <c r="C404">
        <f>HYPERLINK("https://github.com/Netflix/Hystrix/blob/master/hystrix-core/src/main/java/com/netflix/hystrix/HystrixCommandKey.java")</f>
        <v/>
      </c>
      <c r="D404" t="inlineStr">
        <is>
          <t>The code provided is a Java interface named HystrixCommandKey that extends the abstract class HystrixKey and it's used to represent a key for a {@link HystrixCommand}. This key can be used for monitoring, circuit breaking, metrics publishing, caching, etc., in conjunction with Enums which implement this interface. The license at the top of the file specifies Apache</t>
        </is>
      </c>
      <c r="E404" t="n">
        <v>0.0038</v>
      </c>
      <c r="F404" t="n">
        <v>0.0606</v>
      </c>
      <c r="G404" t="n">
        <v>0.155</v>
      </c>
      <c r="H404" t="inlineStr">
        <is>
          <t>The provided code is a Java implementation of the Hystrix Command Key interface from Netflix's Hystrix library for distributed system fault tolerance and resilience. It extends an abstract base class called `HystrixKey` which provides common functionality to all keys used in Hystrix commands. The key itself represents a unique identifier for a command that can be monitored, circuit broken</t>
        </is>
      </c>
      <c r="I404" t="n">
        <v>0.0037</v>
      </c>
      <c r="J404" t="n">
        <v>0.0588</v>
      </c>
      <c r="K404" t="n">
        <v>0.1145</v>
      </c>
      <c r="L404" t="inlineStr">
        <is>
          <t>The code provided is a Java interface named `HystrixCommandKey` that extends the abstract class `HystrixKey`. This interface serves as an identifier for Hystrix commands and can be used to monitor circuit breakers, metrics publishing, caching, etc. The purpose of this code seems to be related with distributed system architecture design using Netflix's Hystrix library.</t>
        </is>
      </c>
      <c r="M404" t="n">
        <v>0.004</v>
      </c>
      <c r="N404" t="n">
        <v>0.0635</v>
      </c>
      <c r="O404" t="n">
        <v>0.119</v>
      </c>
    </row>
    <row r="405">
      <c r="A405" t="inlineStr">
        <is>
          <t>hystrix</t>
        </is>
      </c>
      <c r="B405" t="inlineStr">
        <is>
          <t>hystrix-core/src/main/java/com/netflix/hystrix/HystrixObservableCollapser.java</t>
        </is>
      </c>
      <c r="C405">
        <f>HYPERLINK("https://github.com/Netflix/Hystrix/blob/master/hystrix-core/src/main/java/com/netflix/hystrix/HystrixObservableCollapser.java")</f>
        <v/>
      </c>
      <c r="D405" t="inlineStr">
        <is>
          <t>The code provided appears to be a Java implementation of the Hystrix library for handling fault tolerance and resilience in distributed systems. It is licensed under Apache 2.0 license which allows it to be used without restrictions but requires attribution. The main functionality seems to revolve around collapsing multiple requests into one reducing network calls thereby improving performance.
Please note that due to</t>
        </is>
      </c>
      <c r="E405" t="n">
        <v>0.0034</v>
      </c>
      <c r="F405" t="n">
        <v>0.0556</v>
      </c>
      <c r="G405" t="n">
        <v>0.1111</v>
      </c>
      <c r="H405" t="inlineStr">
        <is>
          <t>The provided code is a Java class that implements the Hystrix library for handling fault tolerance and resilience in distributed systems. It uses collapsing to batch requests together before sending them off to be processed by an underlying command. The specific implementation involves creating a custom `HystrixCollapser` which extends from `HystrixCollapser&lt;T, R&gt;` where T represents</t>
        </is>
      </c>
      <c r="I405" t="n">
        <v>0.004</v>
      </c>
      <c r="J405" t="n">
        <v>0.0625</v>
      </c>
      <c r="K405" t="n">
        <v>0.1181</v>
      </c>
      <c r="L405" t="inlineStr">
        <is>
          <t>The code provided is a part of Netflix's Hystrix library for handling fault tolerance and resilience in distributed systems. It includes the implementation of core algorithms such as circuit breakers, command execution isolation strategies, collapsing requests, etc. The main purpose of this code seems to be managing these aspects within an application that uses hystrix commands. Code size is 10</t>
        </is>
      </c>
      <c r="M405" t="n">
        <v>0.0036</v>
      </c>
      <c r="N405" t="n">
        <v>0.058</v>
      </c>
      <c r="O405" t="n">
        <v>0.1894</v>
      </c>
    </row>
    <row r="406">
      <c r="A406" t="inlineStr">
        <is>
          <t>hystrix</t>
        </is>
      </c>
      <c r="B406" t="inlineStr">
        <is>
          <t>hystrix-core/src/main/java/com/netflix/hystrix/HystrixCommandMetrics.java</t>
        </is>
      </c>
      <c r="C406">
        <f>HYPERLINK("https://github.com/Netflix/Hystrix/blob/master/hystrix-core/src/main/java/com/netflix/hystrix/HystrixCommandMetrics.java")</f>
        <v/>
      </c>
      <c r="D406" t="inlineStr">
        <is>
          <t>The provided code is a Java implementation of the Hystrix library by Netflix for handling fault tolerance and resilience in distributed systems. It includes various components related to metrics collection, command execution, circuit breakers etc., which are used to manage failures and improve system reliability. The code is licensed under Apache License 2.0. This repository contains backend software components that implement core</t>
        </is>
      </c>
      <c r="E406" t="n">
        <v>0.0042</v>
      </c>
      <c r="F406" t="n">
        <v>0.1127</v>
      </c>
      <c r="G406" t="n">
        <v>0.3182</v>
      </c>
      <c r="H406" t="inlineStr">
        <is>
          <t>The provided code is a Java package named `com.netflix.hystrix` that contains backend software components for implementing core algorithms in the Hystrix library. The complexity of this code base seems to be O(N), where N represents some form of metric or count related to the size of data being processed by these components. It appears to contain implementations of various metrics and event streams</t>
        </is>
      </c>
      <c r="I406" t="n">
        <v>0.0038</v>
      </c>
      <c r="J406" t="n">
        <v>0.1081</v>
      </c>
      <c r="K406" t="n">
        <v>0.1852</v>
      </c>
      <c r="L406" t="inlineStr">
        <is>
          <t>The provided code is a part of Netflix's Hystrix library for handling fault tolerance patterns in distributed systems. It defines several classes related to metrics collection and consumption.
Here are the main functionalities:
1. The `HystrixCommandCompletion` class represents an event that completes execution of a command. 
    - This includes information about whether the command</t>
        </is>
      </c>
      <c r="M406" t="n">
        <v>0.004</v>
      </c>
      <c r="N406" t="n">
        <v>0.0323</v>
      </c>
      <c r="O406" t="n">
        <v>0.119</v>
      </c>
    </row>
    <row r="407">
      <c r="A407" t="inlineStr">
        <is>
          <t>hystrix</t>
        </is>
      </c>
      <c r="B407" t="inlineStr">
        <is>
          <t>hystrix-core/src/main/java/com/netflix/hystrix/HystrixCommandProperties.java</t>
        </is>
      </c>
      <c r="C407">
        <f>HYPERLINK("https://github.com/Netflix/Hystrix/blob/master/hystrix-core/src/main/java/com/netflix/hystrix/HystrixCommandProperties.java")</f>
        <v/>
      </c>
      <c r="D407" t="inlineStr">
        <is>
          <t>The code provided is for a Java library named Hystrix which provides fault tolerance patterns to improve the resilience of distributed systems. It uses properties and strategies to configure its behavior in different scenarios. The copyright notice at the beginning indicates that it's licensed under Apache License 2.0.
It defines classes related to command execution with fallbacks, circuit breakers, request c</t>
        </is>
      </c>
      <c r="E407" t="n">
        <v>0.003</v>
      </c>
      <c r="F407" t="n">
        <v>0.0282</v>
      </c>
      <c r="G407" t="n">
        <v>0.0752</v>
      </c>
      <c r="H407" t="inlineStr">
        <is>
          <t>The code provided is a Java method that adds two numbers together using the Hystrix library for handling fault tolerance and resilience in distributed systems. It's complexity is O(1), meaning it has constant time complexity as it performs only one operation regardless of input size. The function takes two parameters (`int a`, `int b`), performs addition on them and returns the result</t>
        </is>
      </c>
      <c r="I407" t="n">
        <v>0.0029</v>
      </c>
      <c r="J407" t="n">
        <v>0.0556</v>
      </c>
      <c r="K407" t="n">
        <v>0.0746</v>
      </c>
      <c r="L407" t="inlineStr">
        <is>
          <t>The provided code is for a Hystrix library in Java which provides fault tolerance patterns to applications running on the JVM by isolating points of access to remote services, command execution, and fallbacks. The main purpose of this code seems to be defining properties related to circuit breakers (a pattern used to detect and prevent faults) such as whether it should open when errors exceed a certain percentage</t>
        </is>
      </c>
      <c r="M407" t="n">
        <v>0.0027</v>
      </c>
      <c r="N407" t="n">
        <v>0.0526</v>
      </c>
      <c r="O407" t="n">
        <v>0.1071</v>
      </c>
    </row>
    <row r="408">
      <c r="A408" t="inlineStr">
        <is>
          <t>hystrix</t>
        </is>
      </c>
      <c r="B408" t="inlineStr">
        <is>
          <t>hystrix-core/src/main/java/com/netflix/hystrix/HystrixMetrics.java</t>
        </is>
      </c>
      <c r="C408">
        <f>HYPERLINK("https://github.com/Netflix/Hystrix/blob/master/hystrix-core/src/main/java/com/netflix/hystrix/HystrixMetrics.java")</f>
        <v/>
      </c>
      <c r="D408" t="inlineStr">
        <is>
          <t>The provided code is a base class for Hystrix metrics in Java. It provides an abstract implementation of core algorithms related to the handling and tracking of metrics within the application's architecture. The complexity of this code snippet appears to be O(N), where N represents some number of elements or operations that need to be processed. This could potentially vary depending on the specific use case.</t>
        </is>
      </c>
      <c r="E408" t="n">
        <v>0.0036</v>
      </c>
      <c r="F408" t="n">
        <v>0.0789</v>
      </c>
      <c r="G408" t="n">
        <v>0.1812</v>
      </c>
      <c r="H408" t="inlineStr">
        <is>
          <t>The provided code is a Java class for Hystrix metrics which extends an abstract base class for Hystrix metrics. The class has a protected final field of type `HystrixRollingNumber` named counter and the constructor takes in this as a parameter. This class also contains one method (get), but it's not clear what its functionality should be without more context or implementation details</t>
        </is>
      </c>
      <c r="I408" t="n">
        <v>0.0039</v>
      </c>
      <c r="J408" t="n">
        <v>0.0563</v>
      </c>
      <c r="K408" t="n">
        <v>0.1493</v>
      </c>
      <c r="L408" t="inlineStr">
        <is>
          <t>ThegivenJava code is an abstract base class for Hystrix metrics in a software application developed by Netflix. This class holds the logic to calculate and maintain various aspects of these metrics such as command execution counts, error rates etc. The purpose of this class seems to be to provide common functionality across different types of commands that use Hystrix circuit breakers. It uses a rolling number counter object</t>
        </is>
      </c>
      <c r="M408" t="n">
        <v>0.0038</v>
      </c>
      <c r="N408" t="n">
        <v>0.0526</v>
      </c>
      <c r="O408" t="n">
        <v>0.1429</v>
      </c>
    </row>
    <row r="409">
      <c r="A409" t="inlineStr">
        <is>
          <t>hystrix</t>
        </is>
      </c>
      <c r="B409" t="inlineStr">
        <is>
          <t>hystrix-core/src/main/java/com/netflix/hystrix/collapser/RequestCollapser.java</t>
        </is>
      </c>
      <c r="C409">
        <f>HYPERLINK("https://github.com/Netflix/Hystrix/blob/master/hystrix-core/src/main/java/com/netflix/hystrix/collapser/RequestCollapser.java")</f>
        <v/>
      </c>
      <c r="D409" t="inlineStr">
        <is>
          <t>The code provided is a Java implementation of the Hystrix Collapser feature which allows for batching and collapsing requests to improve performance by reducing network calls. The library provides mechanisms such as request coalescing (batching), exception aggregation, fallback handling etc., making it easier to handle complexities related to concurrent execution, fault tolerance, circuit breaking in distributed systems.</t>
        </is>
      </c>
      <c r="E409" t="n">
        <v>0.0032</v>
      </c>
      <c r="F409" t="n">
        <v>0.0615</v>
      </c>
      <c r="G409" t="n">
        <v>0.0775</v>
      </c>
      <c r="H409" t="inlineStr">
        <is>
          <t>The provided code is a Java implementation of the Hystrix collapser pattern for handling large numbers of requests in batch mode to reduce latency and improve performance. The main function `executeBatch` takes an array of request objects as input, processes them individually or in batches depending on the configuration set by Hystrix properties (like maximum queue size), and returns an Observable that emits the</t>
        </is>
      </c>
      <c r="I409" t="n">
        <v>0.0028</v>
      </c>
      <c r="J409" t="n">
        <v>0.0833</v>
      </c>
      <c r="K409" t="n">
        <v>0.1103</v>
      </c>
      <c r="L409" t="inlineStr">
        <is>
          <t>The code provided is a part of the Hystrix Collapser library in Java. It provides an abstraction for collapsing multiple requests into one to improve performance and reduce network latency.
Here's what it does: 
It defines classes that allow you to batch together calls which are expected to be made at similar times (for example, all GET requests on the</t>
        </is>
      </c>
      <c r="M409" t="n">
        <v>0.003</v>
      </c>
      <c r="N409" t="n">
        <v>0.029</v>
      </c>
      <c r="O409" t="n">
        <v>0.07580000000000001</v>
      </c>
    </row>
    <row r="410">
      <c r="A410" t="inlineStr">
        <is>
          <t>hystrix</t>
        </is>
      </c>
      <c r="B410" t="inlineStr">
        <is>
          <t>hystrix-core/src/main/java/com/netflix/hystrix/collapser/CollapserTimer.java</t>
        </is>
      </c>
      <c r="C410">
        <f>HYPERLINK("https://github.com/Netflix/Hystrix/blob/master/hystrix-core/src/main/java/com/netflix/hystrix/collapser/CollapserTimer.java")</f>
        <v/>
      </c>
      <c r="D410" t="inlineStr">
        <is>
          <t>The code provided is a Java interface named CollapserTimer which uses the TimerListener to trigger batch execution of tasks when certain conditions are met. The interface provides an addListener method that adds a listener (which will be triggered by timer events), and returns a reference to it. It's part of Netflix Hystrix library for handling asynchronous requests in distributed systems.</t>
        </is>
      </c>
      <c r="E410" t="n">
        <v>0.003</v>
      </c>
      <c r="F410" t="n">
        <v>0.029</v>
      </c>
      <c r="G410" t="n">
        <v>0.07580000000000001</v>
      </c>
      <c r="H410" t="inlineStr">
        <is>
          <t>The code you provided is a Java interface named `CollapserTimer` that defines an operation to add a listener for timer events related to collapsing tasks (batch execution). It uses the Hystrix library which provides utilities for managing timers and triggering operations in response to those timers. The complexity of this function appears to be O(1), meaning it performs constant time operations</t>
        </is>
      </c>
      <c r="I410" t="n">
        <v>0.003</v>
      </c>
      <c r="J410" t="n">
        <v>0.0571</v>
      </c>
      <c r="K410" t="n">
        <v>0.1128</v>
      </c>
      <c r="L410" t="inlineStr">
        <is>
          <t>The provided code is a Java interface named CollapserTimer which uses the Hystrix library for managing timer events and triggering batch execution of tasks. The purpose of this class seems to be to provide a mechanism for scheduling or timing operations in conjunction with other components within the system. It's likely that it will be used as part of an overall architecture design where various collapsers are managed</t>
        </is>
      </c>
      <c r="M410" t="n">
        <v>0.0027</v>
      </c>
      <c r="N410" t="n">
        <v>0.026</v>
      </c>
      <c r="O410" t="n">
        <v>0.1071</v>
      </c>
    </row>
    <row r="411">
      <c r="A411" t="inlineStr">
        <is>
          <t>hystrix</t>
        </is>
      </c>
      <c r="B411" t="inlineStr">
        <is>
          <t>hystrix-core/src/main/java/com/netflix/hystrix/collapser/RequestBatch.java</t>
        </is>
      </c>
      <c r="C411">
        <f>HYPERLINK("https://github.com/Netflix/Hystrix/blob/master/hystrix-core/src/main/java/com/netflix/hystrix/collapser/RequestBatch.java")</f>
        <v/>
      </c>
      <c r="D411" t="inlineStr">
        <is>
          <t>The provided code is a Java implementation of the Hystrix Collapser feature used in Netflix's microservices architecture. The purpose of this component seems to be to optimize requests by batching them together and executing multiple requests at once rather than making each request individually. This can improve performance but also reduce latency due to reduced network round trips between services. It uses Reactive Extensions (R</t>
        </is>
      </c>
      <c r="E411" t="n">
        <v>0.0033</v>
      </c>
      <c r="F411" t="n">
        <v>0.0541</v>
      </c>
      <c r="G411" t="n">
        <v>0.146</v>
      </c>
      <c r="H411" t="inlineStr">
        <is>
          <t>The provided code is a Java implementation of the add function for two numbers using Apache License 2.0. The complexity of this operation is O(1), meaning it takes constant time to execute regardless of the size of input data. This function adds two integers and returns their sum.
Here's an example usage in Python:
```python
# Importing the add function from</t>
        </is>
      </c>
      <c r="I411" t="n">
        <v>0.0036</v>
      </c>
      <c r="J411" t="n">
        <v>0.08450000000000001</v>
      </c>
      <c r="K411" t="n">
        <v>0.1504</v>
      </c>
      <c r="L411" t="inlineStr">
        <is>
          <t>The provided code is a part of Netflix's Hystrix library for handling asynchronous requests in Java. The main purpose of this component appears to be the implementation and management of request collapsing or batching, which could potentially reduce network traffic by grouping multiple similar requests into one. This can improve performance but also add complexity due to increased latency caused by additional processing steps. Code size</t>
        </is>
      </c>
      <c r="M411" t="n">
        <v>0.0033</v>
      </c>
      <c r="N411" t="n">
        <v>0.08</v>
      </c>
      <c r="O411" t="n">
        <v>0.1449</v>
      </c>
    </row>
    <row r="412">
      <c r="A412" t="inlineStr">
        <is>
          <t>hystrix</t>
        </is>
      </c>
      <c r="B412" t="inlineStr">
        <is>
          <t>hystrix-core/src/main/java/com/netflix/hystrix/collapser/RealCollapserTimer.java</t>
        </is>
      </c>
      <c r="C412">
        <f>HYPERLINK("https://github.com/Netflix/Hystrix/blob/master/hystrix-core/src/main/java/com/netflix/hystrix/collapser/RealCollapserTimer.java")</f>
        <v/>
      </c>
      <c r="D412" t="inlineStr">
        <is>
          <t>The provided code is a Java implementation of the RealCollapserTimer class which implements CollapserTimer interface from Hystrix library for triggering batch execution using Hystrix Timer. This timer schedules tasks that are ready to be executed and uses a single global timer that all collaspers will schedule on. The complexity of this solution is O(n), where n represents the number</t>
        </is>
      </c>
      <c r="E412" t="n">
        <v>0.0041</v>
      </c>
      <c r="F412" t="n">
        <v>0.0588</v>
      </c>
      <c r="G412" t="n">
        <v>0.1527</v>
      </c>
      <c r="H412" t="inlineStr">
        <is>
          <t>The provided code is a Java implementation of the RealCollapserTimer class which implements CollapserTimer interface from Hystrix library for triggering batch execution using Hystrix Timer. The copyright notice at the top indicates that this software is licensed under Apache License 2.0 (see http://www.apache.org/licenses/LICENSE-2.0). This license</t>
        </is>
      </c>
      <c r="I412" t="n">
        <v>0.0054</v>
      </c>
      <c r="J412" t="n">
        <v>0.06560000000000001</v>
      </c>
      <c r="K412" t="n">
        <v>0.1709</v>
      </c>
      <c r="L412" t="inlineStr">
        <is>
          <t>The code provided is a part of the Hystrix library for Java which provides features related to fault tolerance patterns in distributed systems. It's an implementation of `CollapserTimer` interface that uses Hystrix Timer (a timer utility class) to trigger batch execution. The purpose of this code seems to be to schedule collapsed requests using a global timer and execute them when the time</t>
        </is>
      </c>
      <c r="M412" t="n">
        <v>0.0029</v>
      </c>
      <c r="N412" t="n">
        <v>0.0556</v>
      </c>
      <c r="O412" t="n">
        <v>0.1481</v>
      </c>
    </row>
    <row r="413">
      <c r="A413" t="inlineStr">
        <is>
          <t>hystrix</t>
        </is>
      </c>
      <c r="B413" t="inlineStr">
        <is>
          <t>hystrix-core/src/main/java/com/netflix/hystrix/collapser/CollapsedRequestSubject.java</t>
        </is>
      </c>
      <c r="C413">
        <f>HYPERLINK("https://github.com/Netflix/Hystrix/blob/master/hystrix-core/src/main/java/com/netflix/hystrix/collapser/CollapsedRequestSubject.java")</f>
        <v/>
      </c>
      <c r="D413" t="inlineStr">
        <is>
          <t>This code is a Java implementation of the Hystrix collapser pattern used in Netflix's Hystrix library for handling batch requests efficiently and reducing network calls. The CollapsedRequest class represents a collapsed request sent back to a user when receiving a batch response. It uses RxJava Observables to handle asynchronous operations. 
 The main classes involved are</t>
        </is>
      </c>
      <c r="E413" t="n">
        <v>0.004</v>
      </c>
      <c r="F413" t="n">
        <v>0.09379999999999999</v>
      </c>
      <c r="G413" t="n">
        <v>0.1575</v>
      </c>
      <c r="H413" t="inlineStr">
        <is>
          <t>ThisJava code is a collapser implementation for Hystrix, which is Netflix's library for handling fault tolerance and resilience in distributed systems. The purpose of this class seems to be to collapse multiple requests into one when possible, reducing the number of network calls made by clients.
However, without more context or details about what exactly you want from it, I can</t>
        </is>
      </c>
      <c r="I413" t="n">
        <v>0.003</v>
      </c>
      <c r="J413" t="n">
        <v>0.0571</v>
      </c>
      <c r="K413" t="n">
        <v>0.1128</v>
      </c>
      <c r="L413" t="inlineStr">
        <is>
          <t>```plaintext
The code provided is a Java class named `ObservableCollapser` that extends the Hystrix Collapser library in Netflix's Hystrix framework. The purpose of this class seems to be to represent a collapsed request sent back to a user after receiving a batch response from an underlying service or command execution. 
This class uses</t>
        </is>
      </c>
      <c r="M413" t="n">
        <v>0.0035</v>
      </c>
      <c r="N413" t="n">
        <v>0.0323</v>
      </c>
      <c r="O413" t="n">
        <v>0.08</v>
      </c>
    </row>
    <row r="414">
      <c r="A414" t="inlineStr">
        <is>
          <t>hystrix</t>
        </is>
      </c>
      <c r="B414" t="inlineStr">
        <is>
          <t>hystrix-core/src/main/java/com/netflix/hystrix/collapser/HystrixCollapserBridge.java</t>
        </is>
      </c>
      <c r="C414">
        <f>HYPERLINK("https://github.com/Netflix/Hystrix/blob/master/hystrix-core/src/main/java/com/netflix/hystrix/collapser/HystrixCollapserBridge.java")</f>
        <v/>
      </c>
      <c r="D414" t="inlineStr">
        <is>
          <t>The provided code is a bridge between Hystrix Collapser and Request Collapser to expose 'protected' and 'private' functionality across packages. It allows for batching of requests together into one command execution, reducing the number of network calls made. The class uses RxJava Observables to handle asynchronous operations. This can help improve performance by reducing latency due to waiting on individual responses</t>
        </is>
      </c>
      <c r="E414" t="n">
        <v>0.0039</v>
      </c>
      <c r="F414" t="n">
        <v>0.029</v>
      </c>
      <c r="G414" t="n">
        <v>0.1128</v>
      </c>
      <c r="H414" t="inlineStr">
        <is>
          <t>The provided code is a Java class that acts as a bridge between the Hystrix Collapser and Request Collapser to expose 'protected' and 'private' functionality across packages. The collapser allows for batching of requests together into one call instead of making multiple calls individually which can be more efficient when dealing with large numbers of requests. This reduces latency by reducing network round trips and</t>
        </is>
      </c>
      <c r="I414" t="n">
        <v>0.0037</v>
      </c>
      <c r="J414" t="n">
        <v>0.0548</v>
      </c>
      <c r="K414" t="n">
        <v>0.1095</v>
      </c>
      <c r="L414" t="inlineStr">
        <is>
          <t>The provided code is a Java class named `HystrixCollapserCommand` that extends the functionality of Hystrix Collapser to expose 'protected' and 'private' methods across packages. This class has three generic parameters - `BatchReturnType`, `ResponseType`, and `RequestSummary`. The main purpose of this class seems to be bridging between Hystrix</t>
        </is>
      </c>
      <c r="M414" t="n">
        <v>0.0051</v>
      </c>
      <c r="N414" t="n">
        <v>0.0741</v>
      </c>
      <c r="O414" t="n">
        <v>0.1261</v>
      </c>
    </row>
    <row r="415">
      <c r="A415" t="inlineStr">
        <is>
          <t>hystrix</t>
        </is>
      </c>
      <c r="B415" t="inlineStr">
        <is>
          <t>hystrix-core/src/main/java/com/netflix/hystrix/collapser/RequestCollapserFactory.java</t>
        </is>
      </c>
      <c r="C415">
        <f>HYPERLINK("https://github.com/Netflix/Hystrix/blob/master/hystrix-core/src/main/java/com/netflix/hystrix/collapser/RequestCollapserFactory.java")</f>
        <v/>
      </c>
      <c r="D415" t="inlineStr">
        <is>
          <t>The provided code is a Java implementation of the Hystrix library from Netflix for handling fault tolerance and resilience in distributed systems. It includes features such as circuit breakers, request collapsing (batch requests), etc., which help to prevent network or service failures by controlling resource usage and isolating unhealthy services. The license under Apache License 2.0 restricts use without</t>
        </is>
      </c>
      <c r="E415" t="n">
        <v>0.0031</v>
      </c>
      <c r="F415" t="n">
        <v>0.0588</v>
      </c>
      <c r="G415" t="n">
        <v>0.1145</v>
      </c>
      <c r="H415" t="inlineStr">
        <is>
          <t>The code provided is a Java implementation of the addition function in Hystrix library for distributed systems. It uses ConcurrentHashMap to store and retrieve data concurrently without blocking threads. The complexity of this operation is O(1), meaning it takes constant time regardless of input size.
The Apache License 2.0 applies to all files within the package com.netflix.</t>
        </is>
      </c>
      <c r="I415" t="n">
        <v>0.0032</v>
      </c>
      <c r="J415" t="n">
        <v>0.0882</v>
      </c>
      <c r="K415" t="n">
        <v>0.155</v>
      </c>
      <c r="L415" t="inlineStr">
        <is>
          <t>The provided code is a part of Netflix's Hystrix library which provides fault tolerance patterns for distributed systems. The main purpose of this component seems to be the implementation and configuration of collapsing requests into larger batches that can reduce latency in case multiple small requests are made simultaneously.
It uses ConcurrentHashMap as an internal data structure to store request results temporarily before they</t>
        </is>
      </c>
      <c r="M415" t="n">
        <v>0.0028</v>
      </c>
      <c r="N415" t="n">
        <v>0.0822</v>
      </c>
      <c r="O415" t="n">
        <v>0.1471</v>
      </c>
    </row>
    <row r="416">
      <c r="A416" t="inlineStr">
        <is>
          <t>hystrix</t>
        </is>
      </c>
      <c r="B416" t="inlineStr">
        <is>
          <t>hystrix-core/src/main/java/com/netflix/hystrix/metric/HystrixThreadPoolCompletionStream.java</t>
        </is>
      </c>
      <c r="C416">
        <f>HYPERLINK("https://github.com/Netflix/Hystrix/blob/master/hystrix-core/src/main/java/com/netflix/hystrix/metric/HystrixThreadPoolCompletionStream.java")</f>
        <v/>
      </c>
      <c r="D416" t="inlineStr">
        <is>
          <t>The code is a part of the Hystrix library for Java which provides metrics about command completions in different thread pools. It does this by publishing {@link com.netflix.hystrix.HystrixCommand#execute()} events to an Observable stream per each pool key (thread pool). The metric data includes details like execution time and whether the command was successful or not.</t>
        </is>
      </c>
      <c r="E416" t="n">
        <v>0.0033</v>
      </c>
      <c r="F416" t="n">
        <v>0.0597</v>
      </c>
      <c r="G416" t="n">
        <v>0.1181</v>
      </c>
      <c r="H416" t="inlineStr">
        <is>
          <t>The provided code is a Java implementation of an Observable subject that publishes Hystrix command completions per thread pool key. The license at the top indicates that this software may be used under certain conditions as outlined in the Apache License 2.0.
It uses RxJava for handling concurrency and event streams. It maintains a ConcurrentHashMap to store commands completion</t>
        </is>
      </c>
      <c r="I416" t="n">
        <v>0.0037</v>
      </c>
      <c r="J416" t="n">
        <v>0.0882</v>
      </c>
      <c r="K416" t="n">
        <v>0.284</v>
      </c>
      <c r="L416" t="inlineStr">
        <is>
          <t>The provided code is a part of Netflix's Hystrix library for handling fault tolerance in distributed systems. The main purpose of this class seems to be creating an observable stream that publishes command completion events (`HystrixCommandCompletion`) per thread pool key.
Here are the steps involved:
1. It creates a `ConcurrentMap&lt;String</t>
        </is>
      </c>
      <c r="M416" t="n">
        <v>0</v>
      </c>
      <c r="N416" t="n">
        <v>0.0333</v>
      </c>
      <c r="O416" t="n">
        <v>0.082</v>
      </c>
    </row>
    <row r="417">
      <c r="A417" t="inlineStr">
        <is>
          <t>hystrix</t>
        </is>
      </c>
      <c r="B417" t="inlineStr">
        <is>
          <t>hystrix-core/src/main/java/com/netflix/hystrix/metric/CachedValuesHistogram.java</t>
        </is>
      </c>
      <c r="C417">
        <f>HYPERLINK("https://github.com/Netflix/Hystrix/blob/master/hystrix-core/src/main/java/com/netflix/hystrix/metric/CachedValuesHistogram.java")</f>
        <v/>
      </c>
      <c r="D417" t="inlineStr">
        <is>
          <t>The provided code is a Java class named `CachedValuesHistogram` that uses the HdrHistogram library to create and manage histograms of cached values. The histograms are used for recording statistical data about cache performance metrics such as mean, percentiles (p0, p5, p10, etc.), and other relevant information. This software component appears to be part of</t>
        </is>
      </c>
      <c r="E417" t="n">
        <v>0.007900000000000001</v>
      </c>
      <c r="F417" t="n">
        <v>0.0645</v>
      </c>
      <c r="G417" t="n">
        <v>0.2505</v>
      </c>
      <c r="H417" t="inlineStr">
        <is>
          <t>The code provided is a Java class named `CachedValuesHistogram` which uses HDR histograms for storing and manipulating statistical data. The class has several private fields that store different percentiles of the distribution (from p0 to p30). It also contains getters but no setter methods or any other form of modification after initialization. 
Also, there are</t>
        </is>
      </c>
      <c r="I417" t="n">
        <v>0.0033</v>
      </c>
      <c r="J417" t="n">
        <v>0.0317</v>
      </c>
      <c r="K417" t="n">
        <v>0.07870000000000001</v>
      </c>
      <c r="L417" t="inlineStr">
        <is>
          <t>The provided code is a Java class named `CachedValuesHistogram` that encapsulates the functionality of an HdrHistogram for caching values with significant digits precision. It maintains and provides statistics about its data such as mean value, percentiles (p0 to p30) which are used in monitoring system performance. The implementation adheres to best practices like readability, maintain</t>
        </is>
      </c>
      <c r="M417" t="n">
        <v>0.004</v>
      </c>
      <c r="N417" t="n">
        <v>0.0635</v>
      </c>
      <c r="O417" t="n">
        <v>0.1181</v>
      </c>
    </row>
    <row r="418">
      <c r="A418" t="inlineStr">
        <is>
          <t>hystrix</t>
        </is>
      </c>
      <c r="B418" t="inlineStr">
        <is>
          <t>hystrix-core/src/main/java/com/netflix/hystrix/metric/HystrixCollapserEventStream.java</t>
        </is>
      </c>
      <c r="C418">
        <f>HYPERLINK("https://github.com/Netflix/Hystrix/blob/master/hystrix-core/src/main/java/com/netflix/hystrix/metric/HystrixCollapserEventStream.java")</f>
        <v/>
      </c>
      <c r="D418" t="inlineStr">
        <is>
          <t>&lt;!-- Code Summary --&gt;
The code provides a class for managing and writing events to an internal stream of `HystrixCollapserEvent` objects per collapser key. The event data is written in real time as commands are executed by the Hystrix command scheduler using RxJava Observables. 
It uses Concurrency features like `ConcurrentHash</t>
        </is>
      </c>
      <c r="E418" t="n">
        <v>0.0037</v>
      </c>
      <c r="F418" t="n">
        <v>0.0357</v>
      </c>
      <c r="G418" t="n">
        <v>0.082</v>
      </c>
      <c r="H418" t="inlineStr">
        <is>
          <t>The provided code is a Java implementation of the Hystrix library for handling asynchronous operations in distributed systems. It contains a class named `HystrixMetric` which maintains metrics about commands executed by an instance of {@link com.netflix.hystrix.HystrixCommand}. The main functionality includes collapsing requests into larger batches and recording timing information related to those events</t>
        </is>
      </c>
      <c r="I418" t="n">
        <v>0.0041</v>
      </c>
      <c r="J418" t="n">
        <v>0.09379999999999999</v>
      </c>
      <c r="K418" t="n">
        <v>0.12</v>
      </c>
      <c r="L418" t="inlineStr">
        <is>
          <t>The provided code is a part of Netflix's Hystrix library for handling asynchronous execution and fault tolerance in distributed systems. 
It defines the `MetricStream` class which uses RxJava (Reactive Extensions) to handle metrics events from multiple threads concurrently without blocking any other thread. The main purpose of this class seems to be collecting and publishing metric</t>
        </is>
      </c>
      <c r="M418" t="n">
        <v>0.0033</v>
      </c>
      <c r="N418" t="n">
        <v>0.0615</v>
      </c>
      <c r="O418" t="n">
        <v>0.1172</v>
      </c>
    </row>
    <row r="419">
      <c r="A419" t="inlineStr">
        <is>
          <t>hystrix</t>
        </is>
      </c>
      <c r="B419" t="inlineStr">
        <is>
          <t>hystrix-core/src/main/java/com/netflix/hystrix/metric/HystrixCommandEvent.java</t>
        </is>
      </c>
      <c r="C419">
        <f>HYPERLINK("https://github.com/Netflix/Hystrix/blob/master/hystrix-core/src/main/java/com/netflix/hystrix/metric/HystrixCommandEvent.java")</f>
        <v/>
      </c>
      <c r="D419" t="inlineStr">
        <is>
          <t>The code you provided appears to be a Java class for Hystrix command events in the Netflix Hystrix library. This class is abstract and represents an event stream of Hystrix command executions. It extends from `HystrixEvent` which presumably provides common functionality for all types of Hystrix events. The class has private fields storing keys related to commands (`Hyst</t>
        </is>
      </c>
      <c r="E419" t="n">
        <v>0.0041</v>
      </c>
      <c r="F419" t="n">
        <v>0.0606</v>
      </c>
      <c r="G419" t="n">
        <v>0.1154</v>
      </c>
      <c r="H419" t="inlineStr">
        <is>
          <t>The code you provided is a Java class that extends an abstract Hystrix event class and contains private fields for the command key and thread pool key of a Hystrix command execution. It also has methods to get these keys and implements an interface with a function to process events. 
However, it seems like your request was cut off abruptly. Could you please provide more information or</t>
        </is>
      </c>
      <c r="I419" t="n">
        <v>0.0032</v>
      </c>
      <c r="J419" t="n">
        <v>0.0533</v>
      </c>
      <c r="K419" t="n">
        <v>0.1079</v>
      </c>
      <c r="L419" t="inlineStr">
        <is>
          <t>The provided code is a Java class named `HystrixCommandEvent` that extends an abstract base class called `HystrixEvent`. This class represents the event stream for Hystrix command executions in Netflix's Hystrix library.
It maintains information about Hystrix commands and their execution events such as completion times, error counts etc. The purpose of this</t>
        </is>
      </c>
      <c r="M419" t="n">
        <v>0.0042</v>
      </c>
      <c r="N419" t="n">
        <v>0.06560000000000001</v>
      </c>
      <c r="O419" t="n">
        <v>0.0806</v>
      </c>
    </row>
    <row r="420">
      <c r="A420" t="inlineStr">
        <is>
          <t>hystrix</t>
        </is>
      </c>
      <c r="B420" t="inlineStr">
        <is>
          <t>hystrix-core/src/main/java/com/netflix/hystrix/metric/HystrixCommandCompletion.java</t>
        </is>
      </c>
      <c r="C420">
        <f>HYPERLINK("https://github.com/Netflix/Hystrix/blob/master/hystrix-core/src/main/java/com/netflix/hystrix/metric/HystrixCommandCompletion.java")</f>
        <v/>
      </c>
      <c r="D420" t="inlineStr">
        <is>
          <t>The code provided is a Java class for metrics collection in the Hystrix library by Netflix. It's part of their distributed fault tolerance framework and it collects various events related to command execution such as successes, failures etc., which are then fed into an event stream. The complexity of this code seems O(n), but without more context or details about what exactly is being measured (</t>
        </is>
      </c>
      <c r="E420" t="n">
        <v>0.0028</v>
      </c>
      <c r="F420" t="n">
        <v>0.0267</v>
      </c>
      <c r="G420" t="n">
        <v>0.1087</v>
      </c>
      <c r="H420" t="inlineStr">
        <is>
          <t>The provided code is a Java implementation of the addition operation between two numbers using Hystrix Commands for fault tolerance and concurrent execution handling. The complexity of this function is O(1), meaning it has constant time complexity as it performs only basic arithmetic operations regardless of input size. It's licensed under Apache License 2.0 which allows you to use, modify or distribute the software</t>
        </is>
      </c>
      <c r="I420" t="n">
        <v>0.0034</v>
      </c>
      <c r="J420" t="n">
        <v>0.0533</v>
      </c>
      <c r="K420" t="n">
        <v>0.1838</v>
      </c>
      <c r="L420" t="inlineStr">
        <is>
          <t>The provided code is a Java implementation of the Hystrix library which provides fault tolerance patterns for distributed systems. The main purpose of this class seems to be to feed data into an event stream when a summary command completes execution. 
Here's what it does in general steps:
1) It creates instances of `HystrixRequestContext` and sets up some context around</t>
        </is>
      </c>
      <c r="M420" t="n">
        <v>0.003</v>
      </c>
      <c r="N420" t="n">
        <v>0.058</v>
      </c>
      <c r="O420" t="n">
        <v>0.1136</v>
      </c>
    </row>
    <row r="421">
      <c r="A421" t="inlineStr">
        <is>
          <t>hystrix</t>
        </is>
      </c>
      <c r="B421" t="inlineStr">
        <is>
          <t>hystrix-core/src/main/java/com/netflix/hystrix/metric/HystrixRequestEventsStream.java</t>
        </is>
      </c>
      <c r="C421">
        <f>HYPERLINK("https://github.com/Netflix/Hystrix/blob/master/hystrix-core/src/main/java/com/netflix/hystrix/metric/HystrixRequestEventsStream.java")</f>
        <v/>
      </c>
      <c r="D421" t="inlineStr">
        <is>
          <t>The code provided is a Java class named `HystrixRequestEventsStream` that handles the stream of requests each containing series of command executions using Hystrix library for Netflix's microservices architecture. The class has an observable subject to publish and read events from streams in real time. This makes it suitable for handling high volume data or event based systems efficiently.
The license</t>
        </is>
      </c>
      <c r="E421" t="n">
        <v>0.0036</v>
      </c>
      <c r="F421" t="n">
        <v>0.029</v>
      </c>
      <c r="G421" t="n">
        <v>0.1136</v>
      </c>
      <c r="H421" t="inlineStr">
        <is>
          <t>The code you provided is a Java class named `HystrixRequestEventsStream` that handles streaming of requests containing series of command executions. It uses RxJava for handling the stream and subjects to publish events. The license at the top indicates it's licensed under Apache 2.0 which means you can use this software freely but must comply with its terms.
Please provide</t>
        </is>
      </c>
      <c r="I421" t="n">
        <v>0.0037</v>
      </c>
      <c r="J421" t="n">
        <v>0.058</v>
      </c>
      <c r="K421" t="n">
        <v>0.2409</v>
      </c>
      <c r="L421" t="inlineStr">
        <is>
          <t>The provided code is a Java class named `HystrixRequestEventsStream` which is used to stream events related to Hystrix commands executions in Netflix's system.
Here are the main functionalities of this class:
1. It maintains an internal state by storing each request event (a series of command executions) as it comes in and emitting them</t>
        </is>
      </c>
      <c r="M421" t="n">
        <v>0.0034</v>
      </c>
      <c r="N421" t="n">
        <v>0.0635</v>
      </c>
      <c r="O421" t="n">
        <v>0.119</v>
      </c>
    </row>
    <row r="422">
      <c r="A422" t="inlineStr">
        <is>
          <t>hystrix</t>
        </is>
      </c>
      <c r="B422" t="inlineStr">
        <is>
          <t>hystrix-core/src/main/java/com/netflix/hystrix/metric/HystrixCollapserEvent.java</t>
        </is>
      </c>
      <c r="C422">
        <f>HYPERLINK("https://github.com/Netflix/Hystrix/blob/master/hystrix-core/src/main/java/com/netflix/hystrix/metric/HystrixCollapserEvent.java")</f>
        <v/>
      </c>
      <c r="D422" t="inlineStr">
        <is>
          <t>The provided code is a data class that represents the event stream for Hystrix collapser executions. It contains three events related to the execution of Hystrix collapsers - ADDED_TO_BATCH, BATCH_EXECUTE and README. The complexity of this implementation is O(N), as it involves looping through a list of commands in</t>
        </is>
      </c>
      <c r="E422" t="n">
        <v>0.0037</v>
      </c>
      <c r="F422" t="n">
        <v>0.0667</v>
      </c>
      <c r="G422" t="n">
        <v>0.124</v>
      </c>
      <c r="H422" t="inlineStr">
        <is>
          <t>The provided code is a Java class that represents the event stream for Hystrix collapser executions. It comprises three things found in {@link com.netflix.hystrix.HystrixEventType.Collapser} enum (added to batch, batch execute and read). The license at the top of this file states that you may not use it except according to the</t>
        </is>
      </c>
      <c r="I422" t="n">
        <v>0.0036</v>
      </c>
      <c r="J422" t="n">
        <v>0.0317</v>
      </c>
      <c r="K422" t="n">
        <v>0.122</v>
      </c>
      <c r="L422" t="inlineStr">
        <is>
          <t>The provided code is a Java class named `MetricData` that acts as the data source for Hystrix collapser executions. This class represents three things that can happen when executing Hystrix collapsers and are found in the `HystrixEventType.Collapser` enum:
1. ADDED_TO_BATCH: Indicates an</t>
        </is>
      </c>
      <c r="M422" t="n">
        <v>0.0052</v>
      </c>
      <c r="N422" t="n">
        <v>0.0755</v>
      </c>
      <c r="O422" t="n">
        <v>0.0877</v>
      </c>
    </row>
    <row r="423">
      <c r="A423" t="inlineStr">
        <is>
          <t>hystrix</t>
        </is>
      </c>
      <c r="B423" t="inlineStr">
        <is>
          <t>hystrix-core/src/main/java/com/netflix/hystrix/metric/HystrixEvent.java</t>
        </is>
      </c>
      <c r="C423">
        <f>HYPERLINK("https://github.com/Netflix/Hystrix/blob/master/hystrix-core/src/main/java/com/netflix/hystrix/metric/HystrixEvent.java")</f>
        <v/>
      </c>
      <c r="D423" t="inlineStr">
        <is>
          <t>The code provided is a marker interface named HystrixEvent which appears to be used in the Netflix's Hystrix library for event stream handling. This repository contains backend software components implementing core algorithms related to metrics and events. The complexity of this implementation seems to be O(N), where N represents some form of data structure or algorithm complexity. It doesnâĢĻt appear that there are any</t>
        </is>
      </c>
      <c r="E423" t="n">
        <v>0.004</v>
      </c>
      <c r="F423" t="n">
        <v>0.1333</v>
      </c>
      <c r="G423" t="n">
        <v>0.2206</v>
      </c>
      <c r="H423" t="inlineStr">
        <is>
          <t>The code provided is a simple addition function in Python named `add` which takes two parameters and returns their sum. The time complexity of this operation is O(1), meaning it performs the same number of operations regardless of input size.
The README file contains information about the repository including its purpose, license details etc., indicating that it's part of Netflix's Hyst</t>
        </is>
      </c>
      <c r="I423" t="n">
        <v>0.003</v>
      </c>
      <c r="J423" t="n">
        <v>0.0556</v>
      </c>
      <c r="K423" t="n">
        <v>0.1128</v>
      </c>
      <c r="L423" t="inlineStr">
        <is>
          <t>The provided code is for a package named "com.netflix.hystrix.metric". This package seems to contain an interface called HystrixEvent which acts as a marker interface that may appear in an event stream. The purpose of this interface is not explicitly stated but it appears to be related to metrics and events within the context of Netflix's Hystrix library. It might</t>
        </is>
      </c>
      <c r="M423" t="n">
        <v>0.0037</v>
      </c>
      <c r="N423" t="n">
        <v>0.0563</v>
      </c>
      <c r="O423" t="n">
        <v>0.07630000000000001</v>
      </c>
    </row>
    <row r="424">
      <c r="A424" t="inlineStr">
        <is>
          <t>hystrix</t>
        </is>
      </c>
      <c r="B424" t="inlineStr">
        <is>
          <t>hystrix-core/src/main/java/com/netflix/hystrix/metric/HystrixCommandStartStream.java</t>
        </is>
      </c>
      <c r="C424">
        <f>HYPERLINK("https://github.com/Netflix/Hystrix/blob/master/hystrix-core/src/main/java/com/netflix/hystrix/metric/HystrixCommandStartStream.java")</f>
        <v/>
      </c>
      <c r="D424" t="inlineStr">
        <is>
          <t>The code provided is a part of the Hystrix library for Java. It provides metrics collection and event stream functionality related to command execution in an asynchronous environment using RxJava (ReactiveX). The main class `MetricStream` maintains a per-command stream of `HystrixCommandExecutionStarted` events through which you can observe these events. This data structure ensures that all</t>
        </is>
      </c>
      <c r="E424" t="n">
        <v>0.0044</v>
      </c>
      <c r="F424" t="n">
        <v>0.0312</v>
      </c>
      <c r="G424" t="n">
        <v>0.1181</v>
      </c>
      <c r="H424" t="inlineStr">
        <is>
          <t>The provided code is a Java class that implements metrics collection for Hystrix commands using RxJava and Concurrency API. It maintains an internal map of command keys to their respective streams of `HystrixCommandExecutionStarted` events. 
It uses the ConcurrentHashMap data structure which allows concurrent access by multiple threads without any synchronization overhead. The Observables are</t>
        </is>
      </c>
      <c r="I424" t="n">
        <v>0.004</v>
      </c>
      <c r="J424" t="n">
        <v>0.0645</v>
      </c>
      <c r="K424" t="n">
        <v>0.119</v>
      </c>
      <c r="L424" t="inlineStr">
        <is>
          <t>The provided code is a part of Netflix's Hystrix library for distributed fault tolerance and command execution monitoring. The main purpose of this class seems to be the generation and publishing of metrics related to Hystrix commands executed within an application.
Here are some key operations performed by the code:
1. It uses ConcurrentHashMap (`ConcurrentMap&lt;String</t>
        </is>
      </c>
      <c r="M424" t="n">
        <v>0.0033</v>
      </c>
      <c r="N424" t="n">
        <v>0.0615</v>
      </c>
      <c r="O424" t="n">
        <v>0.1181</v>
      </c>
    </row>
    <row r="425">
      <c r="A425" t="inlineStr">
        <is>
          <t>hystrix</t>
        </is>
      </c>
      <c r="B425" t="inlineStr">
        <is>
          <t>hystrix-core/src/main/java/com/netflix/hystrix/metric/HystrixThreadEventStream.java</t>
        </is>
      </c>
      <c r="C425">
        <f>HYPERLINK("https://github.com/Netflix/Hystrix/blob/master/hystrix-core/src/main/java/com/netflix/hystrix/metric/HystrixThreadEventStream.java")</f>
        <v/>
      </c>
      <c r="D425" t="inlineStr">
        <is>
          <t>The provided code is a part of Netflix's Hystrix library for Java, which provides fault tolerance patterns to applications running in a distributed environment. It includes various components related to metrics collection and command execution within the Hystrix framework. The main functionality it offers involves collapsing multiple requests into one by reducing network calls or computational complexity. This can be particularly useful when dealing with high latency</t>
        </is>
      </c>
      <c r="E425" t="n">
        <v>0.0036</v>
      </c>
      <c r="F425" t="n">
        <v>0.0263</v>
      </c>
      <c r="G425" t="n">
        <v>0.1079</v>
      </c>
      <c r="H425" t="inlineStr">
        <is>
          <t>The provided code is a Java implementation of the addition operation between two numbers using Hystrix library for handling concurrent requests and fault tolerance. The function `add` takes in two parameters (numbers), performs an arithmetic addition operation on them, and returns the result.
It's worth noting that this code has been licensed under Apache License 2.0 which means you can</t>
        </is>
      </c>
      <c r="I425" t="n">
        <v>0.003</v>
      </c>
      <c r="J425" t="n">
        <v>0.0857</v>
      </c>
      <c r="K425" t="n">
        <v>0.1515</v>
      </c>
      <c r="L425" t="inlineStr">
        <is>
          <t>ThegivenJava code is an implementation of a metric collection module for the Hystrix library in Java. It provides functionality to collect and report metrics related to command execution results such as successes, failures, timeouts etc. The main purpose of this module is to monitor and manage the performance and health status of commands executed through Hystrix's circuit breaker mechanism.
It uses</t>
        </is>
      </c>
      <c r="M425" t="n">
        <v>0.0039</v>
      </c>
      <c r="N425" t="n">
        <v>0.0857</v>
      </c>
      <c r="O425" t="n">
        <v>0.188</v>
      </c>
    </row>
    <row r="426">
      <c r="A426" t="inlineStr">
        <is>
          <t>hystrix</t>
        </is>
      </c>
      <c r="B426" t="inlineStr">
        <is>
          <t>hystrix-core/src/main/java/com/netflix/hystrix/metric/HystrixCommandExecutionStarted.java</t>
        </is>
      </c>
      <c r="C426">
        <f>HYPERLINK("https://github.com/Netflix/Hystrix/blob/master/hystrix-core/src/main/java/com/netflix/hystrix/metric/HystrixCommandExecutionStarted.java")</f>
        <v/>
      </c>
      <c r="D426" t="inlineStr">
        <is>
          <t>The code provided is a Java class named HystrixCommandExecutionStarted that extends the abstract class HystrixCommandEvent. This class represents an event emitted when a command starts executing in Hystrix, which is used for fault tolerance and resilience in distributed systems. The class has package com.netflix.hystrix.metric indicating it's part of Netflix'</t>
        </is>
      </c>
      <c r="E426" t="n">
        <v>0.0045</v>
      </c>
      <c r="F426" t="n">
        <v>0.06560000000000001</v>
      </c>
      <c r="G426" t="n">
        <v>0.124</v>
      </c>
      <c r="H426" t="inlineStr">
        <is>
          <t>The code you provided is a Java class that extends the HystrixCommandEvent class from the Netflix Hystrix library for monitoring and controlling fault tolerance of distributed systems. The specific functionality it provides can be summarized as follows:
It represents an event where a command starts executing in Hystrix. This information will get fed into the event stream when such a command starts execution.</t>
        </is>
      </c>
      <c r="I426" t="n">
        <v>0.0038</v>
      </c>
      <c r="J426" t="n">
        <v>0.0282</v>
      </c>
      <c r="K426" t="n">
        <v>0.1111</v>
      </c>
      <c r="L426" t="inlineStr">
        <is>
          <t>The provided code is a Java class named `HystrixCommandExecutionStarted` that extends the abstract base class `HystrixCommandEvent` from Hystrix library for handling command events in Netflix's Hystrix framework.
This class represents an event triggered when a command starts executing within its isolation semaphore pool. It holds information about the properties of the executed</t>
        </is>
      </c>
      <c r="M426" t="n">
        <v>0.0035</v>
      </c>
      <c r="N426" t="n">
        <v>0.0328</v>
      </c>
      <c r="O426" t="n">
        <v>0.0403</v>
      </c>
    </row>
    <row r="427">
      <c r="A427" t="inlineStr">
        <is>
          <t>hystrix</t>
        </is>
      </c>
      <c r="B427" t="inlineStr">
        <is>
          <t>hystrix-core/src/main/java/com/netflix/hystrix/metric/HystrixCommandCompletionStream.java</t>
        </is>
      </c>
      <c r="C427">
        <f>HYPERLINK("https://github.com/Netflix/Hystrix/blob/master/hystrix-core/src/main/java/com/netflix/hystrix/metric/HystrixCommandCompletionStream.java")</f>
        <v/>
      </c>
      <c r="D427" t="inlineStr">
        <is>
          <t>The code provided is a part of the Hystrix library for Java which provides metrics about commands executed by HystrixCommand instances. It maintains a stream (a sequence of events or data items made available to other components or systems in a timely manner) of command completions using an Observable pattern with RxJava. The observable subject used here is PublishSubject and it's thread safe</t>
        </is>
      </c>
      <c r="E427" t="n">
        <v>0.0029</v>
      </c>
      <c r="F427" t="n">
        <v>0.0278</v>
      </c>
      <c r="G427" t="n">
        <v>0.0741</v>
      </c>
      <c r="H427" t="inlineStr">
        <is>
          <t>The code provided is a Java class named `HystrixMetricStream` that uses the RxJava library to create an Observable stream of Hystrix command completion events (`HystrixCommandCompletion`). The complexity of this operation is O(n), where n represents the number of commands being monitored by the metric stream.
The license at the top</t>
        </is>
      </c>
      <c r="I427" t="n">
        <v>0</v>
      </c>
      <c r="J427" t="n">
        <v>0.0339</v>
      </c>
      <c r="K427" t="n">
        <v>0.082</v>
      </c>
      <c r="L427" t="inlineStr">
        <is>
          <t>The provided code is a Java class named `HystrixMetricStream` which serves as the per-command stream of Hystrix command completion events.
It imports necessary classes and packages for RxJava (Reactive Extensions) Observables to handle streams of data. The main purpose of this class seems to be managing metrics related to Hystrix commands in an efficient</t>
        </is>
      </c>
      <c r="M427" t="n">
        <v>0.0034</v>
      </c>
      <c r="N427" t="n">
        <v>0.0317</v>
      </c>
      <c r="O427" t="n">
        <v>0.0794</v>
      </c>
    </row>
    <row r="428">
      <c r="A428" t="inlineStr">
        <is>
          <t>hystrix</t>
        </is>
      </c>
      <c r="B428" t="inlineStr">
        <is>
          <t>hystrix-core/src/main/java/com/netflix/hystrix/metric/HystrixThreadPoolStartStream.java</t>
        </is>
      </c>
      <c r="C428">
        <f>HYPERLINK("https://github.com/Netflix/Hystrix/blob/master/hystrix-core/src/main/java/com/netflix/hystrix/metric/HystrixThreadPoolStartStream.java")</f>
        <v/>
      </c>
      <c r="D428" t="inlineStr">
        <is>
          <t>&lt;!-- 
The provided code is a part of the Hystrix library for Java which provides metrics and command execution tracking functionality to Netflix's services. The main component it contains is an Observable stream that emits {@link com.netflix.hystrix.metric.HystrixCommandExecutionStarted}'s from different threads in the pool. This data gets written</t>
        </is>
      </c>
      <c r="E428" t="n">
        <v>0.0051</v>
      </c>
      <c r="F428" t="n">
        <v>0.0333</v>
      </c>
      <c r="G428" t="n">
        <v>0.1261</v>
      </c>
      <c r="H428" t="inlineStr">
        <is>
          <t>The provided code is a Java implementation of an Observable Publisher pattern using RxJava's `PublishSubject` and `SerializedSubject` classes for publishing Hystrix command execution started events to multiple observers (subscribers). The class maintains a concurrency map with thread pool keys as the key and their corresponding subjects as values. 
Here are some details</t>
        </is>
      </c>
      <c r="I428" t="n">
        <v>0.0035</v>
      </c>
      <c r="J428" t="n">
        <v>0.06560000000000001</v>
      </c>
      <c r="K428" t="n">
        <v>0.121</v>
      </c>
      <c r="L428" t="inlineStr">
        <is>
          <t>The code provided is a Java class for publishing Hystrix command execution started events to an Observable stream per thread pool key. It uses RxJava (Reactive Extensions) for the implementation of this functionality. The main purpose of this class seems to be to provide observables that emit {@link HystrixCommandExecutionStarted} instances when commands are started in specific threads within pools defined</t>
        </is>
      </c>
      <c r="M428" t="n">
        <v>0</v>
      </c>
      <c r="N428" t="n">
        <v>0.0588</v>
      </c>
      <c r="O428" t="n">
        <v>0.1136</v>
      </c>
    </row>
    <row r="429">
      <c r="A429" t="inlineStr">
        <is>
          <t>hystrix</t>
        </is>
      </c>
      <c r="B429" t="inlineStr">
        <is>
          <t>hystrix-core/src/main/java/com/netflix/hystrix/metric/HystrixRequestEvents.java</t>
        </is>
      </c>
      <c r="C429">
        <f>HYPERLINK("https://github.com/Netflix/Hystrix/blob/master/hystrix-core/src/main/java/com/netflix/hystrix/metric/HystrixRequestEvents.java")</f>
        <v/>
      </c>
      <c r="D429" t="inlineStr">
        <is>
          <t>The code you provided is a Java class named HystrixRequestEvents that appears to be part of the Netflix's Hystrix library for handling fallbacks and fault tolerance in distributed systems. The class provides functionality related to event tracking and collapsing requests into batches for better performance or resource usage. It uses various classes from the Hystrix package such as ExecutionResult, H</t>
        </is>
      </c>
      <c r="E429" t="n">
        <v>0.0036</v>
      </c>
      <c r="F429" t="n">
        <v>0.058</v>
      </c>
      <c r="G429" t="n">
        <v>0.07580000000000001</v>
      </c>
      <c r="H429" t="inlineStr">
        <is>
          <t>The function provided is a simple addition operation between two numbers 'a' and 'b'. The functionality of the code can be summarized as follows: "It takes in two parameters (numbers), adds them together, and returns the result." This code has O(1) complexity since it performs a single arithmetic operation regardless of input size.
#include &lt;stdio.h</t>
        </is>
      </c>
      <c r="I429" t="n">
        <v>0.0044</v>
      </c>
      <c r="J429" t="n">
        <v>0.0615</v>
      </c>
      <c r="K429" t="n">
        <v>0.1181</v>
      </c>
      <c r="L429" t="inlineStr">
        <is>
          <t>The provided code is a Java class named `HystrixRequestEvents` that handles metrics for Hystrix commands and collapsers. It's part of the Netflix Hystrix library which provides fault tolerance patterns to improve stability and resilience in distributed systems.
Here are some key points about this class:
1. The main purpose of this class seems to</t>
        </is>
      </c>
      <c r="M429" t="n">
        <v>0.0034</v>
      </c>
      <c r="N429" t="n">
        <v>0.0317</v>
      </c>
      <c r="O429" t="n">
        <v>0.119</v>
      </c>
    </row>
    <row r="430">
      <c r="A430" t="inlineStr">
        <is>
          <t>hystrix</t>
        </is>
      </c>
      <c r="B430" t="inlineStr">
        <is>
          <t>hystrix-core/src/main/java/com/netflix/hystrix/metric/HystrixEventStream.java</t>
        </is>
      </c>
      <c r="C430">
        <f>HYPERLINK("https://github.com/Netflix/Hystrix/blob/master/hystrix-core/src/main/java/com/netflix/hystrix/metric/HystrixEventStream.java")</f>
        <v/>
      </c>
      <c r="D430" t="inlineStr">
        <is>
          <t>The code provided is an interface named HystrixEventStream that extends Observable class from RxJava library and defines a method called observe(). This interface provides the functionality to stream events of type E (which needs to be subclass of HystrixEvent). The implementation can consume these individual events or bucket them based on time for further processing.
The license at the top indicates it</t>
        </is>
      </c>
      <c r="E430" t="n">
        <v>0.0039</v>
      </c>
      <c r="F430" t="n">
        <v>0.0571</v>
      </c>
      <c r="G430" t="n">
        <v>0.1493</v>
      </c>
      <c r="H430" t="inlineStr">
        <is>
          <t>The code you provided is a Java interface named `HystrixEventStream` that extends an abstract class or interface called `HystrixEvent`. This interface has one method defined as `observe()` which returns an instance of RxJava's Observable type. The purpose of this method seems to be to provide access to the stream of events emitted by some kind of H</t>
        </is>
      </c>
      <c r="I430" t="n">
        <v>0.0032</v>
      </c>
      <c r="J430" t="n">
        <v>0.0303</v>
      </c>
      <c r="K430" t="n">
        <v>0.0388</v>
      </c>
      <c r="L430" t="inlineStr">
        <is>
          <t>The provided code is a base interface for an observable stream of Hystrix events. It allows consumption by individual Hystrix event or time-based bucketing of these events. The main purpose of this class is to observe and return the Observable object which represents the stream of Hystrix events. This functionality enables real-time monitoring and analysis of system metrics in Netflix's distributed computing</t>
        </is>
      </c>
      <c r="M430" t="n">
        <v>0.0039</v>
      </c>
      <c r="N430" t="n">
        <v>0.0822</v>
      </c>
      <c r="O430" t="n">
        <v>0.1119</v>
      </c>
    </row>
    <row r="431">
      <c r="A431" t="inlineStr">
        <is>
          <t>hystrix</t>
        </is>
      </c>
      <c r="B431" t="inlineStr">
        <is>
          <t>hystrix-core/src/main/java/com/netflix/hystrix/metric/consumer/RollingDistributionStream.java</t>
        </is>
      </c>
      <c r="C431">
        <f>HYPERLINK("https://github.com/Netflix/Hystrix/blob/master/hystrix-core/src/main/java/com/netflix/hystrix/metric/consumer/RollingDistributionStream.java")</f>
        <v/>
      </c>
      <c r="D431" t="inlineStr">
        <is>
          <t>The code provided appears to be a Java implementation of the Hystrix library for handling fault tolerance and resilience in distributed systems. It includes functionality related to metrics collection from an event stream (`HystrixEventStream`), processing these events into `HystrixEvents` (which may include latency histograms or other types of data), storing them in a cache (`Cached</t>
        </is>
      </c>
      <c r="E431" t="n">
        <v>0.004</v>
      </c>
      <c r="F431" t="n">
        <v>0.0635</v>
      </c>
      <c r="G431" t="n">
        <v>0.1181</v>
      </c>
      <c r="H431" t="inlineStr">
        <is>
          <t>The code provided is a Java implementation of the Hystrix metric consumer package which handles backend software components and implements core algorithms for metrics consumption. The complexity appears to be O(N), where N represents the number of events in an event stream. It's noteworthy that this repository contains licensing information about Apache License 2.0.
The main class `Hyst</t>
        </is>
      </c>
      <c r="I431" t="n">
        <v>0.007900000000000001</v>
      </c>
      <c r="J431" t="n">
        <v>0.08699999999999999</v>
      </c>
      <c r="K431" t="n">
        <v>0.2862</v>
      </c>
      <c r="L431" t="inlineStr">
        <is>
          <t>The provided code is part of Netflix's Hystrix library and it deals with the consumption of metrics from a stream of events emitted by various services in an application. The main purpose of this code seems to be to consume these events asynchronously using RxJava (Reactive Extensions for Java) and process them into histograms that can later be used for statistical analysis.</t>
        </is>
      </c>
      <c r="M431" t="n">
        <v>0.0029</v>
      </c>
      <c r="N431" t="n">
        <v>0.0563</v>
      </c>
      <c r="O431" t="n">
        <v>0.1119</v>
      </c>
    </row>
    <row r="432">
      <c r="A432" t="inlineStr">
        <is>
          <t>hystrix</t>
        </is>
      </c>
      <c r="B432" t="inlineStr">
        <is>
          <t>hystrix-core/src/main/java/com/netflix/hystrix/metric/consumer/CumulativeThreadPoolEventCounterStream.java</t>
        </is>
      </c>
      <c r="C432">
        <f>HYPERLINK("https://github.com/Netflix/Hystrix/blob/master/hystrix-core/src/main/java/com/netflix/hystrix/metric/consumer/CumulativeThreadPoolEventCounterStream.java")</f>
        <v/>
      </c>
      <c r="D432" t="inlineStr">
        <is>
          <t>The code provided is a Java implementation of the Hystrix library from Netflix for handling fault tolerance and resilience in distributed systems. It provides metrics consumers to track thread pool related events such as command execution completion or timeout occurrences. The license details at the top indicate that this software can be used under Apache License 2.0 terms.
# You may obtain a copy</t>
        </is>
      </c>
      <c r="E432" t="n">
        <v>0.0034</v>
      </c>
      <c r="F432" t="n">
        <v>0.0556</v>
      </c>
      <c r="G432" t="n">
        <v>0.2735</v>
      </c>
      <c r="H432" t="inlineStr">
        <is>
          <t>The code you provided is a Java function that performs addition of two numbers (`a + b`). It's complexity is O(1), meaning it takes constant time to execute regardless of the input size or value. The repository in question contains backend software components implementing core algorithms and data structures used by Netflix services. Its complexity can be considered as O(n), where n represents the number</t>
        </is>
      </c>
      <c r="I432" t="n">
        <v>0.0037</v>
      </c>
      <c r="J432" t="n">
        <v>0.1067</v>
      </c>
      <c r="K432" t="n">
        <v>0.2715</v>
      </c>
      <c r="L432" t="inlineStr">
        <is>
          <t>The provided code is a part of Netflix's Hystrix library for handling fault tolerance in distributed systems. It provides metrics collection and event notification functionality related to thread pools within the system. The main purpose of this component appears to be collecting and processing various operational statistics about command execution threads.
There are two primary inputs into this function - an instance of `HystrixThreadPool</t>
        </is>
      </c>
      <c r="M432" t="n">
        <v>0.0034</v>
      </c>
      <c r="N432" t="n">
        <v>0.0556</v>
      </c>
      <c r="O432" t="n">
        <v>0.1103</v>
      </c>
    </row>
    <row r="433">
      <c r="A433" t="inlineStr">
        <is>
          <t>hystrix</t>
        </is>
      </c>
      <c r="B433" t="inlineStr">
        <is>
          <t>hystrix-core/src/main/java/com/netflix/hystrix/metric/consumer/RollingThreadPoolMaxConcurrencyStream.java</t>
        </is>
      </c>
      <c r="C433">
        <f>HYPERLINK("https://github.com/Netflix/Hystrix/blob/master/hystrix-core/src/main/java/com/netflix/hystrix/metric/consumer/RollingThreadPoolMaxConcurrencyStream.java")</f>
        <v/>
      </c>
      <c r="D433" t="inlineStr">
        <is>
          <t>The provided code is a part of the Hystrix library for Java which provides metrics collection and circuit breaking functionality in distributed systems. It maintains a stream of max concurrency count using a rolling README file. The complexity of this implementation is O(n), where n represents the number of threads in the pool. This class uses ConcurrentHashMaps to store thread properties and starts a new stream</t>
        </is>
      </c>
      <c r="E433" t="n">
        <v>0.0036</v>
      </c>
      <c r="F433" t="n">
        <v>0.08</v>
      </c>
      <c r="G433" t="n">
        <v>0.1449</v>
      </c>
      <c r="H433" t="inlineStr">
        <is>
          <t>The provided code is a Java class that maintains a stream of max concurrency for Hystrix thread pools. It uses the ConcurrentHashMap to store and calculate roll values. The complexity of this function is O(n), where n represents the number of threads in the pool. This is because it iterates over all entries in the map once when calculating the rolling count.
The</t>
        </is>
      </c>
      <c r="I433" t="n">
        <v>0.0034</v>
      </c>
      <c r="J433" t="n">
        <v>0.0556</v>
      </c>
      <c r="K433" t="n">
        <v>0.1111</v>
      </c>
      <c r="L433" t="inlineStr">
        <is>
          <t>The code provided is a Java class named `HystrixMaxConcurrencyCommand` which maintains a stream of max concurrency for Hystrix commands. It does this by using the `HystrixThreadPoolStartStream` to calculate and store these values in a thread pool specific Concurrent Hash Map (CHMC). The purpose of this class seems to be to monitor or manage the maximum number</t>
        </is>
      </c>
      <c r="M433" t="n">
        <v>0.0033</v>
      </c>
      <c r="N433" t="n">
        <v>0.0625</v>
      </c>
      <c r="O433" t="n">
        <v>0.1172</v>
      </c>
    </row>
    <row r="434">
      <c r="A434" t="inlineStr">
        <is>
          <t>hystrix</t>
        </is>
      </c>
      <c r="B434" t="inlineStr">
        <is>
          <t>hystrix-core/src/main/java/com/netflix/hystrix/metric/consumer/RollingCommandMaxConcurrencyStream.java</t>
        </is>
      </c>
      <c r="C434">
        <f>HYPERLINK("https://github.com/Netflix/Hystrix/blob/master/hystrix-core/src/main/java/com/netflix/hystrix/metric/consumer/RollingCommandMaxConcurrencyStream.java")</f>
        <v/>
      </c>
      <c r="D434" t="inlineStr">
        <is>
          <t>The provided code is a Java implementation of the Hystrix library's command start stream feature for maintaining streams of maximum concurrency seen by each individual command in an application. It uses ConcurrentHashMap to store these streams and provides methods to add new commands or update existing ones with their corresponding max concurrency value. The complexity of this operation is O(n), where n represents the number of</t>
        </is>
      </c>
      <c r="E434" t="n">
        <v>0.0028</v>
      </c>
      <c r="F434" t="n">
        <v>0.0526</v>
      </c>
      <c r="G434" t="n">
        <v>0.1449</v>
      </c>
      <c r="H434" t="inlineStr">
        <is>
          <t>The function provided is a simple addition operation in Python that takes two parameters and returns their sum. The complexity of this code is O(1), meaning it performs the same number of operations regardless of input size. It's also licensed under Apache 2.0 License which means you can use, modify or distribute it freely as long as you comply with its terms.
```python</t>
        </is>
      </c>
      <c r="I434" t="n">
        <v>0.0029</v>
      </c>
      <c r="J434" t="n">
        <v>0.0541</v>
      </c>
      <c r="K434" t="n">
        <v>0.1111</v>
      </c>
      <c r="L434" t="inlineStr">
        <is>
          <t>The code provided is a Java class that maintains a stream of the maximum concurrency seen by this command in Hystrix library for distributed computing.
It does so by extending `HystrixCommand` and overriding its methods to track metrics such as execution time, error counts etc. The main purpose of this class seems to be to monitor and manage these metrics efficiently.</t>
        </is>
      </c>
      <c r="M434" t="n">
        <v>0.003</v>
      </c>
      <c r="N434" t="n">
        <v>0.058</v>
      </c>
      <c r="O434" t="n">
        <v>0.0752</v>
      </c>
    </row>
    <row r="435">
      <c r="A435" t="inlineStr">
        <is>
          <t>hystrix</t>
        </is>
      </c>
      <c r="B435" t="inlineStr">
        <is>
          <t>hystrix-core/src/main/java/com/netflix/hystrix/metric/consumer/HealthCountsStream.java</t>
        </is>
      </c>
      <c r="C435">
        <f>HYPERLINK("https://github.com/Netflix/Hystrix/blob/master/hystrix-core/src/main/java/com/netflix/hystrix/metric/consumer/HealthCountsStream.java")</f>
        <v/>
      </c>
      <c r="D435" t="inlineStr">
        <is>
          <t>The provided code is a Java implementation of Netflix's Hystrix library for handling fault tolerance and resilience in distributed systems. It provides a way to isolate points of access to remote services or resources from the primary system by using fallbacks, circuit breakers, timeouts etc., thereby reducing the likelihood of failure cascades. The code defines an interface (`HystrixCommand</t>
        </is>
      </c>
      <c r="E435" t="n">
        <v>0.0031</v>
      </c>
      <c r="F435" t="n">
        <v>0.0597</v>
      </c>
      <c r="G435" t="n">
        <v>0.1154</v>
      </c>
      <c r="H435" t="inlineStr">
        <is>
          <t>The code provided is a Java class that implements the Hystrix library for handling fault tolerance and resilience in distributed systems. It contains methods to measure command metrics such as execution times, error rates etc., using an event stream model. The license at the top of the file specifies conditions under which this software can be used and modified.
Please provide a concise, clear, and</t>
        </is>
      </c>
      <c r="I435" t="n">
        <v>0.0037</v>
      </c>
      <c r="J435" t="n">
        <v>0.0822</v>
      </c>
      <c r="K435" t="n">
        <v>0.2715</v>
      </c>
      <c r="L435" t="inlineStr">
        <is>
          <t>The provided code is a part of the Hystrix library for Java. It's used to monitor and control command execution in distributed systems using Netflix OSS. The main purpose of this code seems to be monitoring metrics related to commands executed by an instance of `HystrixCommand`.
Here are some key operations identified based on its logic:
1. Initialization</t>
        </is>
      </c>
      <c r="M435" t="n">
        <v>0.0031</v>
      </c>
      <c r="N435" t="n">
        <v>0.0597</v>
      </c>
      <c r="O435" t="n">
        <v>0.1154</v>
      </c>
    </row>
    <row r="436">
      <c r="A436" t="inlineStr">
        <is>
          <t>hystrix</t>
        </is>
      </c>
      <c r="B436" t="inlineStr">
        <is>
          <t>hystrix-core/src/main/java/com/netflix/hystrix/metric/consumer/RollingCollapserBatchSizeDistributionStream.java</t>
        </is>
      </c>
      <c r="C436">
        <f>HYPERLINK("https://github.com/Netflix/Hystrix/blob/master/hystrix-core/src/main/java/com/netflix/hystrix/metric/consumer/RollingCollapserBatchSizeDistributionStream.java")</f>
        <v/>
      </c>
      <c r="D436" t="inlineStr">
        <is>
          <t>The code provided is a part of the Hystrix library for Java which provides tools to handle failures in distributed systems by implementing fault tolerance patterns such as circuit breakers and fallbacks. It includes classes related to metric consumer that collapses metrics into larger groups or buckets based on certain criteria (collapser). The license information at the top indicates it's licensed under Apache 2.</t>
        </is>
      </c>
      <c r="E436" t="n">
        <v>0.0028</v>
      </c>
      <c r="F436" t="n">
        <v>0.0548</v>
      </c>
      <c r="G436" t="n">
        <v>0.1103</v>
      </c>
      <c r="H436" t="inlineStr">
        <is>
          <t>The code provided is a Java package that contains backend software components for Netflix's Hystrix library. It implements core algorithms used in the library to manage and monitor circuit breakers. The complexity of this code seems high as it involves handling concurrency, thread synchronization, event stream management, collapsing requests into batches etc., which could be O(n). However, without more</t>
        </is>
      </c>
      <c r="I436" t="n">
        <v>0.0078</v>
      </c>
      <c r="J436" t="n">
        <v>0.1159</v>
      </c>
      <c r="K436" t="n">
        <v>0.3255</v>
      </c>
      <c r="L436" t="inlineStr">
        <is>
          <t>The provided code is part of Netflix's Hystrix library and it deals with the consumption of metrics from a collapsed stream of commands. It uses an event stream to store command execution data which can be later used for aggregating these events into a histogram or other metric representation. The main purpose of this class seems to be to collapse multiple individual requests into one larger request in order to</t>
        </is>
      </c>
      <c r="M436" t="n">
        <v>0.0026</v>
      </c>
      <c r="N436" t="n">
        <v>0.0253</v>
      </c>
      <c r="O436" t="n">
        <v>0.1056</v>
      </c>
    </row>
    <row r="437">
      <c r="A437" t="inlineStr">
        <is>
          <t>hystrix</t>
        </is>
      </c>
      <c r="B437" t="inlineStr">
        <is>
          <t>hystrix-core/src/main/java/com/netflix/hystrix/metric/consumer/RollingConcurrencyStream.java</t>
        </is>
      </c>
      <c r="C437">
        <f>HYPERLINK("https://github.com/Netflix/Hystrix/blob/master/hystrix-core/src/main/java/com/netflix/hystrix/metric/consumer/RollingConcurrencyStream.java")</f>
        <v/>
      </c>
      <c r="D437" t="inlineStr">
        <is>
          <t>The code provided appears to be a Java implementation of the Hystrix library for network fault tolerance and resilience in distributed systems. It includes an event stream consumer that listens to command execution events from Hystrix's internal metrics system. The license at the top indicates it is licensed under Apache 2.0 which allows free use, modification, distribution etc., subject to conditions specified by</t>
        </is>
      </c>
      <c r="E437" t="n">
        <v>0.0029</v>
      </c>
      <c r="F437" t="n">
        <v>0.0548</v>
      </c>
      <c r="G437" t="n">
        <v>0.0741</v>
      </c>
      <c r="H437" t="inlineStr">
        <is>
          <t>The provided code is a Java class that implements an event stream consumer for Hystrix metrics using RxJava observables and subjects. The main functionality of this component involves consuming events from the Hystrix event stream and updating command execution started metrics accordingly. It also provides methods to observe these updates as well as update them manually.
The complexity of this implementation is O(n), where</t>
        </is>
      </c>
      <c r="I437" t="n">
        <v>0.0037</v>
      </c>
      <c r="J437" t="n">
        <v>0.0822</v>
      </c>
      <c r="K437" t="n">
        <v>0.1471</v>
      </c>
      <c r="L437" t="inlineStr">
        <is>
          <t>The provided code is part of the Hystrix library for Java and it's used to consume metrics from a command execution in an RxJava environment. The main purpose of this class seems to be managing command execution events (started or completed) by subscribing to an event stream using RxJava observables. 
It has methods related to creating commands that can execute as</t>
        </is>
      </c>
      <c r="M437" t="n">
        <v>0.003</v>
      </c>
      <c r="N437" t="n">
        <v>0.0286</v>
      </c>
      <c r="O437" t="n">
        <v>0.1128</v>
      </c>
    </row>
    <row r="438">
      <c r="A438" t="inlineStr">
        <is>
          <t>hystrix</t>
        </is>
      </c>
      <c r="B438" t="inlineStr">
        <is>
          <t>hystrix-core/src/main/java/com/netflix/hystrix/metric/consumer/CumulativeCollapserEventCounterStream.java</t>
        </is>
      </c>
      <c r="C438">
        <f>HYPERLINK("https://github.com/Netflix/Hystrix/blob/master/hystrix-core/src/main/java/com/netflix/hystrix/metric/consumer/CumulativeCollapserEventCounterStream.java")</f>
        <v/>
      </c>
      <c r="D438" t="inlineStr">
        <is>
          <t>The provided code is a part of the Hystrix library for Java, which provides fault tolerance patterns to your applications by isolating points of access to services and resources so that if a service fails, instead of crashing the entire application, it can fall back on an alternative response or default value. This implementation involves using metrics consumers to collate data from various sources about command execution times, error rates</t>
        </is>
      </c>
      <c r="E438" t="n">
        <v>0.0031</v>
      </c>
      <c r="F438" t="n">
        <v>0.0513</v>
      </c>
      <c r="G438" t="n">
        <v>0.1408</v>
      </c>
      <c r="H438" t="inlineStr">
        <is>
          <t>The code provided is a Java class that implements the Hystrix library for handling fallbacks and fault tolerance in distributed systems. The specific part of interest appears to be an implementation of collapsing requests into larger batches - this can help reduce network traffic by reducing the number of individual requests made.
However, without more context or details about what exactly you're asking (like which</t>
        </is>
      </c>
      <c r="I438" t="n">
        <v>0.0033</v>
      </c>
      <c r="J438" t="n">
        <v>0.0548</v>
      </c>
      <c r="K438" t="n">
        <v>0.146</v>
      </c>
      <c r="L438" t="inlineStr">
        <is>
          <t>The provided code is a part of the Netflix Hystrix library for Java. It's used to handle metrics and events related to collapsing requests into one or more commands. The main purpose of this component seems to be managing and tracking these metrics in real time.
From an overall perspective, it appears to provide functionality for handling large numbers of operations by batching them together</t>
        </is>
      </c>
      <c r="M438" t="n">
        <v>0.0033</v>
      </c>
      <c r="N438" t="n">
        <v>0.0541</v>
      </c>
      <c r="O438" t="n">
        <v>0.1095</v>
      </c>
    </row>
    <row r="439">
      <c r="A439" t="inlineStr">
        <is>
          <t>hystrix</t>
        </is>
      </c>
      <c r="B439" t="inlineStr">
        <is>
          <t>hystrix-core/src/main/java/com/netflix/hystrix/metric/consumer/RollingCommandUserLatencyDistributionStream.java</t>
        </is>
      </c>
      <c r="C439">
        <f>HYPERLINK("https://github.com/Netflix/Hystrix/blob/master/hystrix-core/src/main/java/com/netflix/hystrix/metric/consumer/RollingCommandUserLatencyDistributionStream.java")</f>
        <v/>
      </c>
      <c r="D439" t="inlineStr">
        <is>
          <t>The code provided is for a metric consumer in the Hystrix library of Netflix OSS (Open Source Software). It's used to consume metrics from commands and collapses them into larger requests if possible. The complexity of this implementation appears to be linear due to its use of loops or iterations over data structures like lists but it may not fully utilize all available resources as per the conditions specified</t>
        </is>
      </c>
      <c r="E439" t="n">
        <v>0.0026</v>
      </c>
      <c r="F439" t="n">
        <v>0.0513</v>
      </c>
      <c r="G439" t="n">
        <v>0.1418</v>
      </c>
      <c r="H439" t="inlineStr">
        <is>
          <t>The provided code is a Java implementation of the Hystrix library from Netflix for managing fault tolerance and resilience in distributed systems. It contains several classes related to metrics collection and consumption. The main class `HystrixCommandCompletion` represents an individual command execution event with timing information and success or failure status.
The function add() seems not be defined here as it'</t>
        </is>
      </c>
      <c r="I439" t="n">
        <v>0.003</v>
      </c>
      <c r="J439" t="n">
        <v>0.0588</v>
      </c>
      <c r="K439" t="n">
        <v>0.1136</v>
      </c>
      <c r="L439" t="inlineStr">
        <is>
          <t>The provided code is a part of Netflix's Hystrix library for handling fault tolerance patterns in distributed systems. It defines the `MetricConsumer` class which consumes metrics from commands executed via Hystrix and collapses them into more complex aggregated data structures.
Main purpose of this component seems to be consuming command execution events (successful or failed executions)</t>
        </is>
      </c>
      <c r="M439" t="n">
        <v>0.0033</v>
      </c>
      <c r="N439" t="n">
        <v>0.0308</v>
      </c>
      <c r="O439" t="n">
        <v>0.1172</v>
      </c>
    </row>
    <row r="440">
      <c r="A440" t="inlineStr">
        <is>
          <t>hystrix</t>
        </is>
      </c>
      <c r="B440" t="inlineStr">
        <is>
          <t>hystrix-core/src/main/java/com/netflix/hystrix/metric/consumer/HystrixDashboardStream.java</t>
        </is>
      </c>
      <c r="C440">
        <f>HYPERLINK("https://github.com/Netflix/Hystrix/blob/master/hystrix-core/src/main/java/com/netflix/hystrix/metric/consumer/HystrixDashboardStream.java")</f>
        <v/>
      </c>
      <c r="D440" t="inlineStr">
        <is>
          <t>The provided code is a Java implementation of core algorithms used in backend software components such as Hystrix metrics consumers for managing and monitoring the performance of distributed systems. It uses RxJava (Reactive Extensions for Java), which provides APIs to compose asynchronous programming by using observable sequences. The copyright notice at the top indicates that this code is licensed under Apache License 2.0.</t>
        </is>
      </c>
      <c r="E440" t="n">
        <v>0.0038</v>
      </c>
      <c r="F440" t="n">
        <v>0.0833</v>
      </c>
      <c r="G440" t="n">
        <v>0.2222</v>
      </c>
      <c r="H440" t="inlineStr">
        <is>
          <t>The code provided is a Java implementation of the Hystrix metrics consumer package from Netflix's open source library for distributed computing and fault tolerance. It provides various classes to monitor command execution metrics such as request volume, error rate, thread pool utilization etc., among others. The complexity here is O(N), where N represents the number of commands being monitored by this class.</t>
        </is>
      </c>
      <c r="I440" t="n">
        <v>0.0029</v>
      </c>
      <c r="J440" t="n">
        <v>0.0556</v>
      </c>
      <c r="K440" t="n">
        <v>0.1119</v>
      </c>
      <c r="L440" t="inlineStr">
        <is>
          <t>The code provided is a part of Netflix's Hystrix library for handling fault tolerance and resilience in distributed systems. It provides metrics consumers to observe the performance characteristics of various parts of an application including command execution time, thread pool utilization etc. The main purpose of this module seems to be providing observables that can be subscribed on to get updates about these metrics.</t>
        </is>
      </c>
      <c r="M440" t="n">
        <v>0.0034</v>
      </c>
      <c r="N440" t="n">
        <v>0.0548</v>
      </c>
      <c r="O440" t="n">
        <v>0.1471</v>
      </c>
    </row>
    <row r="441">
      <c r="A441" t="inlineStr">
        <is>
          <t>hystrix</t>
        </is>
      </c>
      <c r="B441" t="inlineStr">
        <is>
          <t>hystrix-core/src/main/java/com/netflix/hystrix/metric/consumer/RollingCollapserEventCounterStream.java</t>
        </is>
      </c>
      <c r="C441">
        <f>HYPERLINK("https://github.com/Netflix/Hystrix/blob/master/hystrix-core/src/main/java/com/netflix/hystrix/metric/consumer/RollingCollapserEventCounterStream.java")</f>
        <v/>
      </c>
      <c r="D441" t="inlineStr">
        <is>
          <t>The code provided is a part of Netflix's Hystrix library for managing and monitoring the execution of complex tasks in distributed systems. It provides functionality to collapse multiple requests into one by reducing network calls and improving performance. The license under which this software can be used and modified is specified at the top of the file. This repository contains backend components implementing core algorithms related to handling failures and latency issues</t>
        </is>
      </c>
      <c r="E441" t="n">
        <v>0.0038</v>
      </c>
      <c r="F441" t="n">
        <v>0.1235</v>
      </c>
      <c r="G441" t="n">
        <v>0.2961</v>
      </c>
      <c r="H441" t="inlineStr">
        <is>
          <t>The code provided is a Java class that contains methods for monitoring and collapsing metrics from Hystrix, which is a library used in distributed computing to improve fault tolerance. The main functionality of this class revolves around the `getRequestCount` method, which returns the number of requests made by a specific key. It also has other methods related to request execution times, error counts etc., but</t>
        </is>
      </c>
      <c r="I441" t="n">
        <v>0.0033</v>
      </c>
      <c r="J441" t="n">
        <v>0.0274</v>
      </c>
      <c r="K441" t="n">
        <v>0.1095</v>
      </c>
      <c r="L441" t="inlineStr">
        <is>
          <t>The given code is a part of the Hystrix library for Java which provides fault tolerance patterns in distributed systems. This specific piece of code deals with metrics collection and event stream handling related to collapsing requests into larger batches.
It defines an interface `HystrixCollapser` that allows developers to define batch commands where multiple smaller requests are collapsed together into one or</t>
        </is>
      </c>
      <c r="M441" t="n">
        <v>0.0035</v>
      </c>
      <c r="N441" t="n">
        <v>0.0571</v>
      </c>
      <c r="O441" t="n">
        <v>0.1119</v>
      </c>
    </row>
    <row r="442">
      <c r="A442" t="inlineStr">
        <is>
          <t>hystrix</t>
        </is>
      </c>
      <c r="B442" t="inlineStr">
        <is>
          <t>hystrix-core/src/main/java/com/netflix/hystrix/metric/consumer/CumulativeCommandEventCounterStream.java</t>
        </is>
      </c>
      <c r="C442">
        <f>HYPERLINK("https://github.com/Netflix/Hystrix/blob/master/hystrix-core/src/main/java/com/netflix/hystrix/metric/consumer/CumulativeCommandEventCounterStream.java")</f>
        <v/>
      </c>
      <c r="D442" t="inlineStr">
        <is>
          <t>The code provided is a part of the Hystrix library for Netflix which provides fault tolerance patterns to your applications by isolating points of access to services and resources so that if service calls fail, they do not propagate silently or cause chaos in your application. It uses metrics consumers to observe command execution events like successes, failures, timeouts etc., from various sources (like Rib</t>
        </is>
      </c>
      <c r="E442" t="n">
        <v>0.0028</v>
      </c>
      <c r="F442" t="n">
        <v>0.0274</v>
      </c>
      <c r="G442" t="n">
        <v>0.073</v>
      </c>
      <c r="H442" t="inlineStr">
        <is>
          <t>The provided code is a Java class that implements the Hystrix library for handling fault tolerance in distributed systems. It contains several methods related to command metrics and event streams used by Hystrix commands. The complexity of this code seems to be O(n), where n represents the number of events processed. This could vary depending on how the data structure storing these events is implemented.
Here</t>
        </is>
      </c>
      <c r="I442" t="n">
        <v>0.0036</v>
      </c>
      <c r="J442" t="n">
        <v>0.0533</v>
      </c>
      <c r="K442" t="n">
        <v>0.1449</v>
      </c>
      <c r="L442" t="inlineStr">
        <is>
          <t>The provided code is a part of Netflix's Hystrix library and it deals with metrics consumption for commands executed using the Hystrix command pattern in Java.
It defines an interface `MetricConsumer` which consumes metric events from various sources (like HystrixThreadPool) related to Hystrix Commands. The main purpose of this class seems to be to</t>
        </is>
      </c>
      <c r="M442" t="n">
        <v>0.0034</v>
      </c>
      <c r="N442" t="n">
        <v>0.0317</v>
      </c>
      <c r="O442" t="n">
        <v>0.119</v>
      </c>
    </row>
    <row r="443">
      <c r="A443" t="inlineStr">
        <is>
          <t>hystrix</t>
        </is>
      </c>
      <c r="B443" t="inlineStr">
        <is>
          <t>hystrix-core/src/main/java/com/netflix/hystrix/metric/consumer/RollingCommandEventCounterStream.java</t>
        </is>
      </c>
      <c r="C443">
        <f>HYPERLINK("https://github.com/Netflix/Hystrix/blob/master/hystrix-core/src/main/java/com/netflix/hystrix/metric/consumer/RollingCommandEventCounterStream.java")</f>
        <v/>
      </c>
      <c r="D443" t="inlineStr">
        <is>
          <t>The code provided is a Java implementation of Hystrix metrics consumer which is used for collecting and processing the command execution data in an asynchronous manner. It's licensed under Apache License 2.0. The license allows anyone to use this software but requires them to include the original copyright notice and disclaimer with any copies or substantial portions of it. This includes obtaining a copy of the license</t>
        </is>
      </c>
      <c r="E443" t="n">
        <v>0.0036</v>
      </c>
      <c r="F443" t="n">
        <v>0.0779</v>
      </c>
      <c r="G443" t="n">
        <v>0.1799</v>
      </c>
      <c r="H443" t="inlineStr">
        <is>
          <t>The code provided is a Java implementation of the Hystrix library's metric consumer for command completion events. It uses RxJava (Reactive Extensions for Java), specifically `Func2` from rx.functions package to handle these events and perform some operations on them. The complexity here can be considered as O(n). This means that with an increase in input size n, the</t>
        </is>
      </c>
      <c r="I443" t="n">
        <v>0.0037</v>
      </c>
      <c r="J443" t="n">
        <v>0.08699999999999999</v>
      </c>
      <c r="K443" t="n">
        <v>0.1538</v>
      </c>
      <c r="L443" t="inlineStr">
        <is>
          <t>The provided code is a part of Netflix's Hystrix library for handling fallbacks and fault tolerance in distributed systems. The main purpose of this class seems to be consuming metrics from commands executed using the Hystrix framework.
It defines several methods related to command execution events like failure, success, timeout etc., which are then used by other components (like dashboard) to</t>
        </is>
      </c>
      <c r="M443" t="n">
        <v>0.003</v>
      </c>
      <c r="N443" t="n">
        <v>0.0286</v>
      </c>
      <c r="O443" t="n">
        <v>0.1128</v>
      </c>
    </row>
    <row r="444">
      <c r="A444" t="inlineStr">
        <is>
          <t>hystrix</t>
        </is>
      </c>
      <c r="B444" t="inlineStr">
        <is>
          <t>hystrix-core/src/main/java/com/netflix/hystrix/metric/consumer/RollingCommandLatencyDistributionStream.java</t>
        </is>
      </c>
      <c r="C444">
        <f>HYPERLINK("https://github.com/Netflix/Hystrix/blob/master/hystrix-core/src/main/java/com/netflix/hystrix/metric/consumer/RollingCommandLatencyDistributionStream.java")</f>
        <v/>
      </c>
      <c r="D444" t="inlineStr">
        <is>
          <t>The provided code is a Java implementation of Netflix's Hystrix library for distributed system fault tolerance and latency resilience. It provides functionality to consume metrics from commands executed using the Hystrix framework. The license under which this software can be used is Apache 2.0. This repository contains backend components that implement core algorithms related to fault tolerance in distributed systems.
It</t>
        </is>
      </c>
      <c r="E444" t="n">
        <v>0.0045</v>
      </c>
      <c r="F444" t="n">
        <v>0.1127</v>
      </c>
      <c r="G444" t="n">
        <v>0.3206</v>
      </c>
      <c r="H444" t="inlineStr">
        <is>
          <t>The code you provided is a Java implementation of the Hystrix library for handling fallbacks and fault tolerance in distributed systems. It includes various classes related to command metrics such as `HystrixCommandCompletion`, `HystrixCommandCompletionStream`, and `HystrixCommandEvent` which handle command execution events. The complexity of this code seems to be O(n),</t>
        </is>
      </c>
      <c r="I444" t="n">
        <v>0.0037</v>
      </c>
      <c r="J444" t="n">
        <v>0.06900000000000001</v>
      </c>
      <c r="K444" t="n">
        <v>0.124</v>
      </c>
      <c r="L444" t="inlineStr">
        <is>
          <t>The provided code is a part of Netflix's Hystrix library for handling fault tolerance patterns in distributed systems. It provides metrics collection and event tracking functionality related to the execution of commands within the system. The main purpose of this module appears to be collecting command completion statistics from various sources (like threads or queues) into an internal stream.
It does so by defining custom events</t>
        </is>
      </c>
      <c r="M444" t="n">
        <v>0.0036</v>
      </c>
      <c r="N444" t="n">
        <v>0.0533</v>
      </c>
      <c r="O444" t="n">
        <v>0.1449</v>
      </c>
    </row>
    <row r="445">
      <c r="A445" t="inlineStr">
        <is>
          <t>hystrix</t>
        </is>
      </c>
      <c r="B445" t="inlineStr">
        <is>
          <t>hystrix-core/src/main/java/com/netflix/hystrix/metric/consumer/BucketedRollingCounterStream.java</t>
        </is>
      </c>
      <c r="C445">
        <f>HYPERLINK("https://github.com/Netflix/Hystrix/blob/master/hystrix-core/src/main/java/com/netflix/hystrix/metric/consumer/BucketedRollingCounterStream.java")</f>
        <v/>
      </c>
      <c r="D445" t="inlineStr">
        <is>
          <t>The provided code is a Java implementation of the Hystrix library for distributed computing and fault tolerance patterns in microservices architecture. It's part of Netflix's open source project. The main functionality it provides is to consume metrics from an event stream (`HystrixEventStream`), process them using RxJava Observables, and store or distribute these events as counters within a</t>
        </is>
      </c>
      <c r="E445" t="n">
        <v>0.0038</v>
      </c>
      <c r="F445" t="n">
        <v>0.0896</v>
      </c>
      <c r="G445" t="n">
        <v>0.1163</v>
      </c>
      <c r="H445" t="inlineStr">
        <is>
          <t>The code provided is a Java implementation of the BucketedCounterStream class from Hystrix library for handling metrics in an event stream. It uses RxJava (Reactive Extensions for Java), which provides support for composing asynchronous and event-based programs using observable sequences. The complexity of this algorithm seems to be O(n).
&lt;jupyter_output&gt;</t>
        </is>
      </c>
      <c r="I445" t="n">
        <v>0.0037</v>
      </c>
      <c r="J445" t="n">
        <v>0.06560000000000001</v>
      </c>
      <c r="K445" t="n">
        <v>0.1639</v>
      </c>
      <c r="L445" t="inlineStr">
        <is>
          <t>ThegivenJava code is a part of Netflix's Hystrix library which implements circuit breakers and other fault tolerance patterns in distributed systems. The main purpose of this code seems to be reducing the number of buckets (time slots) at once by refining {@link BucketedCounterStream}. This can potentially improve performance or reduce memory usage when dealing with high frequency data streams. However</t>
        </is>
      </c>
      <c r="M445" t="n">
        <v>0.004</v>
      </c>
      <c r="N445" t="n">
        <v>0.058</v>
      </c>
      <c r="O445" t="n">
        <v>0.1515</v>
      </c>
    </row>
    <row r="446">
      <c r="A446" t="inlineStr">
        <is>
          <t>hystrix</t>
        </is>
      </c>
      <c r="B446" t="inlineStr">
        <is>
          <t>hystrix-core/src/main/java/com/netflix/hystrix/metric/consumer/BucketedCounterStream.java</t>
        </is>
      </c>
      <c r="C446">
        <f>HYPERLINK("https://github.com/Netflix/Hystrix/blob/master/hystrix-core/src/main/java/com/netflix/hystrix/metric/consumer/BucketedCounterStream.java")</f>
        <v/>
      </c>
      <c r="D446" t="inlineStr">
        <is>
          <t>The code provided appears to be a Java implementation of the Hystrix library for handling fault tolerance in distributed systems. It includes an interface `MetricConsumer` and its implementations like `RollingNumberEventStream` which is used to consume metrics from a stream of events using RxJava (Reactive Extensions). The license at the top indicates that this software may not be used except</t>
        </is>
      </c>
      <c r="E446" t="n">
        <v>0.0037</v>
      </c>
      <c r="F446" t="n">
        <v>0.0597</v>
      </c>
      <c r="G446" t="n">
        <v>0.284</v>
      </c>
      <c r="H446" t="inlineStr">
        <is>
          <t>The code you provided is a Java implementation of the Hystrix metric consumer package from Netflix. It uses RxJava for handling asynchronous events and observables. The main functionality it provides includes consuming metrics from an event stream using BehaviorSubject to store last known value and Observable pattern to handle incoming data streams. This component handles core algorithms related to circuit breakers in distributed systems.</t>
        </is>
      </c>
      <c r="I446" t="n">
        <v>0.004</v>
      </c>
      <c r="J446" t="n">
        <v>0.0833</v>
      </c>
      <c r="K446" t="n">
        <v>0.1838</v>
      </c>
      <c r="L446" t="inlineStr">
        <is>
          <t>The provided code is a part of Netflix's Hystrix library for distributed system metrics collection and event streaming. The main purpose of this component seems to be the consumption of Hystrix events from an observable stream and processing them into metric data that can be consumed by other components in the system.
The core functionality includes creating a BehaviorSubject instance which acts as a buffer between</t>
        </is>
      </c>
      <c r="M446" t="n">
        <v>0.0065</v>
      </c>
      <c r="N446" t="n">
        <v>0.08</v>
      </c>
      <c r="O446" t="n">
        <v>0.2287</v>
      </c>
    </row>
    <row r="447">
      <c r="A447" t="inlineStr">
        <is>
          <t>hystrix</t>
        </is>
      </c>
      <c r="B447" t="inlineStr">
        <is>
          <t>hystrix-core/src/main/java/com/netflix/hystrix/metric/consumer/BucketedCumulativeCounterStream.java</t>
        </is>
      </c>
      <c r="C447">
        <f>HYPERLINK("https://github.com/Netflix/Hystrix/blob/master/hystrix-core/src/main/java/com/netflix/hystrix/metric/consumer/BucketedCumulativeCounterStream.java")</f>
        <v/>
      </c>
      <c r="D447" t="inlineStr">
        <is>
          <t>The code provided is a Java implementation of the Hystrix library for distributed computing and fault tolerance patterns in microservices architectures. It's part of Netflix's open source project which provides tools to improve resilience and reliability when executing complex tasks such as accessing remote services or commands. The main functionality it offers includes accumulating counters infinitely in a bucket reduction strategy that can be</t>
        </is>
      </c>
      <c r="E447" t="n">
        <v>0.0034</v>
      </c>
      <c r="F447" t="n">
        <v>0.0541</v>
      </c>
      <c r="G447" t="n">
        <v>0.1103</v>
      </c>
      <c r="H447" t="inlineStr">
        <is>
          <t>The code you provided is a Java implementation of an event stream consumer for Hystrix metrics. It uses the RxJava library to process events from the stream and accumulate counters in buckets based on certain conditions. The complexity can be considered O(n), where n represents the number of incoming events. This means that with each new event processed, it may result in additional operations being performed</t>
        </is>
      </c>
      <c r="I447" t="n">
        <v>0.0033</v>
      </c>
      <c r="J447" t="n">
        <v>0.0533</v>
      </c>
      <c r="K447" t="n">
        <v>0.1449</v>
      </c>
      <c r="L447" t="inlineStr">
        <is>
          <t>The provided code is a Java implementation of the Hystrix library's BucketedCounterStream class which accumulates counters infinitely in a bucket and reduces them over time. The purpose of this class seems to be monitoring or tracking metrics related to network requests made within an application using Netflix's Hystrix framework. 
Here are some key operations performed by the code</t>
        </is>
      </c>
      <c r="M447" t="n">
        <v>0.0031</v>
      </c>
      <c r="N447" t="n">
        <v>0.0588</v>
      </c>
      <c r="O447" t="n">
        <v>0.1538</v>
      </c>
    </row>
    <row r="448">
      <c r="A448" t="inlineStr">
        <is>
          <t>hystrix</t>
        </is>
      </c>
      <c r="B448" t="inlineStr">
        <is>
          <t>hystrix-core/src/main/java/com/netflix/hystrix/metric/consumer/RollingThreadPoolEventCounterStream.java</t>
        </is>
      </c>
      <c r="C448">
        <f>HYPERLINK("https://github.com/Netflix/Hystrix/blob/master/hystrix-core/src/main/java/com/netflix/hystrix/metric/consumer/RollingThreadPoolEventCounterStream.java")</f>
        <v/>
      </c>
      <c r="D448" t="inlineStr">
        <is>
          <t>The provided code is a Java implementation of Hystrix metrics consumer for thread pool related events and commands. It's licensed under Apache License 2.0 which means it can be used freely in compliance with the license terms. The main purpose of this software seems to be handling various types of hystrix event notifications (like command completion or thread pool completions), providing monitoring capabilities over these events</t>
        </is>
      </c>
      <c r="E448" t="n">
        <v>0.0033</v>
      </c>
      <c r="F448" t="n">
        <v>0.0526</v>
      </c>
      <c r="G448" t="n">
        <v>0.2696</v>
      </c>
      <c r="H448" t="inlineStr">
        <is>
          <t>The code you provided is a Java function that adds two numbers together (`a + b`). It takes in two parameters `a` and `b`, performs the addition operation on them, and returns the result. The time complexity of this function is O(1), meaning it always executes in constant time regardless of input size.
Here's your summary for reference:</t>
        </is>
      </c>
      <c r="I448" t="n">
        <v>0.0031</v>
      </c>
      <c r="J448" t="n">
        <v>0.0597</v>
      </c>
      <c r="K448" t="n">
        <v>0.1154</v>
      </c>
      <c r="L448" t="inlineStr">
        <is>
          <t>The provided code is a part of the Hystrix library for Java which provides fault tolerance patterns to your applications by isolating points of access to services and command execution. The main purpose of this code seems to be monitoring metrics related to thread pools in an application using Hystrix commands.
It reads input from various sources (like other microservices or external systems) and produces output that</t>
        </is>
      </c>
      <c r="M448" t="n">
        <v>0.0027</v>
      </c>
      <c r="N448" t="n">
        <v>0.0533</v>
      </c>
      <c r="O448" t="n">
        <v>0.1079</v>
      </c>
    </row>
    <row r="449">
      <c r="A449" t="inlineStr">
        <is>
          <t>hystrix</t>
        </is>
      </c>
      <c r="B449" t="inlineStr">
        <is>
          <t>hystrix-core/src/main/java/com/netflix/hystrix/metric/sample/HystrixUtilizationStream.java</t>
        </is>
      </c>
      <c r="C449">
        <f>HYPERLINK("https://github.com/Netflix/Hystrix/blob/master/hystrix-core/src/main/java/com/netflix/hystrix/metric/sample/HystrixUtilizationStream.java")</f>
        <v/>
      </c>
      <c r="D449" t="inlineStr">
        <is>
          <t>The code provided is a Java class from Netflix's Hystrix library for monitoring and managing fault tolerance in distributed systems using the Observer pattern (RxJava). It provides metrics about commands executed by HystrixCommand instances and threads used within command execution contexts. The code also includes dynamic configuration properties through com.netflix.config package which allows adjusting some aspects of</t>
        </is>
      </c>
      <c r="E449" t="n">
        <v>0.0032</v>
      </c>
      <c r="F449" t="n">
        <v>0.0294</v>
      </c>
      <c r="G449" t="n">
        <v>0.0775</v>
      </c>
      <c r="H449" t="inlineStr">
        <is>
          <t>The code provided is a Java implementation of the Hystrix library for handling fault tolerance and resilience in distributed systems. It includes classes related to command metrics (`HystrixCommandMetrics`), thread pool metrics (`HystrixThreadPoolMetrics`), dynamic properties (using `DynamicPropertyFactory`), etc., which are used for monitoring and controlling aspects of your system's behavior</t>
        </is>
      </c>
      <c r="I449" t="n">
        <v>0.0037</v>
      </c>
      <c r="J449" t="n">
        <v>0.06900000000000001</v>
      </c>
      <c r="K449" t="n">
        <v>0.124</v>
      </c>
      <c r="L449" t="inlineStr">
        <is>
          <t>The provided code is a Java implementation of the Hystrix library for distributed system fault tolerance. It provides command and thread pool metrics to monitor the health of your applications. The main purpose of this code seems to be to provide visibility into how these commands are being used in different threads within an application.
It utilizes DynamicProperties from Netflix's config module to configure various aspects</t>
        </is>
      </c>
      <c r="M449" t="n">
        <v>0.0033</v>
      </c>
      <c r="N449" t="n">
        <v>0.0533</v>
      </c>
      <c r="O449" t="n">
        <v>0.1812</v>
      </c>
    </row>
    <row r="450">
      <c r="A450" t="inlineStr">
        <is>
          <t>hystrix</t>
        </is>
      </c>
      <c r="B450" t="inlineStr">
        <is>
          <t>hystrix-core/src/main/java/com/netflix/hystrix/metric/sample/HystrixCommandUtilization.java</t>
        </is>
      </c>
      <c r="C450">
        <f>HYPERLINK("https://github.com/Netflix/Hystrix/blob/master/hystrix-core/src/main/java/com/netflix/hystrix/metric/sample/HystrixCommandUtilization.java")</f>
        <v/>
      </c>
      <c r="D450" t="inlineStr">
        <is>
          <t>The provided code is a utility class for calculating the utilization of Hystrix commands in Netflix's Hystrix library. It does this by taking into account the number of concurrent command executions and provides methods to sample these metrics. The license at the top indicates that it may be used under Apache License 2.0 terms.
Concurrency refers to how many tasks</t>
        </is>
      </c>
      <c r="E450" t="n">
        <v>0.003</v>
      </c>
      <c r="F450" t="n">
        <v>0.0571</v>
      </c>
      <c r="G450" t="n">
        <v>0.1136</v>
      </c>
      <c r="H450" t="inlineStr">
        <is>
          <t>The provided code is a Java class named `HystrixCommandUtilization` that calculates the utilization of Hystrix commands based on concurrent command count. The complexity of this function is O(n), where n represents the number of concurrent commands. This class has one method called `sample()` which takes an instance of `HystrixCommandMetrics` as input and returns</t>
        </is>
      </c>
      <c r="I450" t="n">
        <v>0.0041</v>
      </c>
      <c r="J450" t="n">
        <v>0.0968</v>
      </c>
      <c r="K450" t="n">
        <v>0.12</v>
      </c>
      <c r="L450" t="inlineStr">
        <is>
          <t>The provided code is a Java class named `HystrixCommandUtilization` which calculates the utilization of Hystrix commands based on concurrent command count.
It has one private integer variable `concurrentCommandCount` and it's used to store the number of concurrent commands that are currently executing in the system. 
There is also a public constructor for</t>
        </is>
      </c>
      <c r="M450" t="n">
        <v>0.0035</v>
      </c>
      <c r="N450" t="n">
        <v>0.0328</v>
      </c>
      <c r="O450" t="n">
        <v>0.0806</v>
      </c>
    </row>
    <row r="451">
      <c r="A451" t="inlineStr">
        <is>
          <t>hystrix</t>
        </is>
      </c>
      <c r="B451" t="inlineStr">
        <is>
          <t>hystrix-core/src/main/java/com/netflix/hystrix/metric/sample/HystrixUtilization.java</t>
        </is>
      </c>
      <c r="C451">
        <f>HYPERLINK("https://github.com/Netflix/Hystrix/blob/master/hystrix-core/src/main/java/com/netflix/hystrix/metric/sample/HystrixUtilization.java")</f>
        <v/>
      </c>
      <c r="D451" t="inlineStr">
        <is>
          <t>The provided code is a utility class for managing and tracking the utilization of Hystrix commands and thread pools in Netflix's Hystrix library. It maintains maps to store command and thread pool utilizations based on their respective keys. The complexity of this implementation appears to be O(N), where N represents the number of unique commands or threads being tracked. This suggests that operations such</t>
        </is>
      </c>
      <c r="E451" t="n">
        <v>0.0034</v>
      </c>
      <c r="F451" t="n">
        <v>0.0541</v>
      </c>
      <c r="G451" t="n">
        <v>0.1471</v>
      </c>
      <c r="H451" t="inlineStr">
        <is>
          <t>The code provided is a Java class named `HystrixUtilization` that utilizes two maps to store and manage command and thread pool utilizations in the Hystrix library for Netflix's microservices framework. The complexity of this function seems to be O(n), where n refers to the number of commands or threads handled by the system. This may vary depending on how these objects</t>
        </is>
      </c>
      <c r="I451" t="n">
        <v>0.0036</v>
      </c>
      <c r="J451" t="n">
        <v>0.0563</v>
      </c>
      <c r="K451" t="n">
        <v>0.1128</v>
      </c>
      <c r="L451" t="inlineStr">
        <is>
          <t>The provided code is a utility class for managing and tracking utilization metrics of Hystrix commands and thread pools in the Netflix's Hystrix library. The main purpose of this class seems to be to provide an interface between the internal workings of Hystrix (which handle circuit breaking, command execution etc.) and external monitoring systems or tools that are interested in these metrics.</t>
        </is>
      </c>
      <c r="M451" t="n">
        <v>0.0029</v>
      </c>
      <c r="N451" t="n">
        <v>0.0563</v>
      </c>
      <c r="O451" t="n">
        <v>0.1119</v>
      </c>
    </row>
    <row r="452">
      <c r="A452" t="inlineStr">
        <is>
          <t>hystrix</t>
        </is>
      </c>
      <c r="B452" t="inlineStr">
        <is>
          <t>hystrix-core/src/main/java/com/netflix/hystrix/metric/sample/HystrixThreadPoolUtilization.java</t>
        </is>
      </c>
      <c r="C452">
        <f>HYPERLINK("https://github.com/Netflix/Hystrix/blob/master/hystrix-core/src/main/java/com/netflix/hystrix/metric/sample/HystrixThreadPoolUtilization.java")</f>
        <v/>
      </c>
      <c r="D452" t="inlineStr">
        <is>
          <t>The provided code is a utility class for calculating the utilization of Hystrix's thread pool metrics. It provides methods to get various properties related to the thread pool such as current active count, core pool size, total pool size and queue size. The calculations are based on these values which can be used to understand how utilized or underutilized the system is at any given time.</t>
        </is>
      </c>
      <c r="E452" t="n">
        <v>0.0033</v>
      </c>
      <c r="F452" t="n">
        <v>0.0533</v>
      </c>
      <c r="G452" t="n">
        <v>0.1087</v>
      </c>
      <c r="H452" t="inlineStr">
        <is>
          <t>The code provided is a Java class named `HystrixThreadPoolUtilization` that utilizes the metrics of Hystrix's thread pool to monitor and calculate various parameters related to its usage. The key methods are as follows:
```java
// Constructor for initializing variables with values from an instance of HystrixThreadPoolMetrics
public HystrixThreadPool</t>
        </is>
      </c>
      <c r="I452" t="n">
        <v>0.0038</v>
      </c>
      <c r="J452" t="n">
        <v>0.0357</v>
      </c>
      <c r="K452" t="n">
        <v>0.0417</v>
      </c>
      <c r="L452" t="inlineStr">
        <is>
          <t>The provided code snippet is a Java class named `HystrixThreadPoolUtilization` that calculates the utilization of a Hystrix thread pool based on several metrics such as active count, core pool size, queue size and total pool size.
Here's an overview of its functionality: 
It takes in four parameters (active count, core pool size</t>
        </is>
      </c>
      <c r="M452" t="n">
        <v>0.0042</v>
      </c>
      <c r="N452" t="n">
        <v>0.06560000000000001</v>
      </c>
      <c r="O452" t="n">
        <v>0.0806</v>
      </c>
    </row>
    <row r="453">
      <c r="A453" t="inlineStr">
        <is>
          <t>hystrix</t>
        </is>
      </c>
      <c r="B453" t="inlineStr">
        <is>
          <t>hystrix-core/src/main/java/com/netflix/hystrix/config/HystrixThreadPoolConfiguration.java</t>
        </is>
      </c>
      <c r="C453">
        <f>HYPERLINK("https://github.com/Netflix/Hystrix/blob/master/hystrix-core/src/main/java/com/netflix/hystrix/config/HystrixThreadPoolConfiguration.java")</f>
        <v/>
      </c>
      <c r="D453" t="inlineStr">
        <is>
          <t>The provided code is a configuration class for Hystrix thread pool properties in the Netflix OSS library. It sets up and configures various parameters related to the behavior of a thread pool used by Hystrix commands. The key parameters are core size (minimum number of threads), maximum size (maximum number of threads that can be created), actual maximum size (current max number of threads including</t>
        </is>
      </c>
      <c r="E453" t="n">
        <v>0.0033</v>
      </c>
      <c r="F453" t="n">
        <v>0.0274</v>
      </c>
      <c r="G453" t="n">
        <v>0.1095</v>
      </c>
      <c r="H453" t="inlineStr">
        <is>
          <t>The provided code is a Java class named HystrixThreadPoolConfiguration that configures the properties of a thread pool used in Netflix's Hystrix library for managing asynchronous execution and fault tolerance patterns. The key attributes are: 
    - `threadPoolKey` which represents the unique identifier of this configuration instance. It could be any string but it should ideally represent what</t>
        </is>
      </c>
      <c r="I453" t="n">
        <v>0.0033</v>
      </c>
      <c r="J453" t="n">
        <v>0.0312</v>
      </c>
      <c r="K453" t="n">
        <v>0.1172</v>
      </c>
      <c r="L453" t="inlineStr">
        <is>
          <t>The provided code is a configuration class for Hystrix thread pool properties in Java. It's used to set up and configure the behavior of a specific thread pool within Netflix's Hystrix library. The main purpose of this code is to define a key (`threadPoolKey`) and some properties related to that key such as `coreSize`, `maximumSize`</t>
        </is>
      </c>
      <c r="M453" t="n">
        <v>0.0033</v>
      </c>
      <c r="N453" t="n">
        <v>0.0615</v>
      </c>
      <c r="O453" t="n">
        <v>0.1181</v>
      </c>
    </row>
    <row r="454">
      <c r="A454" t="inlineStr">
        <is>
          <t>hystrix</t>
        </is>
      </c>
      <c r="B454" t="inlineStr">
        <is>
          <t>hystrix-core/src/main/java/com/netflix/hystrix/config/HystrixCollapserConfiguration.java</t>
        </is>
      </c>
      <c r="C454">
        <f>HYPERLINK("https://github.com/Netflix/Hystrix/blob/master/hystrix-core/src/main/java/com/netflix/hystrix/config/HystrixCollapserConfiguration.java")</f>
        <v/>
      </c>
      <c r="D454" t="inlineStr">
        <is>
          <t>The provided code is a configuration class for Hystrix collapser which is used to batch requests together and execute them as one request instead of executing each individually. It also provides properties like the maximum number of requests in a batch (`maxRequestsInBatch`), timer delay in milliseconds before processing batched requests (`timerDelayInMilliseconds`), whether or not to</t>
        </is>
      </c>
      <c r="E454" t="n">
        <v>0.0033</v>
      </c>
      <c r="F454" t="n">
        <v>0.0317</v>
      </c>
      <c r="G454" t="n">
        <v>0.07870000000000001</v>
      </c>
      <c r="H454" t="inlineStr">
        <is>
          <t>The code provided is a Java class that configures the Hystrix collapser properties for use in Netflix's Hystrix library. It defines several private fields to hold configuration settings and provides getters for these values. The license at the top of this file mentions Apache 2.0 License which means it can be used freely under certain conditions as mentioned by the Apache Foundation.</t>
        </is>
      </c>
      <c r="I454" t="n">
        <v>0.0029</v>
      </c>
      <c r="J454" t="n">
        <v>0.0278</v>
      </c>
      <c r="K454" t="n">
        <v>0.1119</v>
      </c>
      <c r="L454" t="inlineStr">
        <is>
          <t>The provided code is a configuration class for the Hystrix Collapser feature in Netflix's Hystrix library. 
The main purpose of this class is to configure properties related to collapsing multiple requests into one when executing commands that support batch execution. It does so by defining keys and parameters such as maximum number of requests allowed in a single batch (`maxRequest</t>
        </is>
      </c>
      <c r="M454" t="n">
        <v>0.003</v>
      </c>
      <c r="N454" t="n">
        <v>0.058</v>
      </c>
      <c r="O454" t="n">
        <v>0.07580000000000001</v>
      </c>
    </row>
    <row r="455">
      <c r="A455" t="inlineStr">
        <is>
          <t>hystrix</t>
        </is>
      </c>
      <c r="B455" t="inlineStr">
        <is>
          <t>hystrix-core/src/main/java/com/netflix/hystrix/config/HystrixConfigurationStream.java</t>
        </is>
      </c>
      <c r="C455">
        <f>HYPERLINK("https://github.com/Netflix/Hystrix/blob/master/hystrix-core/src/main/java/com/netflix/hystrix/config/HystrixConfigurationStream.java")</f>
        <v/>
      </c>
      <c r="D455" t="inlineStr">
        <is>
          <t>The provided code appears to be a part of Netflix's Hystrix library for handling fault tolerance patterns in distributed systems. It defines the configuration properties and metrics related to collapsing multiple requests into one command execution. The license at the top indicates that this software is licensed under Apache 2.0 License.
Please note that without seeing the actual code it's hard to</t>
        </is>
      </c>
      <c r="E455" t="n">
        <v>0.0035</v>
      </c>
      <c r="F455" t="n">
        <v>0.0548</v>
      </c>
      <c r="G455" t="n">
        <v>0.2355</v>
      </c>
      <c r="H455" t="inlineStr">
        <is>
          <t>The provided code is a Java implementation of the addition function using Hystrix library for fault tolerance and circuit breaking in distributed systems. The complexity of this operation is O(1), meaning it takes constant time to execute regardless of input size.
Here's an overview of what each part does:
- `DynamicIntProperty` and `DynamicPropertyFactory` are used by Net</t>
        </is>
      </c>
      <c r="I455" t="n">
        <v>0.0032</v>
      </c>
      <c r="J455" t="n">
        <v>0.09089999999999999</v>
      </c>
      <c r="K455" t="n">
        <v>0.155</v>
      </c>
      <c r="L455" t="inlineStr">
        <is>
          <t>The provided code is a part of the Hystrix library in Java which provides fault tolerance patterns for distributed systems. The main purpose of this code seems to be defining and configuring properties related to collapsing commands together into one command execution. 
Here's an overview of what it does:
1. It defines keys (group key &amp; command key) for the associated</t>
        </is>
      </c>
      <c r="M455" t="n">
        <v>0.003</v>
      </c>
      <c r="N455" t="n">
        <v>0.058</v>
      </c>
      <c r="O455" t="n">
        <v>0.1128</v>
      </c>
    </row>
    <row r="456">
      <c r="A456" t="inlineStr">
        <is>
          <t>hystrix</t>
        </is>
      </c>
      <c r="B456" t="inlineStr">
        <is>
          <t>hystrix-core/src/main/java/com/netflix/hystrix/config/HystrixConfiguration.java</t>
        </is>
      </c>
      <c r="C456">
        <f>HYPERLINK("https://github.com/Netflix/Hystrix/blob/master/hystrix-core/src/main/java/com/netflix/hystrix/config/HystrixConfiguration.java")</f>
        <v/>
      </c>
      <c r="D456" t="inlineStr">
        <is>
          <t>The code provided is a configuration class for the Hystrix library in Java which allows you to configure various aspects of how commands and thread pools behave within that library. It's licensed under Apache License 2.0. The license states that it can be used without compliance with the terms but requires attribution when using this software.
```java
package com.netflix.h</t>
        </is>
      </c>
      <c r="E456" t="n">
        <v>0.0031</v>
      </c>
      <c r="F456" t="n">
        <v>0.0563</v>
      </c>
      <c r="G456" t="n">
        <v>0.1145</v>
      </c>
      <c r="H456" t="inlineStr">
        <is>
          <t>The provided code is a Java class named `HystrixConfiguration` that contains configuration for Hystrix commands and thread pools in Netflix's backend software components. The complexity of this function appears to be O(n), where n represents the number of keys configured in each map (i.e., command configurations or thread pool configurations). This suggests that there may exist loops through these maps based</t>
        </is>
      </c>
      <c r="I456" t="n">
        <v>0.0039</v>
      </c>
      <c r="J456" t="n">
        <v>0.0556</v>
      </c>
      <c r="K456" t="n">
        <v>0.1504</v>
      </c>
      <c r="L456" t="inlineStr">
        <is>
          <t>The provided code is a configuration class for Netflix's Hystrix library in Java. It primarily manages the configurations of commands and thread pools used by Hystrix. 
It has two private final maps that store command and thread pool configurations respectively. The constructor takes these configurations as parameters to initialize them. This class does not have any logic or control flow statements because it simply</t>
        </is>
      </c>
      <c r="M456" t="n">
        <v>0.0034</v>
      </c>
      <c r="N456" t="n">
        <v>0.0548</v>
      </c>
      <c r="O456" t="n">
        <v>0.1103</v>
      </c>
    </row>
    <row r="457">
      <c r="A457" t="inlineStr">
        <is>
          <t>hystrix</t>
        </is>
      </c>
      <c r="B457" t="inlineStr">
        <is>
          <t>hystrix-core/src/main/java/com/netflix/hystrix/config/HystrixCommandConfiguration.java</t>
        </is>
      </c>
      <c r="C457">
        <f>HYPERLINK("https://github.com/Netflix/Hystrix/blob/master/hystrix-core/src/main/java/com/netflix/hystrix/config/HystrixCommandConfiguration.java")</f>
        <v/>
      </c>
      <c r="D457" t="inlineStr">
        <is>
          <t>```java
/* 
 * Copyright 2016 Netflix, Inc.
 * Licensed under the Apache License, Version 2.0 (the "License");
 * you may not use this file except in compliance with the License.
 * You may obtain a copy of the License at
 * http://www.apache.org/licenses/LIC</t>
        </is>
      </c>
      <c r="E457" t="n">
        <v>0</v>
      </c>
      <c r="F457" t="n">
        <v>0.04</v>
      </c>
      <c r="G457" t="n">
        <v>0.0877</v>
      </c>
      <c r="H457" t="inlineStr">
        <is>
          <t>This code is a part of the Hystrix library for Java which provides fault tolerance patterns to applications running in a distributed environment. It contains configuration classes related to commands and command groups used by Hystrix. The copyright notice at the top indicates that this software is licensed under Apache License 2.0. This license requires you not to use any file except as per compliance with the terms of the</t>
        </is>
      </c>
      <c r="I457" t="n">
        <v>0.0034</v>
      </c>
      <c r="J457" t="n">
        <v>0.0506</v>
      </c>
      <c r="K457" t="n">
        <v>0.1408</v>
      </c>
      <c r="L457" t="inlineStr">
        <is>
          <t>This code is a configuration class for Hystrix command in Netflix OSS (Open Source Software). The purpose of this class seems to be defining the properties and keys related to the execution of commands using the Hystrix library.
Here are some key points about its functionality:
1. It defines four different types of Keys that will be used by Hystrix Command</t>
        </is>
      </c>
      <c r="M457" t="n">
        <v>0.0036</v>
      </c>
      <c r="N457" t="n">
        <v>0.08699999999999999</v>
      </c>
      <c r="O457" t="n">
        <v>0.1128</v>
      </c>
    </row>
    <row r="458">
      <c r="A458" t="inlineStr">
        <is>
          <t>hystrix</t>
        </is>
      </c>
      <c r="B458" t="inlineStr">
        <is>
          <t>hystrix-core/src/main/java/com/netflix/hystrix/strategy/package-info.java</t>
        </is>
      </c>
      <c r="C458">
        <f>HYPERLINK("https://github.com/Netflix/Hystrix/blob/master/hystrix-core/src/main/java/com/netflix/hystrix/strategy/package-info.java")</f>
        <v/>
      </c>
      <c r="D458" t="inlineStr">
        <is>
          <t>The code provided is a Java package named "com.netflix.hystrix.strategy". It's part of the parent package for strategies and plugin management in Netflix's Hystrix library. This repository contains backend software components that implement core algorithms used by Netflix to manage their services effectively with fault tolerance patterns like circuit breakers etc. The complexity of this implementation seems to</t>
        </is>
      </c>
      <c r="E458" t="n">
        <v>0.0045</v>
      </c>
      <c r="F458" t="n">
        <v>0.1143</v>
      </c>
      <c r="G458" t="n">
        <v>0.2326</v>
      </c>
      <c r="H458" t="inlineStr">
        <is>
          <t>The provided code is a simple function for addition of two numbers in Java. It takes as input parameters 'a' and 'b', performs the operation 'a + b', and returns the result. The time complexity of this function is O(1), meaning it executes in constant time regardless of the size of inputs.
The README file provides information about the repository including its purpose</t>
        </is>
      </c>
      <c r="I458" t="n">
        <v>0.0029</v>
      </c>
      <c r="J458" t="n">
        <v>0.0563</v>
      </c>
      <c r="K458" t="n">
        <v>0.1111</v>
      </c>
      <c r="L458" t="inlineStr">
        <is>
          <t>The provided code is a part of the Netflix Hystrix library's package for managing and executing distributed computing tasks in microservices architecture. The main purpose of this package seems to be related to defining strategies for handling failures during execution of these tasks. It provides mechanisms like fallbacks (default responses when service calls fail) or circuit breaking (preventing further call attempts if failure rate exceeds threshold).</t>
        </is>
      </c>
      <c r="M458" t="n">
        <v>0.0028</v>
      </c>
      <c r="N458" t="n">
        <v>0.0267</v>
      </c>
      <c r="O458" t="n">
        <v>0.1087</v>
      </c>
    </row>
    <row r="459">
      <c r="A459" t="inlineStr">
        <is>
          <t>hystrix</t>
        </is>
      </c>
      <c r="B459" t="inlineStr">
        <is>
          <t>hystrix-core/src/main/java/com/netflix/hystrix/strategy/HystrixPlugins.java</t>
        </is>
      </c>
      <c r="C459">
        <f>HYPERLINK("https://github.com/Netflix/Hystrix/blob/master/hystrix-core/src/main/java/com/netflix/hystrix/strategy/HystrixPlugins.java")</f>
        <v/>
      </c>
      <c r="D459" t="inlineStr">
        <is>
          <t>The code provided is a Java implementation of the Hystrix library for handling fault tolerance and resilience in distributed computing systems. The copyright notice at the top indicates that this software is licensed under Apache License 2.0. It uses Service Loader to load custom concurrency strategies if available or falls back on default strategy otherwise. This allows developers to plug their own implementations without modifying core</t>
        </is>
      </c>
      <c r="E459" t="n">
        <v>0.0039</v>
      </c>
      <c r="F459" t="n">
        <v>0.1067</v>
      </c>
      <c r="G459" t="n">
        <v>0.2174</v>
      </c>
      <c r="H459" t="inlineStr">
        <is>
          <t>The code provided is a Java implementation of the Hystrix library's concurrency strategy for handling threading issues in distributed systems. It uses an AtomicReference to store and update the current Concurrency Strategy that it will use when executing commands or creating threads. The default Concurrency Strategy used by this class is `HystrixConcurrencyStrategyDefault` which implements its own logic for</t>
        </is>
      </c>
      <c r="I459" t="n">
        <v>0.0037</v>
      </c>
      <c r="J459" t="n">
        <v>0.0896</v>
      </c>
      <c r="K459" t="n">
        <v>0.1538</v>
      </c>
      <c r="L459" t="inlineStr">
        <is>
          <t>The provided code is a part of the Hystrix library for Java by Netflix. It sets up and configures the concurrency strategy used within Hystrix commands. The main purpose of this code is to define how threads are created and managed in case of failures or timeouts.
The `HystrixCommand` class uses an instance of `HystrixConcurrencyStrategy</t>
        </is>
      </c>
      <c r="M459" t="n">
        <v>0.0033</v>
      </c>
      <c r="N459" t="n">
        <v>0.0635</v>
      </c>
      <c r="O459" t="n">
        <v>0.1181</v>
      </c>
    </row>
    <row r="460">
      <c r="A460" t="inlineStr">
        <is>
          <t>hystrix</t>
        </is>
      </c>
      <c r="B460" t="inlineStr">
        <is>
          <t>hystrix-core/src/main/java/com/netflix/hystrix/strategy/HystrixArchaiusHelper.java</t>
        </is>
      </c>
      <c r="C460">
        <f>HYPERLINK("https://github.com/Netflix/Hystrix/blob/master/hystrix-core/src/main/java/com/netflix/hystrix/strategy/HystrixArchaiusHelper.java")</f>
        <v/>
      </c>
      <c r="D460" t="inlineStr">
        <is>
          <t>The code provided is a helper class for Hystrix, an open source fault tolerance library designed to isolate points of access to remote services and resources, like databases or HTTP clients. The class name suggests that it helps with dynamic properties in the context of Hystrix's configuration system called Archaius. It provides methods for invoking methods dynamically based on their names using reflection. This</t>
        </is>
      </c>
      <c r="E460" t="n">
        <v>0.0034</v>
      </c>
      <c r="F460" t="n">
        <v>0.0274</v>
      </c>
      <c r="G460" t="n">
        <v>0.1103</v>
      </c>
      <c r="H460" t="inlineStr">
        <is>
          <t>The code provided is a Java class named HystrixArchaiusHelper which appears to be part of the Netflix Hystrix library for handling dynamic properties in distributed systems. The copyright information at the top indicates that this software may require compliance with Apache License 2.0 terms and conditions.
 * This helper class seems to have methods related to invoking method calls using reflection based on the</t>
        </is>
      </c>
      <c r="I460" t="n">
        <v>0.0037</v>
      </c>
      <c r="J460" t="n">
        <v>0.0833</v>
      </c>
      <c r="K460" t="n">
        <v>0.1471</v>
      </c>
      <c r="L460" t="inlineStr">
        <is>
          <t>The provided code is a helper class for Hystrix, which is an open source fault tolerance library designed to isolate points of access between services in large distributed systems. The main purpose of this class appears to be the dynamic configuration of Hystrix properties using Archaius (now known as Netflix's Eureka). 
It contains two private methods that are used for</t>
        </is>
      </c>
      <c r="M460" t="n">
        <v>0</v>
      </c>
      <c r="N460" t="n">
        <v>0.029</v>
      </c>
      <c r="O460" t="n">
        <v>0.07580000000000001</v>
      </c>
    </row>
    <row r="461">
      <c r="A461" t="inlineStr">
        <is>
          <t>hystrix</t>
        </is>
      </c>
      <c r="B461" t="inlineStr">
        <is>
          <t>hystrix-core/src/main/java/com/netflix/hystrix/strategy/eventnotifier/HystrixEventNotifierDefault.java</t>
        </is>
      </c>
      <c r="C461">
        <f>HYPERLINK("https://github.com/Netflix/Hystrix/blob/master/hystrix-core/src/main/java/com/netflix/hystrix/strategy/eventnotifier/HystrixEventNotifierDefault.java")</f>
        <v/>
      </c>
      <c r="D461" t="inlineStr">
        <is>
          <t>The code provided is a default implementation of the Hystrix event notifier that does nothing. It's licensed under Apache 2.0 and can be used to extend or modify its functionality as per requirements. The class has no methods defined in it which means there are no operations performed when an instance of this class is created.
The purpose seems to be for use with Netflix</t>
        </is>
      </c>
      <c r="E461" t="n">
        <v>0.0033</v>
      </c>
      <c r="F461" t="n">
        <v>0.0533</v>
      </c>
      <c r="G461" t="n">
        <v>0.146</v>
      </c>
      <c r="H461" t="inlineStr">
        <is>
          <t>The code provided is a Java class named `HystrixEventNotifierDefault` which extends the base event notifier class in Hystrix library for Netflix OSS (Open Source Software). This class implements an instance of default event notifiers that do nothing and are excluded from Javadocs. The copyright notice at the top indicates this software may be licensed under Apache License 2.</t>
        </is>
      </c>
      <c r="I461" t="n">
        <v>0.0045</v>
      </c>
      <c r="J461" t="n">
        <v>0.09089999999999999</v>
      </c>
      <c r="K461" t="n">
        <v>0.2428</v>
      </c>
      <c r="L461" t="inlineStr">
        <is>
          <t>The provided code is a default implementation of the Hystrix event notifier class in Java. This class extends from another abstract class called `HystrixEventNotifier` and does nothing when an error occurs or circuit breaker opens. The purpose of this class seems to be as a placeholder for future customizations if needed. It's licensed under Apache License 2.0 which means it</t>
        </is>
      </c>
      <c r="M461" t="n">
        <v>0.0036</v>
      </c>
      <c r="N461" t="n">
        <v>0.0571</v>
      </c>
      <c r="O461" t="n">
        <v>0.1136</v>
      </c>
    </row>
    <row r="462">
      <c r="A462" t="inlineStr">
        <is>
          <t>hystrix</t>
        </is>
      </c>
      <c r="B462" t="inlineStr">
        <is>
          <t>hystrix-core/src/main/java/com/netflix/hystrix/strategy/eventnotifier/package-info.java</t>
        </is>
      </c>
      <c r="C462">
        <f>HYPERLINK("https://github.com/Netflix/Hystrix/blob/master/hystrix-core/src/main/java/com/netflix/hystrix/strategy/eventnotifier/package-info.java")</f>
        <v/>
      </c>
      <c r="D462" t="inlineStr">
        <is>
          <t>The code provided is a strategy definition for event notification in the Hystrix library of Netflix. The purpose of this component seems to be defining how events are notified when certain conditions occur within an application using Hystrix. This could include network failures or timeouts that would trigger fallbacks and other types of error handling mechanisms defined by Hystrix. It's worth noting that the complexity</t>
        </is>
      </c>
      <c r="E462" t="n">
        <v>0.0033</v>
      </c>
      <c r="F462" t="n">
        <v>0.0541</v>
      </c>
      <c r="G462" t="n">
        <v>0.1095</v>
      </c>
      <c r="H462" t="inlineStr">
        <is>
          <t>The provided code is a Java implementation of the add function which adds two numbers together. The complexity is O(1), meaning it performs a fixed number of operations regardless of input size. This function can be found in package com.netflix.hystrix.strategy.eventnotifier and has been licensed under Apache License 2.0. It also contains comments explaining its functionality and how</t>
        </is>
      </c>
      <c r="I462" t="n">
        <v>0.0075</v>
      </c>
      <c r="J462" t="n">
        <v>0.08450000000000001</v>
      </c>
      <c r="K462" t="n">
        <v>0.2447</v>
      </c>
      <c r="L462" t="inlineStr">
        <is>
          <t>The provided code is a strategy definition for event notification in the Hystrix library, which is used to handle failures and latency issues in distributed systems. The purpose of this code is to define how events should be notified when certain conditions are met during execution. This includes failure or success notifications as well as latency alerts. It's implemented using Java and complies with Apache License 2.</t>
        </is>
      </c>
      <c r="M462" t="n">
        <v>0.0032</v>
      </c>
      <c r="N462" t="n">
        <v>0.0789</v>
      </c>
      <c r="O462" t="n">
        <v>0.1439</v>
      </c>
    </row>
    <row r="463">
      <c r="A463" t="inlineStr">
        <is>
          <t>hystrix</t>
        </is>
      </c>
      <c r="B463" t="inlineStr">
        <is>
          <t>hystrix-core/src/main/java/com/netflix/hystrix/strategy/eventnotifier/HystrixEventNotifier.java</t>
        </is>
      </c>
      <c r="C463">
        <f>HYPERLINK("https://github.com/Netflix/Hystrix/blob/master/hystrix-core/src/main/java/com/netflix/hystrix/strategy/eventnotifier/HystrixEventNotifier.java")</f>
        <v/>
      </c>
      <c r="D463" t="inlineStr">
        <is>
          <t>The provided code is a Java implementation of an abstract event notifier for Hystrix, which is a library used in distributed systems to handle fault tolerance and resilience. The purpose of this class seems to be to receive notifications about different events that occur within the system related to command execution. These events could include failures or timeouts, circuit breaker state changes, thread pool rejections etc.</t>
        </is>
      </c>
      <c r="E463" t="n">
        <v>0.0028</v>
      </c>
      <c r="F463" t="n">
        <v>0.0541</v>
      </c>
      <c r="G463" t="n">
        <v>0.1449</v>
      </c>
      <c r="H463" t="inlineStr">
        <is>
          <t>The provided code is a Java class that extends an abstract Event Notifier in the Hystrix library for handling notifications of different events related to command execution within Netflix's system. The license at the top indicates compliance with Apache 2.0 License. It defines methods for receiving and processing various types of event notifications which are used by Hystrix commands. Complexity seems high due to</t>
        </is>
      </c>
      <c r="I463" t="n">
        <v>0.0028</v>
      </c>
      <c r="J463" t="n">
        <v>0.027</v>
      </c>
      <c r="K463" t="n">
        <v>0.0735</v>
      </c>
      <c r="L463" t="inlineStr">
        <is>
          <t>The provided code is a Java class named `DefaultEventNotifier` that extends an abstract class called `AbstractEventNotifier` from the Hystrix library for handling notifications of different events in distributed systems.
It defines methods to notify about various types of events such as command execution success, failure, timeout, thread pool rejection and health check results. The notifiers are registered with</t>
        </is>
      </c>
      <c r="M463" t="n">
        <v>0.0031</v>
      </c>
      <c r="N463" t="n">
        <v>0.0303</v>
      </c>
      <c r="O463" t="n">
        <v>0.0385</v>
      </c>
    </row>
    <row r="464">
      <c r="A464" t="inlineStr">
        <is>
          <t>hystrix</t>
        </is>
      </c>
      <c r="B464" t="inlineStr">
        <is>
          <t>hystrix-core/src/main/java/com/netflix/hystrix/strategy/properties/HystrixPropertiesCommandDefault.java</t>
        </is>
      </c>
      <c r="C464">
        <f>HYPERLINK("https://github.com/Netflix/Hystrix/blob/master/hystrix-core/src/main/java/com/netflix/hystrix/strategy/properties/HystrixPropertiesCommandDefault.java")</f>
        <v/>
      </c>
      <c r="D464" t="inlineStr">
        <is>
          <t>The code provided is a default implementation of the Hystrix command properties using Archaius (which is Netflix's library for externalized configuration). It extends `HystrixCommandProperties` and provides defaults for various command properties related to fault tolerance in distributed systems like circuit breaking, thread pool size etc., based on configurations defined by users or system environment variables. The license at the top specifies</t>
        </is>
      </c>
      <c r="E464" t="n">
        <v>0.003</v>
      </c>
      <c r="F464" t="n">
        <v>0.0571</v>
      </c>
      <c r="G464" t="n">
        <v>0.1128</v>
      </c>
      <c r="H464" t="inlineStr">
        <is>
          <t>The code you provided is a Java class named `HystrixPropertiesCommandDefault` which extends the base properties for Hystrix commands from Netflix's library (specifically related to command execution behavior). It seems like it includes some default configurations or settings for these commands using Archaius configuration system. The complexity of this function appears to be O(n), where n represents the number of</t>
        </is>
      </c>
      <c r="I464" t="n">
        <v>0</v>
      </c>
      <c r="J464" t="n">
        <v>0.058</v>
      </c>
      <c r="K464" t="n">
        <v>0.07630000000000001</v>
      </c>
      <c r="L464" t="inlineStr">
        <is>
          <t>The provided code is a Java class that extends the HystrixCommandProperties class from the Netflix's Hystrix library for handling properties of commands in distributed systems. 
Here are some key points about this code:
1. The purpose of this class seems to be providing default values for command related properties used by the Hystrix framework.
2.</t>
        </is>
      </c>
      <c r="M464" t="n">
        <v>0</v>
      </c>
      <c r="N464" t="n">
        <v>0.0312</v>
      </c>
      <c r="O464" t="n">
        <v>0.07870000000000001</v>
      </c>
    </row>
    <row r="465">
      <c r="A465" t="inlineStr">
        <is>
          <t>hystrix</t>
        </is>
      </c>
      <c r="B465" t="inlineStr">
        <is>
          <t>hystrix-core/src/main/java/com/netflix/hystrix/strategy/properties/HystrixPropertiesChainedArchaiusProperty.java</t>
        </is>
      </c>
      <c r="C465">
        <f>HYPERLINK("https://github.com/Netflix/Hystrix/blob/master/hystrix-core/src/main/java/com/netflix/hystrix/strategy/properties/HystrixPropertiesChainedArchaiusProperty.java")</f>
        <v/>
      </c>
      <c r="D465" t="inlineStr">
        <is>
          <t>The provided code is a Java class that defines the properties for Hystrix's chained property strategy using Archaius (now known as Ariane). It uses an AtomicReference to store the current value and provides methods to get or set this value. The logger logs any errors during execution. This implementation has complexity of O(N), where N represents number of default values in chain</t>
        </is>
      </c>
      <c r="E465" t="n">
        <v>0.0035</v>
      </c>
      <c r="F465" t="n">
        <v>0.0556</v>
      </c>
      <c r="G465" t="n">
        <v>0.1493</v>
      </c>
      <c r="H465" t="inlineStr">
        <is>
          <t>The function provided is a simple addition operation between two numbers 'a' and 'b'. It returns the sum of these two numbers. The time complexity of this function is O(1), meaning it performs a constant number of operations regardless of input size.
&lt;jupyter_text&gt;
Question 6: Write a Python program to find all occurrences of an element in</t>
        </is>
      </c>
      <c r="I465" t="n">
        <v>0.0032</v>
      </c>
      <c r="J465" t="n">
        <v>0.0597</v>
      </c>
      <c r="K465" t="n">
        <v>0.155</v>
      </c>
      <c r="L465" t="inlineStr">
        <is>
          <t>The code you provided is a Java class that implements the Hystrix property strategy using Archaius properties for chain of defaults and logging with SLF4J (Simple Logging Facade for Java). It defines an AtomicReference to hold a PropertyWrapper object which holds the configuration details related to Netflix's Hystrix circuit breakers. The class also has a list of fallbacks</t>
        </is>
      </c>
      <c r="M465" t="n">
        <v>0.0037</v>
      </c>
      <c r="N465" t="n">
        <v>0.0597</v>
      </c>
      <c r="O465" t="n">
        <v>0.1154</v>
      </c>
    </row>
    <row r="466">
      <c r="A466" t="inlineStr">
        <is>
          <t>hystrix</t>
        </is>
      </c>
      <c r="B466" t="inlineStr">
        <is>
          <t>hystrix-core/src/main/java/com/netflix/hystrix/strategy/properties/package-info.java</t>
        </is>
      </c>
      <c r="C466">
        <f>HYPERLINK("https://github.com/Netflix/Hystrix/blob/master/hystrix-core/src/main/java/com/netflix/hystrix/strategy/properties/package-info.java")</f>
        <v/>
      </c>
      <c r="D466" t="inlineStr">
        <is>
          <t>The code is a strategy definition for properties and configuration of Hystrix, which is Netflix's open source library used to handle fault tolerance in distributed systems. The implementation includes default behaviors. It defines the basic structure and functionality needed by other parts of the system that use this strategy.
The repository contains backend software components related to handling complex algorithms or operations with high latency and low through</t>
        </is>
      </c>
      <c r="E466" t="n">
        <v>0.0035</v>
      </c>
      <c r="F466" t="n">
        <v>0.0779</v>
      </c>
      <c r="G466" t="n">
        <v>0.1786</v>
      </c>
      <c r="H466" t="inlineStr">
        <is>
          <t>The provided code is a Java implementation of the Netflix Hystrix library's strategy properties package. It contains various classes for defining and configuring strategies used in backend software components such as circuit breakers and command execution isolation. The complexity of this code can be considered O(N), where N represents the number of different types of commands or strategies defined within the system. This includes configuration settings like</t>
        </is>
      </c>
      <c r="I466" t="n">
        <v>0.0036</v>
      </c>
      <c r="J466" t="n">
        <v>0.0519</v>
      </c>
      <c r="K466" t="n">
        <v>0.1799</v>
      </c>
      <c r="L466" t="inlineStr">
        <is>
          <t>The provided code is a Java class that defines the strategy properties for Hystrix's command execution and configuration. The purpose of this class seems to be defining default behaviors or strategies related to how commands are executed within the context of Netflix's Hystrix library. It uses an Apache License version 2.0 which means it can be used freely under certain conditions as outlined in the license</t>
        </is>
      </c>
      <c r="M466" t="n">
        <v>0.0028</v>
      </c>
      <c r="N466" t="n">
        <v>0.026</v>
      </c>
      <c r="O466" t="n">
        <v>0.1087</v>
      </c>
    </row>
    <row r="467">
      <c r="A467" t="inlineStr">
        <is>
          <t>hystrix</t>
        </is>
      </c>
      <c r="B467" t="inlineStr">
        <is>
          <t>hystrix-core/src/main/java/com/netflix/hystrix/strategy/properties/HystrixPropertiesCollapserDefault.java</t>
        </is>
      </c>
      <c r="C467">
        <f>HYPERLINK("https://github.com/Netflix/Hystrix/blob/master/hystrix-core/src/main/java/com/netflix/hystrix/strategy/properties/HystrixPropertiesCollapserDefault.java")</f>
        <v/>
      </c>
      <c r="D467" t="inlineStr">
        <is>
          <t>The provided code is a default implementation of Hystrix Collapser Properties using Archaius (which is Netflix's library for externalized configuration). It extends the base class `HystrixCollapserProperties` and provides the necessary properties to configure a collapser command in terms of timeouts, thread pools etc., which are used by Hystrix when executing batch requests or</t>
        </is>
      </c>
      <c r="E467" t="n">
        <v>0.0035</v>
      </c>
      <c r="F467" t="n">
        <v>0.0645</v>
      </c>
      <c r="G467" t="n">
        <v>0.12</v>
      </c>
      <c r="H467" t="inlineStr">
        <is>
          <t>The provided code is a Java class named `HystrixPropertiesCollapserDefault` which extends the base Hystrix collapser properties and provides default implementation for some of its methods using Archaius (which is Netflix's library used to handle externalized configuration). The copyright notice at the top indicates that this software may be licensed under Apache License 2.0.</t>
        </is>
      </c>
      <c r="I467" t="n">
        <v>0.0041</v>
      </c>
      <c r="J467" t="n">
        <v>0.0635</v>
      </c>
      <c r="K467" t="n">
        <v>0.2976</v>
      </c>
      <c r="L467" t="inlineStr">
        <is>
          <t>The provided code is a Java class named `HystrixPropertiesCollapserDefault` which extends the base Hystrix collapser properties class from Netflix's Hystrix library. This class provides default implementations for some of the {@link HystrixCollapserProperties}, using Archaius (which is a configuration management system used by Netflix).
It</t>
        </is>
      </c>
      <c r="M467" t="n">
        <v>0.0042</v>
      </c>
      <c r="N467" t="n">
        <v>0.0755</v>
      </c>
      <c r="O467" t="n">
        <v>0.1293</v>
      </c>
    </row>
    <row r="468">
      <c r="A468" t="inlineStr">
        <is>
          <t>hystrix</t>
        </is>
      </c>
      <c r="B468" t="inlineStr">
        <is>
          <t>hystrix-core/src/main/java/com/netflix/hystrix/strategy/properties/HystrixPropertiesThreadPoolDefault.java</t>
        </is>
      </c>
      <c r="C468">
        <f>HYPERLINK("https://github.com/Netflix/Hystrix/blob/master/hystrix-core/src/main/java/com/netflix/hystrix/strategy/properties/HystrixPropertiesThreadPoolDefault.java")</f>
        <v/>
      </c>
      <c r="D468" t="inlineStr">
        <is>
          <t>The provided code is a default implementation of the HystrixThreadPoolProperties using Archaius (which is Netflix's library for externalized configuration). It extends HystrixThreadPoolProperties and provides default values for various thread pool properties like core size, maximum queue size etc., which can be overridden through an external configuration source. The license at the top indicates that this software may</t>
        </is>
      </c>
      <c r="E468" t="n">
        <v>0.0042</v>
      </c>
      <c r="F468" t="n">
        <v>0.0606</v>
      </c>
      <c r="G468" t="n">
        <v>0.3305</v>
      </c>
      <c r="H468" t="inlineStr">
        <is>
          <t>The provided code is a Java class that extends the HystrixThreadPoolProperties class from the Netflix Hystrix library for thread pool properties in distributed systems. It uses Archaius (now known as Parameter Store), which provides dynamic configuration capabilities. The copyright notice at the top of this file states that it's licensed under Apache License 2.0 and details are given on how</t>
        </is>
      </c>
      <c r="I468" t="n">
        <v>0.003</v>
      </c>
      <c r="J468" t="n">
        <v>0.0571</v>
      </c>
      <c r="K468" t="n">
        <v>0.1136</v>
      </c>
      <c r="L468" t="inlineStr">
        <is>
          <t>The provided code is for a default implementation of HystrixThreadPoolProperties using Archaius (a configuration management library). It extends the base class 'HystrixThreadPoolProperties' and provides defaults for various thread pool properties such as core size, maximum queue length, etc. The purpose of this code seems to be managing configurations related to Netflix services like circuit breakers or rate limiters</t>
        </is>
      </c>
      <c r="M468" t="n">
        <v>0.0037</v>
      </c>
      <c r="N468" t="n">
        <v>0.0606</v>
      </c>
      <c r="O468" t="n">
        <v>0.1923</v>
      </c>
    </row>
    <row r="469">
      <c r="A469" t="inlineStr">
        <is>
          <t>hystrix</t>
        </is>
      </c>
      <c r="B469" t="inlineStr">
        <is>
          <t>hystrix-core/src/main/java/com/netflix/hystrix/strategy/properties/HystrixPropertiesFactory.java</t>
        </is>
      </c>
      <c r="C469">
        <f>HYPERLINK("https://github.com/Netflix/Hystrix/blob/master/hystrix-core/src/main/java/com/netflix/hystrix/strategy/properties/HystrixPropertiesFactory.java")</f>
        <v/>
      </c>
      <c r="D469" t="inlineStr">
        <is>
          <t>The code provided is a Java implementation of the Hystrix library by Netflix for handling fault tolerance in distributed systems. It includes classes related to properties and keys used in commands (HystrixCommand), collapsers (combining multiple requests into one command execution), thread pools, and other components. The license details are also included at the top indicating that this software can be redistributed under</t>
        </is>
      </c>
      <c r="E469" t="n">
        <v>0.0035</v>
      </c>
      <c r="F469" t="n">
        <v>0.0571</v>
      </c>
      <c r="G469" t="n">
        <v>0.2776</v>
      </c>
      <c r="H469" t="inlineStr">
        <is>
          <t>The code you provided is a simple function for addition of two numbers in Python. It takes two arguments (numbers), adds them together and returns the result. The time complexity of this operation is O(1).
Here's the summary: 
```python
# Function to add two numbers
def add(a, b):
    return a + b
```</t>
        </is>
      </c>
      <c r="I469" t="n">
        <v>0.0035</v>
      </c>
      <c r="J469" t="n">
        <v>0.06560000000000001</v>
      </c>
      <c r="K469" t="n">
        <v>0.12</v>
      </c>
      <c r="L469" t="inlineStr">
        <is>
          <t>The provided code is a part of Netflix's Hystrix library for handling fault tolerance and resilience in distributed systems. It defines the properties used by commands that use collapsing, which allows batch requests to be executed more efficiently than executing them one at a time.
The main purpose of this class seems to be defining various command properties related to collapsing such as</t>
        </is>
      </c>
      <c r="M469" t="n">
        <v>0.0029</v>
      </c>
      <c r="N469" t="n">
        <v>0.0278</v>
      </c>
      <c r="O469" t="n">
        <v>0.1111</v>
      </c>
    </row>
    <row r="470">
      <c r="A470" t="inlineStr">
        <is>
          <t>hystrix</t>
        </is>
      </c>
      <c r="B470" t="inlineStr">
        <is>
          <t>hystrix-core/src/main/java/com/netflix/hystrix/strategy/properties/HystrixDynamicProperty.java</t>
        </is>
      </c>
      <c r="C470">
        <f>HYPERLINK("https://github.com/Netflix/Hystrix/blob/master/hystrix-core/src/main/java/com/netflix/hystrix/strategy/properties/HystrixDynamicProperty.java")</f>
        <v/>
      </c>
      <c r="D470" t="inlineStr">
        <is>
          <t>The code provided is a Java interface named HystrixDynamicProps that represents dynamic property values for the Hystrix framework in Netflix's backend software components. The purpose of this interface seems to be allowing properties without being tied down to any particular backing implementation. This could potentially allow developers more flexibility and control over their applications when using certain features within the Hystrix library.
However</t>
        </is>
      </c>
      <c r="E470" t="n">
        <v>0.0038</v>
      </c>
      <c r="F470" t="n">
        <v>0.0833</v>
      </c>
      <c r="G470" t="n">
        <v>0.1481</v>
      </c>
      <c r="H470" t="inlineStr">
        <is>
          <t>The provided code is a Java interface named HystrixDynamicProp. This interface represents dynamic property values for the Hystrix library which can be consumed by properties without being tied to any particular backing implementation. The author of this code seems to have used an Apache License 2.0 as stated in comments at top of file. It's complexity appears to be O(n), but it would</t>
        </is>
      </c>
      <c r="I470" t="n">
        <v>0.0029</v>
      </c>
      <c r="J470" t="n">
        <v>0.0541</v>
      </c>
      <c r="K470" t="n">
        <v>0.0741</v>
      </c>
      <c r="L470" t="inlineStr">
        <is>
          <t>The provided code is a Java interface named HystrixDynamicPropInterface that represents dynamic property values for the Hystrix framework. It's used to consume properties without being tied to any particular backing implementation. The purpose of this class seems to be defining generic interfaces for manipulating and accessing dynamic property values in an abstract way. This allows different implementations (like caching or configuration) to provide</t>
        </is>
      </c>
      <c r="M470" t="n">
        <v>0.0034</v>
      </c>
      <c r="N470" t="n">
        <v>0.0556</v>
      </c>
      <c r="O470" t="n">
        <v>0.1481</v>
      </c>
    </row>
    <row r="471">
      <c r="A471" t="inlineStr">
        <is>
          <t>hystrix</t>
        </is>
      </c>
      <c r="B471" t="inlineStr">
        <is>
          <t>hystrix-core/src/main/java/com/netflix/hystrix/strategy/properties/HystrixPropertiesTimerThreadPoolDefault.java</t>
        </is>
      </c>
      <c r="C471">
        <f>HYPERLINK("https://github.com/Netflix/Hystrix/blob/master/hystrix-core/src/main/java/com/netflix/hystrix/strategy/properties/HystrixPropertiesTimerThreadPoolDefault.java")</f>
        <v/>
      </c>
      <c r="D471" t="inlineStr">
        <is>
          <t>The code is a default implementation of Hystrix's {@link HystrixTimerThreadPoolProperties}, using Archaius (now known as Dropwizard Configuration). It extends the base class 'HystrixTimerThreadPoolProperties'. The license at the top indicates that this software may not be used except in compliance with the Apache License 2.0. This repository contains backend components and</t>
        </is>
      </c>
      <c r="E471" t="n">
        <v>0.0048</v>
      </c>
      <c r="F471" t="n">
        <v>0.1</v>
      </c>
      <c r="G471" t="n">
        <v>0.2049</v>
      </c>
      <c r="H471" t="inlineStr">
        <is>
          <t>The code provided is a Java class named HystrixPropertiesTimerThreadPoolDefault that extends the HystrixTimerThreadPoolProperties class from the Netflix's hystrix library for use in handling timeouts and thread pooling related to asynchronous commands execution. The copyright notice at the top of this file mentions Apache License 2.0 which means you can freely modify or distribute it under</t>
        </is>
      </c>
      <c r="I471" t="n">
        <v>0.0033</v>
      </c>
      <c r="J471" t="n">
        <v>0.0308</v>
      </c>
      <c r="K471" t="n">
        <v>0.1181</v>
      </c>
      <c r="L471" t="inlineStr">
        <is>
          <t>The provided code is a Java class named HystrixPropertiesTimerThreadPoolDefault that extends the abstract base class HystrixTimerThreadPoolProperties. This class provides default implementation for properties related to thread pools used in Netflix's Hystrix library. The purpose of this class seems to be providing configuration defaults for various aspects like timer and thread pool settings which are typically set using externalized configurations</t>
        </is>
      </c>
      <c r="M471" t="n">
        <v>0.0037</v>
      </c>
      <c r="N471" t="n">
        <v>0.0882</v>
      </c>
      <c r="O471" t="n">
        <v>0.1527</v>
      </c>
    </row>
    <row r="472">
      <c r="A472" t="inlineStr">
        <is>
          <t>hystrix</t>
        </is>
      </c>
      <c r="B472" t="inlineStr">
        <is>
          <t>hystrix-core/src/main/java/com/netflix/hystrix/strategy/properties/HystrixDynamicProperties.java</t>
        </is>
      </c>
      <c r="C472">
        <f>HYPERLINK("https://github.com/Netflix/Hystrix/blob/master/hystrix-core/src/main/java/com/netflix/hystrix/strategy/properties/HystrixDynamicProperties.java")</f>
        <v/>
      </c>
      <c r="D472" t="inlineStr">
        <is>
          <t>```plaintext
A Hystrix plugin (SPI) for resolving dynamic configuration properties is provided in this code. This SPI allows varying configurations sources by using the Java Service Loader mechanism. The singleton instance of the Hystrix Plugin will only load one implementation through this mechanism. 
Author: agentgt
Repository: Contains backend software components implementing core</t>
        </is>
      </c>
      <c r="E472" t="n">
        <v>0.0046</v>
      </c>
      <c r="F472" t="n">
        <v>0.1333</v>
      </c>
      <c r="G472" t="n">
        <v>0.3</v>
      </c>
      <c r="H472" t="inlineStr">
        <is>
          <t>ThisJava code is a plugin for Hystrix, which is used in Netflix's microservices architecture to handle fault tolerance and resilience. The purpose of this code seems to be loading one implementation of the Hystrix Plugin via Java's Service Loader mechanism. This means that it will load only one specific implementation at runtime based on classpath scanning.
The</t>
        </is>
      </c>
      <c r="I472" t="n">
        <v>0.0038</v>
      </c>
      <c r="J472" t="n">
        <v>0.0597</v>
      </c>
      <c r="K472" t="n">
        <v>0.155</v>
      </c>
      <c r="L472" t="inlineStr">
        <is>
          <t>This code defines an interface named `IHystrixProperty` which is a part of the Hystrix library for Java. It's used as a Service Provider Interface (SPI). The purpose of this SPI is to allow varying configuration sources in the Hystrix framework. This means that it allows different ways of loading and providing properties or configurations to the Hystrix commands.</t>
        </is>
      </c>
      <c r="M472" t="n">
        <v>0.0037</v>
      </c>
      <c r="N472" t="n">
        <v>0.0597</v>
      </c>
      <c r="O472" t="n">
        <v>0.1154</v>
      </c>
    </row>
    <row r="473">
      <c r="A473" t="inlineStr">
        <is>
          <t>hystrix</t>
        </is>
      </c>
      <c r="B473" t="inlineStr">
        <is>
          <t>hystrix-core/src/main/java/com/netflix/hystrix/strategy/properties/HystrixPropertiesStrategyDefault.java</t>
        </is>
      </c>
      <c r="C473">
        <f>HYPERLINK("https://github.com/Netflix/Hystrix/blob/master/hystrix-core/src/main/java/com/netflix/hystrix/strategy/properties/HystrixPropertiesStrategyDefault.java")</f>
        <v/>
      </c>
      <c r="D473" t="inlineStr">
        <is>
          <t>The code provided is a default implementation of the Hystrix Properties Strategy from Netflix's Hystrix library. It extends the abstract class `HystrixPropertiesStrategy` and provides its own properties for use in Hystrix commands. The strategy uses an instance variable to hold itself (a singleton), which seems unnecessary as there are no stateful fields that would need to be preserved</t>
        </is>
      </c>
      <c r="E473" t="n">
        <v>0.0031</v>
      </c>
      <c r="F473" t="n">
        <v>0.0597</v>
      </c>
      <c r="G473" t="n">
        <v>0.1154</v>
      </c>
      <c r="H473" t="inlineStr">
        <is>
          <t>The code provided is a Java class named `HystrixPropertiesStrategyDefault` that extends the abstract base class `HystrixPropertiesStrategy`. This class provides a default implementation of Hystrix properties strategy which can be used as a fallback in case no other specific strategies are defined for handling these properties. The license at the top indicates this software is licensed under Apache 2.0 and</t>
        </is>
      </c>
      <c r="I473" t="n">
        <v>0.0041</v>
      </c>
      <c r="J473" t="n">
        <v>0.0882</v>
      </c>
      <c r="K473" t="n">
        <v>0.284</v>
      </c>
      <c r="L473" t="inlineStr">
        <is>
          <t>The provided code is a default implementation of the HystrixPropertiesStrategy class in Java. This class extends from HystrixPropertiesStrategy and provides its own properties strategy for handling circuit breakers. The purpose of this class seems to be to provide customization on how Hystrix handles circuit breaker related properties.
The main functionality it offers includes overriding certain properties like execution timeout duration</t>
        </is>
      </c>
      <c r="M473" t="n">
        <v>0.004</v>
      </c>
      <c r="N473" t="n">
        <v>0.0588</v>
      </c>
      <c r="O473" t="n">
        <v>0.1515</v>
      </c>
    </row>
    <row r="474">
      <c r="A474" t="inlineStr">
        <is>
          <t>hystrix</t>
        </is>
      </c>
      <c r="B474" t="inlineStr">
        <is>
          <t>hystrix-core/src/main/java/com/netflix/hystrix/strategy/properties/HystrixPropertiesStrategy.java</t>
        </is>
      </c>
      <c r="C474">
        <f>HYPERLINK("https://github.com/Netflix/Hystrix/blob/master/hystrix-core/src/main/java/com/netflix/hystrix/strategy/properties/HystrixPropertiesStrategy.java")</f>
        <v/>
      </c>
      <c r="D474" t="inlineStr">
        <is>
          <t>The provided code is a Java implementation of Netflix's Hystrix library for handling failures and latency issues in distributed systems. It includes classes related to properties used by the collapser (a class that groups requests together), command keys (identifiers for commands), thread pools (for managing threads within an application), and more. The license at the top allows reuse under certain conditions as specified</t>
        </is>
      </c>
      <c r="E474" t="n">
        <v>0.0029</v>
      </c>
      <c r="F474" t="n">
        <v>0.0556</v>
      </c>
      <c r="G474" t="n">
        <v>0.1111</v>
      </c>
      <c r="H474" t="inlineStr">
        <is>
          <t>The provided code is a Java implementation of the Hystrix library's command pattern for handling fault tolerance and resilience in distributed systems. The function `add` takes two parameters (a, b), adds them together using the + operator, then returns the result. This operation has a time complexity of O(1).
Here are some key points about this code:</t>
        </is>
      </c>
      <c r="I474" t="n">
        <v>0.0038</v>
      </c>
      <c r="J474" t="n">
        <v>0.0606</v>
      </c>
      <c r="K474" t="n">
        <v>0.155</v>
      </c>
      <c r="L474" t="inlineStr">
        <is>
          <t>The provided code is a part of Netflix's Hystrix library for handling failures and latency issues in distributed systems. It defines the properties used by various parts of the system to control how commands behave when they are executed or collapsed into batch requests.
The main purpose of this code is to define customizable command execution behavior using Hystrix Collapser feature which allows you</t>
        </is>
      </c>
      <c r="M474" t="n">
        <v>0.0028</v>
      </c>
      <c r="N474" t="n">
        <v>0.0274</v>
      </c>
      <c r="O474" t="n">
        <v>0.1103</v>
      </c>
    </row>
    <row r="475">
      <c r="A475" t="inlineStr">
        <is>
          <t>hystrix</t>
        </is>
      </c>
      <c r="B475" t="inlineStr">
        <is>
          <t>hystrix-core/src/main/java/com/netflix/hystrix/strategy/properties/HystrixPropertiesChainedProperty.java</t>
        </is>
      </c>
      <c r="C475">
        <f>HYPERLINK("https://github.com/Netflix/Hystrix/blob/master/hystrix-core/src/main/java/com/netflix/hystrix/strategy/properties/HystrixPropertiesChainedProperty.java")</f>
        <v/>
      </c>
      <c r="D475" t="inlineStr">
        <is>
          <t>The provided code is a Java class that defines the ChainedPropertiesStrategy for Hystrix, which is an open source library used to handle fault tolerance in distributed systems. It chains together default properties and uses them according to their precedence levels. The strategy also logs any changes made during its execution. This implementation does not seem to be directly related to core algorithms but rather provides a way of managing property</t>
        </is>
      </c>
      <c r="E475" t="n">
        <v>0.0034</v>
      </c>
      <c r="F475" t="n">
        <v>0.0769</v>
      </c>
      <c r="G475" t="n">
        <v>0.1761</v>
      </c>
      <c r="H475" t="inlineStr">
        <is>
          <t>The provided code is a Java implementation of the Chained Properties strategy for Hystrix, which allows you to chain together defaults properties that are used by Hystrix commands and circuits. The complexity of this function appears to be O(n), where n represents the number of default properties being chained together. This could potentially increase with each additional property added.
The copyright notice at the</t>
        </is>
      </c>
      <c r="I475" t="n">
        <v>0.0034</v>
      </c>
      <c r="J475" t="n">
        <v>0.0548</v>
      </c>
      <c r="K475" t="n">
        <v>0.1471</v>
      </c>
      <c r="L475" t="inlineStr">
        <is>
          <t>The provided code is a Java class named `DefaultPropertiesStrategy` that implements the Hystrix properties strategy pattern using chained default properties and plugins for logging purposes. It defines several methods related to property management such as setting or getting command key specific properties which are used by Netflix's Hystrix library. The purpose of this class seems to be providing a way to manage and override default properties</t>
        </is>
      </c>
      <c r="M475" t="n">
        <v>0.0033</v>
      </c>
      <c r="N475" t="n">
        <v>0.0533</v>
      </c>
      <c r="O475" t="n">
        <v>0.1449</v>
      </c>
    </row>
    <row r="476">
      <c r="A476" t="inlineStr">
        <is>
          <t>hystrix</t>
        </is>
      </c>
      <c r="B476" t="inlineStr">
        <is>
          <t>hystrix-core/src/main/java/com/netflix/hystrix/strategy/properties/HystrixDynamicPropertiesSystemProperties.java</t>
        </is>
      </c>
      <c r="C476">
        <f>HYPERLINK("https://github.com/Netflix/Hystrix/blob/master/hystrix-core/src/main/java/com/netflix/hystrix/strategy/properties/HystrixDynamicPropertiesSystemProperties.java")</f>
        <v/>
      </c>
      <c r="D476" t="inlineStr">
        <is>
          <t>The provided code is a Java class named `HystrixDynamicPropertiesSystemProperties` that implements the interface `HystrixDynamicProperties`. This class provides functionality for dynamic properties in Hystrix, which could be used to configure and control aspects of the system like circuit breakers or thread pools dynamically at runtime. The constructor is private and only accessible within this package (as indicated by the</t>
        </is>
      </c>
      <c r="E476" t="n">
        <v>0.0045</v>
      </c>
      <c r="F476" t="n">
        <v>0.09089999999999999</v>
      </c>
      <c r="G476" t="n">
        <v>0.1538</v>
      </c>
      <c r="H476" t="inlineStr">
        <is>
          <t>The code you provided is a Java class that implements the HystrixDynamicProperties interface and provides an instance of itself as a singleton. It uses anonymous classes to create dynamic properties with integer values. The complexity here is O(n), where n refers to the number of different property names used in your application. Each unique name will result in a new anonymous inner class being created at runtime. This</t>
        </is>
      </c>
      <c r="I476" t="n">
        <v>0.0035</v>
      </c>
      <c r="J476" t="n">
        <v>0.0519</v>
      </c>
      <c r="K476" t="n">
        <v>0.1429</v>
      </c>
      <c r="L476" t="inlineStr">
        <is>
          <t>The provided code is a Java class named HystrixDynamicPropertiesSystemProperties that implements the interface HystrixDynamicProperties. This class provides an implementation for dynamic properties related to integer values. The main purpose of this class seems to be managing system properties and providing fallbacks in case these properties are not found or have invalid values.
The functionality can be summarized as follows:</t>
        </is>
      </c>
      <c r="M476" t="n">
        <v>0.0044</v>
      </c>
      <c r="N476" t="n">
        <v>0.0896</v>
      </c>
      <c r="O476" t="n">
        <v>0.1527</v>
      </c>
    </row>
    <row r="477">
      <c r="A477" t="inlineStr">
        <is>
          <t>hystrix</t>
        </is>
      </c>
      <c r="B477" t="inlineStr">
        <is>
          <t>hystrix-core/src/main/java/com/netflix/hystrix/strategy/properties/HystrixProperty.java</t>
        </is>
      </c>
      <c r="C477">
        <f>HYPERLINK("https://github.com/Netflix/Hystrix/blob/master/hystrix-core/src/main/java/com/netflix/hystrix/strategy/properties/HystrixProperty.java")</f>
        <v/>
      </c>
      <c r="D477" t="inlineStr">
        <is>
          <t>The provided code is a Java implementation of Hystrix properties using Archaius property configuration library. It provides dynamic configurations for various aspects such as circuit breakers and command execution timeouts. The license details are also included at the top of this file which specifies that it's licensed under Apache License 2.0.
The main classes used in this code include `Hystrix</t>
        </is>
      </c>
      <c r="E477" t="n">
        <v>0.003</v>
      </c>
      <c r="F477" t="n">
        <v>0.0571</v>
      </c>
      <c r="G477" t="n">
        <v>0.1515</v>
      </c>
      <c r="H477" t="inlineStr">
        <is>
          <t>The provided code is a Java class that defines properties for Hystrix, which is used in Netflix's microservices architecture to handle fault tolerance and resilience. The main components of this class are DynamicBooleanProperty, DynamicIntegerProperty, and DynamicLongProperty classes that extend the Archaius property system with dynamic properties. These properties can be configured at runtime based on different</t>
        </is>
      </c>
      <c r="I477" t="n">
        <v>0.0033</v>
      </c>
      <c r="J477" t="n">
        <v>0.0615</v>
      </c>
      <c r="K477" t="n">
        <v>0.1172</v>
      </c>
      <c r="L477" t="inlineStr">
        <is>
          <t>The provided code is a part of Netflix's Hystrix library for Java. It defines three classes that extend the `HystrixPropertiesChainedArchaiusProperty` class to create dynamic properties with boolean, integer and long values respectively. These properties are used in various parts of the application like circuit breakers or command execution timeouts. The purpose of these classes seems to be to</t>
        </is>
      </c>
      <c r="M477" t="n">
        <v>0.0031</v>
      </c>
      <c r="N477" t="n">
        <v>0.0299</v>
      </c>
      <c r="O477" t="n">
        <v>0.0769</v>
      </c>
    </row>
    <row r="478">
      <c r="A478" t="inlineStr">
        <is>
          <t>hystrix</t>
        </is>
      </c>
      <c r="B478" t="inlineStr">
        <is>
          <t>hystrix-core/src/main/java/com/netflix/hystrix/strategy/properties/archaius/HystrixDynamicPropertiesArchaius.java</t>
        </is>
      </c>
      <c r="C478">
        <f>HYPERLINK("https://github.com/Netflix/Hystrix/blob/master/hystrix-core/src/main/java/com/netflix/hystrix/strategy/properties/archaius/HystrixDynamicPropertiesArchaius.java")</f>
        <v/>
      </c>
      <c r="D478" t="inlineStr">
        <is>
          <t>The provided code is a Java class that extends the HystrixDynamicProperties abstract class from Netflix's hystrix library to create dynamic properties for Archaius configuration. The purpose of this class seems to be encapsulating complex behavior related to property management and manipulation in an application context where such configurations are handled by Apache Archibus (Archaius). This includes wrapping property</t>
        </is>
      </c>
      <c r="E478" t="n">
        <v>0.0037</v>
      </c>
      <c r="F478" t="n">
        <v>0.0597</v>
      </c>
      <c r="G478" t="n">
        <v>0.0769</v>
      </c>
      <c r="H478" t="inlineStr">
        <is>
          <t>The code provided is a Java class that implements the Hystrix Dynamic Properties feature from Netflix's Archaius library. It includes an @ExcludeFromJavadoc annotation which suggests it should not be directly used in other classes but rather imported as needed by specific components of their backend software system. The complexity appears to be O(n), where n represents the number of properties being</t>
        </is>
      </c>
      <c r="I478" t="n">
        <v>0.0036</v>
      </c>
      <c r="J478" t="n">
        <v>0.0282</v>
      </c>
      <c r="K478" t="n">
        <v>0.1128</v>
      </c>
      <c r="L478" t="inlineStr">
        <is>
          <t>The code provided is a Java class named `DefaultHystrixDynamicProperties` that extends the abstract base class `HystrixDynamicProperties` from the Hystrix library for Netflix OSS. This class wraps Archieus properties and provides an interface to access them in a thread safe manner. The main purpose of this class seems to be managing dynamic property updates based on changes in configuration</t>
        </is>
      </c>
      <c r="M478" t="n">
        <v>0.0037</v>
      </c>
      <c r="N478" t="n">
        <v>0.0606</v>
      </c>
      <c r="O478" t="n">
        <v>0.0769</v>
      </c>
    </row>
    <row r="479">
      <c r="A479" t="inlineStr">
        <is>
          <t>hystrix</t>
        </is>
      </c>
      <c r="B479" t="inlineStr">
        <is>
          <t>hystrix-core/src/main/java/com/netflix/hystrix/strategy/concurrency/HystrixContextRunnable.java</t>
        </is>
      </c>
      <c r="C479">
        <f>HYPERLINK("https://github.com/Netflix/Hystrix/blob/master/hystrix-core/src/main/java/com/netflix/hystrix/strategy/concurrency/HystrixContextRunnable.java")</f>
        <v/>
      </c>
      <c r="D479" t="inlineStr">
        <is>
          <t>The provided code is a wrapper around the {@link Runnable} that manages the initialization and cleanup of the {@link HystrixRequestContext} for the execution of the {@link Runnable}. The context ensures proper isolation between threads in case of distributed systems or microservices architecture to prevent race conditions etc., which are common issues with concurrent programming. It also includes Apache License</t>
        </is>
      </c>
      <c r="E479" t="n">
        <v>0.0031</v>
      </c>
      <c r="F479" t="n">
        <v>0.0299</v>
      </c>
      <c r="G479" t="n">
        <v>0.0382</v>
      </c>
      <c r="H479" t="inlineStr">
        <is>
          <t>The provided code is a wrapper class called HystrixContextRunnable that implements the Runnable interface and wraps another Runnable object. This class manages the initialization of the Hystrix request context for the execution of the wrapped runnable. The clean up of this context is also handled in this class. 
The copyright notice at the top indicates it'</t>
        </is>
      </c>
      <c r="I479" t="n">
        <v>0.0043</v>
      </c>
      <c r="J479" t="n">
        <v>0.0625</v>
      </c>
      <c r="K479" t="n">
        <v>0.1172</v>
      </c>
      <c r="L479" t="inlineStr">
        <is>
          <t>The provided code is a wrapper class `HystrixContextRunnable` that implements the Runnable interface and manages the initialization and cleanup of Hystrix request context for execution of another Runnable object.
It's designed to ensure proper management of concurrency in distributed systems by providing isolation from other threads within an application. The purpose of this class seems to</t>
        </is>
      </c>
      <c r="M479" t="n">
        <v>0.0039</v>
      </c>
      <c r="N479" t="n">
        <v>0.0615</v>
      </c>
      <c r="O479" t="n">
        <v>0.1172</v>
      </c>
    </row>
    <row r="480">
      <c r="A480" t="inlineStr">
        <is>
          <t>hystrix</t>
        </is>
      </c>
      <c r="B480" t="inlineStr">
        <is>
          <t>hystrix-core/src/main/java/com/netflix/hystrix/strategy/concurrency/HystrixContextSchedulerAction.java</t>
        </is>
      </c>
      <c r="C480">
        <f>HYPERLINK("https://github.com/Netflix/Hystrix/blob/master/hystrix-core/src/main/java/com/netflix/hystrix/strategy/concurrency/HystrixContextSchedulerAction.java")</f>
        <v/>
      </c>
      <c r="D480" t="inlineStr">
        <is>
          <t>The provided code is a wrapper around the {@link Func2} that manages the initialization and clean up of the {@link HystrixRequestContext} for the execution of the {@link Func2}. It ensures proper context management during function evaluation to prevent potential issues related to thread safety or concurrency control in complex systems like Netflix's Hystrix library. The summary provides an</t>
        </is>
      </c>
      <c r="E480" t="n">
        <v>0.0031</v>
      </c>
      <c r="F480" t="n">
        <v>0.0299</v>
      </c>
      <c r="G480" t="n">
        <v>0.0769</v>
      </c>
      <c r="H480" t="inlineStr">
        <is>
          <t>The provided code is a wrapper around the `Func2` interface from RxJava library that manages the initialization and cleanup of the Hystrix request context for execution of the Func2 function. The complexity here would be O(1), as it only involves creating an object with some fields and methods without any loops or recursive calls. It also seems to follow the Apache License</t>
        </is>
      </c>
      <c r="I480" t="n">
        <v>0.0029</v>
      </c>
      <c r="J480" t="n">
        <v>0.0563</v>
      </c>
      <c r="K480" t="n">
        <v>0.0373</v>
      </c>
      <c r="L480" t="inlineStr">
        <is>
          <t>The provided code is a wrapper class for executing a Callable object within the Hystrix framework's context. The main purpose of this class seems to be managing and controlling the initialization and clean up of the Hystrix Request Context related to the execution of the given Callable object.
Here are some key operations performed in this class:
1. Initializes an instance variable</t>
        </is>
      </c>
      <c r="M480" t="n">
        <v>0.0029</v>
      </c>
      <c r="N480" t="n">
        <v>0.0563</v>
      </c>
      <c r="O480" t="n">
        <v>0.0746</v>
      </c>
    </row>
    <row r="481">
      <c r="A481" t="inlineStr">
        <is>
          <t>hystrix</t>
        </is>
      </c>
      <c r="B481" t="inlineStr">
        <is>
          <t>hystrix-core/src/main/java/com/netflix/hystrix/strategy/concurrency/HystrixContextCallable.java</t>
        </is>
      </c>
      <c r="C481">
        <f>HYPERLINK("https://github.com/Netflix/Hystrix/blob/master/hystrix-core/src/main/java/com/netflix/hystrix/strategy/concurrency/HystrixContextCallable.java")</f>
        <v/>
      </c>
      <c r="D481" t="inlineStr">
        <is>
          <t>The code provided is a wrapper around the Callable interface that manages the initialization and clean up of HystrixRequestContext for execution of the Callable. It ensures proper management of resources related to concurrent processing in an application using Netflix's Hystrix library. The complexity of this implementation is O(N), where N represents the number of threads executing within the context.</t>
        </is>
      </c>
      <c r="E481" t="n">
        <v>0.0031</v>
      </c>
      <c r="F481" t="n">
        <v>0.058</v>
      </c>
      <c r="G481" t="n">
        <v>0.1527</v>
      </c>
      <c r="H481" t="inlineStr">
        <is>
          <t>The provided code is a wrapper class for `Callable` that manages the initialization and cleanup of Hystrix request context during execution of the callable task. The complexity is O(n), where n represents the number of tasks in the queue.
The copyright notice at the top indicates this software package complies with Apache License 2.0 which allows you to use it</t>
        </is>
      </c>
      <c r="I481" t="n">
        <v>0.0036</v>
      </c>
      <c r="J481" t="n">
        <v>0.0571</v>
      </c>
      <c r="K481" t="n">
        <v>0.2391</v>
      </c>
      <c r="L481" t="inlineStr">
        <is>
          <t>The given code is a wrapper class that manages the initialization and cleanup of Hystrix's {@linkplain Callable callable command}'s execution using {@linkplain HystrixRequestContext request context}. It takes care of initializing and cleaning up the Hystrix Request Context for executing any provided {@linkplain Callable Callable task}, ensuring proper management of resources related to con</t>
        </is>
      </c>
      <c r="M481" t="n">
        <v>0.0035</v>
      </c>
      <c r="N481" t="n">
        <v>0.0317</v>
      </c>
      <c r="O481" t="n">
        <v>0.08</v>
      </c>
    </row>
    <row r="482">
      <c r="A482" t="inlineStr">
        <is>
          <t>hystrix</t>
        </is>
      </c>
      <c r="B482" t="inlineStr">
        <is>
          <t>hystrix-core/src/main/java/com/netflix/hystrix/strategy/concurrency/HystrixLifecycleForwardingRequestVariable.java</t>
        </is>
      </c>
      <c r="C482">
        <f>HYPERLINK("https://github.com/Netflix/Hystrix/blob/master/hystrix-core/src/main/java/com/netflix/hystrix/strategy/concurrency/HystrixLifecycleForwardingRequestVariable.java")</f>
        <v/>
      </c>
      <c r="D482" t="inlineStr">
        <is>
          <t>This code is a wrapper for the HystrixRequestVariable which allows access to thread local variables within a specific context provided by Hystrix's HystrixRequestContext. It returns null when accessed outside of this initialized context rather than throwing an exception. The purpose seems to be to provide more control over concurrent execution and handling of requests in distributed systems.</t>
        </is>
      </c>
      <c r="E482" t="n">
        <v>0.0038</v>
      </c>
      <c r="F482" t="n">
        <v>0.0606</v>
      </c>
      <c r="G482" t="n">
        <v>0.0775</v>
      </c>
      <c r="H482" t="inlineStr">
        <is>
          <t>The provided code is a Java package named com.netflix.hystrix.strategy.concurrency which implements the HystrixRequestVariable interface and uses HystrixRequestVariableLifecycle for managing request variables in a thread-safe manner. The implementation also handles cases where get() method is called without an initialized context by returning null instead of throwing exceptions. This allows usage within</t>
        </is>
      </c>
      <c r="I482" t="n">
        <v>0.0048</v>
      </c>
      <c r="J482" t="n">
        <v>0.0635</v>
      </c>
      <c r="K482" t="n">
        <v>0.1639</v>
      </c>
      <c r="L482" t="inlineStr">
        <is>
          <t>The provided code is a part of the Hystrix library for Java that implements {@link HystrixRequestVariable}, which forward its operations to the wrapped {@link HystrixRequestVariableLifecycle}. This implementation returns null when {@link #get()} is called while the {@link HystrixRequestContext} has not been initialized rather than throwing an exception, allowing it to be</t>
        </is>
      </c>
      <c r="M482" t="n">
        <v>0.0043</v>
      </c>
      <c r="N482" t="n">
        <v>0.0678</v>
      </c>
      <c r="O482" t="n">
        <v>0.122</v>
      </c>
    </row>
    <row r="483">
      <c r="A483" t="inlineStr">
        <is>
          <t>hystrix</t>
        </is>
      </c>
      <c r="B483" t="inlineStr">
        <is>
          <t>hystrix-core/src/main/java/com/netflix/hystrix/strategy/concurrency/HystrixConcurrencyStrategyDefault.java</t>
        </is>
      </c>
      <c r="C483">
        <f>HYPERLINK("https://github.com/Netflix/Hystrix/blob/master/hystrix-core/src/main/java/com/netflix/hystrix/strategy/concurrency/HystrixConcurrencyStrategyDefault.java")</f>
        <v/>
      </c>
      <c r="D483" t="inlineStr">
        <is>
          <t>The code provided is a default implementation of the Hystrix Concurrency Strategy using standard java util concurrent implementations. It provides an example of how to create and use custom thread pools in conjunction with Hystrix commands. The complexity of this algorithm is O(n), where n represents the number of threads needed for execution. This repository contains backend software components that are complex algorithms implemented.</t>
        </is>
      </c>
      <c r="E483" t="n">
        <v>0.0037</v>
      </c>
      <c r="F483" t="n">
        <v>0.0822</v>
      </c>
      <c r="G483" t="n">
        <v>0.1838</v>
      </c>
      <c r="H483" t="inlineStr">
        <is>
          <t>The provided code is a Java class named `HystrixConcurrencyStrategyDefault` that extends the abstract base class `HystrixConcurrencyStrategy` from Hystrix library for handling concurrency in distributed systems. The purpose of this class seems to be providing default implementation for some methods defined by its parent interface which are not overridden here but can be implemented based on business logic requirements.</t>
        </is>
      </c>
      <c r="I483" t="n">
        <v>0</v>
      </c>
      <c r="J483" t="n">
        <v>0.09089999999999999</v>
      </c>
      <c r="K483" t="n">
        <v>0.0769</v>
      </c>
      <c r="L483" t="inlineStr">
        <is>
          <t>The provided code is an implementation of the Default Hystrix Concurrency Strategy using standard Java util concurrent implementations. This strategy provides a default behavior for how commands are executed and managed in terms of threading model. The main purpose of this class seems to be providing a fallback mechanism when dealing with command execution failures or timeouts. It uses static instances of itself (`Hystrix</t>
        </is>
      </c>
      <c r="M483" t="n">
        <v>0.0034</v>
      </c>
      <c r="N483" t="n">
        <v>0.0556</v>
      </c>
      <c r="O483" t="n">
        <v>0.1471</v>
      </c>
    </row>
    <row r="484">
      <c r="A484" t="inlineStr">
        <is>
          <t>hystrix</t>
        </is>
      </c>
      <c r="B484" t="inlineStr">
        <is>
          <t>hystrix-core/src/main/java/com/netflix/hystrix/strategy/concurrency/package-info.java</t>
        </is>
      </c>
      <c r="C484">
        <f>HYPERLINK("https://github.com/Netflix/Hystrix/blob/master/hystrix-core/src/main/java/com/netflix/hystrix/strategy/concurrency/package-info.java")</f>
        <v/>
      </c>
      <c r="D484" t="inlineStr">
        <is>
          <t>The code provided appears to be a strategy definition for concurrency related behavior in the Hystrix library of Netflix's open source project. It defines how different parts of an application should handle concurrent requests and provides default implementations where necessary. The code is licensed under Apache 2.0 License which means it can be used freely but any modifications must also remain open sourced with same license</t>
        </is>
      </c>
      <c r="E484" t="n">
        <v>0.0028</v>
      </c>
      <c r="F484" t="n">
        <v>0.0263</v>
      </c>
      <c r="G484" t="n">
        <v>0.1087</v>
      </c>
      <c r="H484" t="inlineStr">
        <is>
          <t>The provided code is a Java implementation of the Netflix Hystrix library's concurrency strategy definition for handling backend software components related to concurrency behavior and default implementations. The complexity of this function appears to be O(n), where n refers to the number of threads being managed by the system. This could potentially vary depending on specific use cases or configurations.
The README</t>
        </is>
      </c>
      <c r="I484" t="n">
        <v>0.0039</v>
      </c>
      <c r="J484" t="n">
        <v>0.0833</v>
      </c>
      <c r="K484" t="n">
        <v>0.1866</v>
      </c>
      <c r="L484" t="inlineStr">
        <is>
          <t>ThegivencodefilestructuredefinesaStrategydefinitionforconcurrencyrelatedbehavioranddefaultimplementation.Itusesannotations(@since1.0.0)indicatingthatthisfeaturewasintroducedintheversion1.0.0ofHystrixlibrary.Thecodealsoincludescopyrightdetailsandlicenseconditionswhichstipulateanyuseoftheselementsmustfollowapproved</t>
        </is>
      </c>
      <c r="M484" t="n">
        <v>0</v>
      </c>
      <c r="N484" t="n">
        <v>0</v>
      </c>
      <c r="O484" t="n">
        <v>0</v>
      </c>
    </row>
    <row r="485">
      <c r="A485" t="inlineStr">
        <is>
          <t>hystrix</t>
        </is>
      </c>
      <c r="B485" t="inlineStr">
        <is>
          <t>hystrix-core/src/main/java/com/netflix/hystrix/strategy/concurrency/HystrixRequestVariableDefault.java</t>
        </is>
      </c>
      <c r="C485">
        <f>HYPERLINK("https://github.com/Netflix/Hystrix/blob/master/hystrix-core/src/main/java/com/netflix/hystrix/strategy/concurrency/HystrixRequestVariableDefault.java")</f>
        <v/>
      </c>
      <c r="D485" t="inlineStr">
        <is>
          <t>```plaintext
The code provided is a default implementation of the HystrixRequestVariable interface which extends ConcurrentHashMap and uses thread local storage to store variables scoped at the user request level. 
It's managed by an instance of HystrixRequestContext. The class also includes logging capabilities for error handling purposes with SLF4J logger. It has O</t>
        </is>
      </c>
      <c r="E485" t="n">
        <v>0.0035</v>
      </c>
      <c r="F485" t="n">
        <v>0.06560000000000001</v>
      </c>
      <c r="G485" t="n">
        <v>0.121</v>
      </c>
      <c r="H485" t="inlineStr">
        <is>
          <t>The code you provided is a Java implementation of the Hystrix Request Variable pattern used in distributed systems to manage concurrency and isolate variables at different levels (like user requests). The class `HystrixRequestVariable` uses Concurrent Hash Map for storing values associated with each thread or request. This allows multiple threads running within the same context (i.e., one request) to share</t>
        </is>
      </c>
      <c r="I485" t="n">
        <v>0.0036</v>
      </c>
      <c r="J485" t="n">
        <v>0.058</v>
      </c>
      <c r="K485" t="n">
        <v>0.1515</v>
      </c>
      <c r="L485" t="inlineStr">
        <is>
          <t>The code provided is a Java implementation of the Hystrix Request Variable concept in Netflix's Hystrix library. It provides thread-local storage for request scoped variables that are managed by an instance of {@linkplain HystrixRequestContext}. The class uses ConcurrentHashMap to store and retrieve these variables which ensures concurrent access safety. This map holds data related to user</t>
        </is>
      </c>
      <c r="M485" t="n">
        <v>0.0039</v>
      </c>
      <c r="N485" t="n">
        <v>0.0606</v>
      </c>
      <c r="O485" t="n">
        <v>0.1563</v>
      </c>
    </row>
    <row r="486">
      <c r="A486" t="inlineStr">
        <is>
          <t>hystrix</t>
        </is>
      </c>
      <c r="B486" t="inlineStr">
        <is>
          <t>hystrix-core/src/main/java/com/netflix/hystrix/strategy/concurrency/HystrixRequestVariableLifecycle.java</t>
        </is>
      </c>
      <c r="C486">
        <f>HYPERLINK("https://github.com/Netflix/Hystrix/blob/master/hystrix-core/src/main/java/com/netflix/hystrix/strategy/concurrency/HystrixRequestVariableLifecycle.java")</f>
        <v/>
      </c>
      <c r="D486" t="inlineStr">
        <is>
          <t>The provided code is an interface named `HystrixRequestVariableLifecycle` that defines the lifecycle methods executed by implementations of `HystrixRequestVariable`. The generic type parameter T represents a specific data type for which these variables are being created and managed. This interface has three main methods: 
1. `initialize(): void` - Invoked</t>
        </is>
      </c>
      <c r="E486" t="n">
        <v>0.0045</v>
      </c>
      <c r="F486" t="n">
        <v>0.0727</v>
      </c>
      <c r="G486" t="n">
        <v>0.125</v>
      </c>
      <c r="H486" t="inlineStr">
        <is>
          <t>The code you provided is a Java interface named `HystrixRequestVariableLifecycle` that defines the lifecycle methods for an object of type T to be used with Hystrix request variable. The lifecycle methods are executed by an implementation of this interface when certain events occur such as when get method on Hystrix Request Variable is first called.
Here</t>
        </is>
      </c>
      <c r="I486" t="n">
        <v>0</v>
      </c>
      <c r="J486" t="n">
        <v>0.0312</v>
      </c>
      <c r="K486" t="n">
        <v>0.1172</v>
      </c>
      <c r="L486" t="inlineStr">
        <is>
          <t>The provided code is a Java interface named `HystrixRequestVariableLifecycle` that defines the lifecycle methods executed by an implementation of `HystrixRequestVariable`. The purpose of this interface seems to be managing and controlling request variable behavior in Hystrix, which could potentially involve thread management or resource usage optimization for distributed systems.
Here's a conc</t>
        </is>
      </c>
      <c r="M486" t="n">
        <v>0.0035</v>
      </c>
      <c r="N486" t="n">
        <v>0.06560000000000001</v>
      </c>
      <c r="O486" t="n">
        <v>0.121</v>
      </c>
    </row>
    <row r="487">
      <c r="A487" t="inlineStr">
        <is>
          <t>hystrix</t>
        </is>
      </c>
      <c r="B487" t="inlineStr">
        <is>
          <t>hystrix-core/src/main/java/com/netflix/hystrix/strategy/concurrency/HystrixRequestVariableHolder.java</t>
        </is>
      </c>
      <c r="C487">
        <f>HYPERLINK("https://github.com/Netflix/Hystrix/blob/master/hystrix-core/src/main/java/com/netflix/hystrix/strategy/concurrency/HystrixRequestVariableHolder.java")</f>
        <v/>
      </c>
      <c r="D487" t="inlineStr">
        <is>
          <t>The code provided appears to be a factory class that manages the functionality of Hystrix request variables for internal use within Netflix's Hystrix framework. The main purpose is to provide an abstraction layer between actual {@link HystrixRequestVariable} and calling code allowing injected implementations. This helps in managing concurrent requests efficiently by using ConcurrentHashMap data structure from Java</t>
        </is>
      </c>
      <c r="E487" t="n">
        <v>0.0042</v>
      </c>
      <c r="F487" t="n">
        <v>0.0606</v>
      </c>
      <c r="G487" t="n">
        <v>0.1163</v>
      </c>
      <c r="H487" t="inlineStr">
        <is>
          <t>The provided code is a Java class named HystrixRequestVariable that uses the ConcurrentHashMap from java.util.concurrent package to store and retrieve data concurrently in an efficient manner. The license at the top of this file specifies its usage conditions under Apache License 2.0. This repository contains backend software components implementing core algorithms for handling requests with circuit breakers.</t>
        </is>
      </c>
      <c r="I487" t="n">
        <v>0.0045</v>
      </c>
      <c r="J487" t="n">
        <v>0.1176</v>
      </c>
      <c r="K487" t="n">
        <v>0.3305</v>
      </c>
      <c r="L487" t="inlineStr">
        <is>
          <t>The provided code is a factory class named HystrixRequestVariableFactory that encapsulates the functionality of {@link HystrixRequestVariable}. It's used as an intermediary layer between the actual {@link HystrixRequestVariable} and calling code to allow injected implementations of this variable. The main purpose of this class is to provide thread safety for request variables by using Con</t>
        </is>
      </c>
      <c r="M487" t="n">
        <v>0.004</v>
      </c>
      <c r="N487" t="n">
        <v>0.0635</v>
      </c>
      <c r="O487" t="n">
        <v>0.1587</v>
      </c>
    </row>
    <row r="488">
      <c r="A488" t="inlineStr">
        <is>
          <t>hystrix</t>
        </is>
      </c>
      <c r="B488" t="inlineStr">
        <is>
          <t>hystrix-core/src/main/java/com/netflix/hystrix/strategy/concurrency/HystrixRequestVariable.java</t>
        </is>
      </c>
      <c r="C488">
        <f>HYPERLINK("https://github.com/Netflix/Hystrix/blob/master/hystrix-core/src/main/java/com/netflix/hystrix/strategy/concurrency/HystrixRequestVariable.java")</f>
        <v/>
      </c>
      <c r="D488" t="inlineStr">
        <is>
          <t>The provided code is a Java interface for variables similar to `ThreadLocal` but scoped at the user request level in Hystrix library of Netflix. The default implementation is managed by `HystrixRequestContext` and custom implementations can be injected using `HystrixPlugins`. This repository contains backend software components related to complex algorithms.
# Code Ex</t>
        </is>
      </c>
      <c r="E488" t="n">
        <v>0.0046</v>
      </c>
      <c r="F488" t="n">
        <v>0.0678</v>
      </c>
      <c r="G488" t="n">
        <v>0.2016</v>
      </c>
      <c r="H488" t="inlineStr">
        <is>
          <t>The code provided is a Java interface for a variable similar to ThreadLocal but scoped at the user request level in Netflix's Hystrix library. The default implementation of this interface is managed by HystrixRequestContext and custom implementations can be injected using HystrixPlugins from the same library. This repository contains backend software components that include core algorithms implemented here.</t>
        </is>
      </c>
      <c r="I488" t="n">
        <v>0.0045</v>
      </c>
      <c r="J488" t="n">
        <v>0.0896</v>
      </c>
      <c r="K488" t="n">
        <v>0.2308</v>
      </c>
      <c r="L488" t="inlineStr">
        <is>
          <t>The provided code is a Java interface for variable similar to ThreadLocal but scoped at the user request level in Netflix's Hystrix library. The default implementation of this interface is managed by HystrixRequestContext and custom implementations can be injected using HystrixPlugins. This functionality allows variables that are thread local within each individual command execution context ensuring isolation between commands executed</t>
        </is>
      </c>
      <c r="M488" t="n">
        <v>0.004</v>
      </c>
      <c r="N488" t="n">
        <v>0.08699999999999999</v>
      </c>
      <c r="O488" t="n">
        <v>0.1515</v>
      </c>
    </row>
    <row r="489">
      <c r="A489" t="inlineStr">
        <is>
          <t>hystrix</t>
        </is>
      </c>
      <c r="B489" t="inlineStr">
        <is>
          <t>hystrix-core/src/main/java/com/netflix/hystrix/strategy/concurrency/HystrixConcurrencyStrategy.java</t>
        </is>
      </c>
      <c r="C489">
        <f>HYPERLINK("https://github.com/Netflix/Hystrix/blob/master/hystrix-core/src/main/java/com/netflix/hystrix/strategy/concurrency/HystrixConcurrencyStrategy.java")</f>
        <v/>
      </c>
      <c r="D489" t="inlineStr">
        <is>
          <t>The code provided is for the Hystrix library in Java which provides fault tolerance patterns to improve resilience and availability of applications by isolating points of access from failure scenarios. The copyright information states that it's licensed under Apache License 2.0. It defines a command execution strategy with concurrent control features using thread pools.
It also includes configuration properties related to thread pool</t>
        </is>
      </c>
      <c r="E489" t="n">
        <v>0.0029</v>
      </c>
      <c r="F489" t="n">
        <v>0.0274</v>
      </c>
      <c r="G489" t="n">
        <v>0.0741</v>
      </c>
      <c r="H489" t="inlineStr">
        <is>
          <t>The provided code is a Java implementation of the addition operation between two numbers using Hystrix library for handling failures and concurrent execution in distributed systems. The complexity of this function is O(1), meaning it performs constant time operations regardless of input size. It uses thread pools to handle concurrent requests efficiently by reusing threads instead of creating new ones each time. This makes it suitable for use cases</t>
        </is>
      </c>
      <c r="I489" t="n">
        <v>0.0031</v>
      </c>
      <c r="J489" t="n">
        <v>0.0513</v>
      </c>
      <c r="K489" t="n">
        <v>0.1418</v>
      </c>
      <c r="L489" t="inlineStr">
        <is>
          <t>The code provided is for a Hystrix command that utilizes the Netflix's Hystrix library to handle asynchronous execution and fault tolerance patterns in distributed systems. The main purpose of this class seems to be creating a new instance of an abstract `HystrixCommand` with customizable properties such as thread pool key and queue size limit. 
The input would typically include</t>
        </is>
      </c>
      <c r="M489" t="n">
        <v>0.0031</v>
      </c>
      <c r="N489" t="n">
        <v>0.0588</v>
      </c>
      <c r="O489" t="n">
        <v>0.07630000000000001</v>
      </c>
    </row>
    <row r="490">
      <c r="A490" t="inlineStr">
        <is>
          <t>hystrix</t>
        </is>
      </c>
      <c r="B490" t="inlineStr">
        <is>
          <t>hystrix-core/src/main/java/com/netflix/hystrix/strategy/concurrency/HystrixRequestContext.java</t>
        </is>
      </c>
      <c r="C490">
        <f>HYPERLINK("https://github.com/Netflix/Hystrix/blob/master/hystrix-core/src/main/java/com/netflix/hystrix/strategy/concurrency/HystrixRequestContext.java")</f>
        <v/>
      </c>
      <c r="D490" t="inlineStr">
        <is>
          <t>The code provided is a Java class for managing the lifecycle of Hystrix request variables and their default values in Netflix's Hystrix library. It uses ConcurrentHashMap to store these variables which ensures thread safety during concurrent accesses. The license information at the top indicates that this software can be used under Apache License 2.0 terms. This repository contains backend components</t>
        </is>
      </c>
      <c r="E490" t="n">
        <v>0.004</v>
      </c>
      <c r="F490" t="n">
        <v>0.0571</v>
      </c>
      <c r="G490" t="n">
        <v>0.1515</v>
      </c>
      <c r="H490" t="inlineStr">
        <is>
          <t>The provided code is a Java class that implements the Hystrix Request Cache for managing and controlling concurrent requests to backend services. The complexity of this implementation appears to be O(n), where n represents the number of commands in the cache. 
It's important to note that without more specific details about how it functions or what exactly needs to be summarized, I can only</t>
        </is>
      </c>
      <c r="I490" t="n">
        <v>0.0034</v>
      </c>
      <c r="J490" t="n">
        <v>0.08110000000000001</v>
      </c>
      <c r="K490" t="n">
        <v>0.1471</v>
      </c>
      <c r="L490" t="inlineStr">
        <is>
          <t>The code provided is a part of the Hystrix library for Java which provides fault tolerance patterns to applications running in a distributed environment. It includes classes related to concurrency and lifecycle management of {@link com.netflix.hystrix.HystrixRequestVariable#DEFAULT}. The main purpose of this code seems to be managing the state and life cycle of request variables used by H</t>
        </is>
      </c>
      <c r="M490" t="n">
        <v>0.0032</v>
      </c>
      <c r="N490" t="n">
        <v>0.058</v>
      </c>
      <c r="O490" t="n">
        <v>0.1163</v>
      </c>
    </row>
    <row r="491">
      <c r="A491" t="inlineStr">
        <is>
          <t>hystrix</t>
        </is>
      </c>
      <c r="B491" t="inlineStr">
        <is>
          <t>hystrix-core/src/main/java/com/netflix/hystrix/strategy/concurrency/HystrixContextScheduler.java</t>
        </is>
      </c>
      <c r="C491">
        <f>HYPERLINK("https://github.com/Netflix/Hystrix/blob/master/hystrix-core/src/main/java/com/netflix/hystrix/strategy/concurrency/HystrixContextScheduler.java")</f>
        <v/>
      </c>
      <c r="D491" t="inlineStr">
        <is>
          <t>The provided code is a Java implementation of concurrency strategies for Hystrix, which is a library designed to isolate points in your system where failure can cause cascading failures by creating fault tolerance mechanisms like circuit breakers and request caching. The main class `ConcurrencyStrategy` wraps a Scheduler so that scheduled actions are wrapped with RxJava's Observables. It uses</t>
        </is>
      </c>
      <c r="E491" t="n">
        <v>0.0031</v>
      </c>
      <c r="F491" t="n">
        <v>0.0597</v>
      </c>
      <c r="G491" t="n">
        <v>0.1154</v>
      </c>
      <c r="H491" t="inlineStr">
        <is>
          <t>The provided code is a Java class that wraps an RxJava Scheduler to provide Hystrix functionality for concurrency control and fault tolerance. It's part of Netflix's Hystrix library which provides resilience patterns in distributed systems. The main component it uses is the `Observable` from RxJava. 
It defines two methods: one</t>
        </is>
      </c>
      <c r="I491" t="n">
        <v>0.0044</v>
      </c>
      <c r="J491" t="n">
        <v>0.0667</v>
      </c>
      <c r="K491" t="n">
        <v>0.082</v>
      </c>
      <c r="L491" t="inlineStr">
        <is>
          <t>```plaintext
The provided code is a part of the Netflix Hystrix library for Java which provides fault tolerance patterns to isolate and control dependencies in distributed systems. The main purpose of this code is to wrap a Scheduler so that scheduled actions are wrapped with Hystrix commands. 
It uses RxJava's Observables and Subscribers</t>
        </is>
      </c>
      <c r="M491" t="n">
        <v>0.0035</v>
      </c>
      <c r="N491" t="n">
        <v>0.0645</v>
      </c>
      <c r="O491" t="n">
        <v>0.12</v>
      </c>
    </row>
    <row r="492">
      <c r="A492" t="inlineStr">
        <is>
          <t>hystrix</t>
        </is>
      </c>
      <c r="B492" t="inlineStr">
        <is>
          <t>hystrix-core/src/main/java/com/netflix/hystrix/strategy/executionhook/package-info.java</t>
        </is>
      </c>
      <c r="C492">
        <f>HYPERLINK("https://github.com/Netflix/Hystrix/blob/master/hystrix-core/src/main/java/com/netflix/hystrix/strategy/executionhook/package-info.java")</f>
        <v/>
      </c>
      <c r="D492" t="inlineStr">
        <is>
          <t>The code provided is a Java class for defining an execution hook strategy in the Hystrix library of Netflix OSS (Open Source Software). The purpose of this strategy definition involves executing certain operations before or after commands are executed within the Hystrix command framework. This helps to control and monitor these operations more effectively by providing hooks into their life cycle. It's licensed under Apache License</t>
        </is>
      </c>
      <c r="E492" t="n">
        <v>0.0033</v>
      </c>
      <c r="F492" t="n">
        <v>0.0533</v>
      </c>
      <c r="G492" t="n">
        <v>0.1087</v>
      </c>
      <c r="H492" t="inlineStr">
        <is>
          <t>The provided code is a Java implementation of the Netflix Hystrix ExecutionHook interface for executing hooks during command execution. The complexity is O(n), where n represents the number of commands being executed concurrently. This implementation defines strategies for handling different types of exceptions and provides an opportunity to perform additional operations before or after each command executes. It's licensed under Apache License</t>
        </is>
      </c>
      <c r="I492" t="n">
        <v>0.0035</v>
      </c>
      <c r="J492" t="n">
        <v>0.0833</v>
      </c>
      <c r="K492" t="n">
        <v>0.1119</v>
      </c>
      <c r="L492" t="inlineStr">
        <is>
          <t>The provided code is a part of Netflix's Hystrix library for Java. It defines the strategy execution hook which allows developers to plug in custom logic before and after command executions. The purpose of this class seems to be to provide an interface that can be extended by other classes implementing specific behaviors related to how commands are executed within their context. This could include things like logging, monitoring or</t>
        </is>
      </c>
      <c r="M492" t="n">
        <v>0.0031</v>
      </c>
      <c r="N492" t="n">
        <v>0.0506</v>
      </c>
      <c r="O492" t="n">
        <v>0.1408</v>
      </c>
    </row>
    <row r="493">
      <c r="A493" t="inlineStr">
        <is>
          <t>hystrix</t>
        </is>
      </c>
      <c r="B493" t="inlineStr">
        <is>
          <t>hystrix-core/src/main/java/com/netflix/hystrix/strategy/executionhook/HystrixCommandExecutionHookDefault.java</t>
        </is>
      </c>
      <c r="C493">
        <f>HYPERLINK("https://github.com/Netflix/Hystrix/blob/master/hystrix-core/src/main/java/com/netflix/hystrix/strategy/executionhook/HystrixCommandExecutionHookDefault.java")</f>
        <v/>
      </c>
      <c r="D493" t="inlineStr">
        <is>
          <t>The code provided is a default implementation of the HystrixCommandExecutionHook class from Netflix's Hystrix library. This class provides an interface for hooking into various lifecycle events related to executing commands in the context of Hystrix. The current version does not implement any specific functionality and thus it doesn't do anything when these events occur.
Please note that</t>
        </is>
      </c>
      <c r="E493" t="n">
        <v>0.0075</v>
      </c>
      <c r="F493" t="n">
        <v>0.1194</v>
      </c>
      <c r="G493" t="n">
        <v>0.2447</v>
      </c>
      <c r="H493" t="inlineStr">
        <is>
          <t>The code provided is a Java implementation of the Hystrix Command Execution Hook which does nothing by default. It's licensed under Apache License 2.0 and it defines an instance of itself named `HystrixCommandExecutionHookDefault` that doesn't do anything when hook methods are called (like onSuccess or onFailure). The license details can be found at http://www</t>
        </is>
      </c>
      <c r="I493" t="n">
        <v>0.0034</v>
      </c>
      <c r="J493" t="n">
        <v>0.0606</v>
      </c>
      <c r="K493" t="n">
        <v>0.0794</v>
      </c>
      <c r="L493" t="inlineStr">
        <is>
          <t>The provided code is a Java class named `HystrixCommandExecutionHookDefault` that extends the base class `HystrixCommandExecutionHook` from Hystrix library for Netflix OSS. This class appears to be an implementation of execution hook which provides default behavior by extending the base class and does not override any methods.
It has a private static instance variable `Hyst</t>
        </is>
      </c>
      <c r="M493" t="n">
        <v>0.004</v>
      </c>
      <c r="N493" t="n">
        <v>0.0968</v>
      </c>
      <c r="O493" t="n">
        <v>0.119</v>
      </c>
    </row>
    <row r="494">
      <c r="A494" t="inlineStr">
        <is>
          <t>hystrix</t>
        </is>
      </c>
      <c r="B494" t="inlineStr">
        <is>
          <t>hystrix-core/src/main/java/com/netflix/hystrix/strategy/executionhook/HystrixCommandExecutionHook.java</t>
        </is>
      </c>
      <c r="C494">
        <f>HYPERLINK("https://github.com/Netflix/Hystrix/blob/master/hystrix-core/src/main/java/com/netflix/hystrix/strategy/executionhook/HystrixCommandExecutionHook.java")</f>
        <v/>
      </c>
      <c r="D494" t="inlineStr">
        <is>
          <t>```plaintext
The provided code is a Java implementation of the Hystrix library by Netflix for handling fault tolerance and resilience in distributed systems. It provides various ways to execute commands with fallbacks or circuit breakers using different strategies such as SEMAPHORE and THREAD pool isolation. The code also includes exception handling mechanisms like runtime exceptions that can be thrown during command</t>
        </is>
      </c>
      <c r="E494" t="n">
        <v>0.003</v>
      </c>
      <c r="F494" t="n">
        <v>0.058</v>
      </c>
      <c r="G494" t="n">
        <v>0.1128</v>
      </c>
      <c r="H494" t="inlineStr">
        <is>
          <t>The provided code is a Java implementation of the addition operation using Hystrix library for handling failures and concurrency in distributed systems. The function `add` takes two parameters (numbers to be added), performs an add operation internally and returns the result. This command runs within a thread pool managed by Hystrix which helps handle failures gracefully and also provides fallbacks when exceptions occur.</t>
        </is>
      </c>
      <c r="I494" t="n">
        <v>0.0034</v>
      </c>
      <c r="J494" t="n">
        <v>0.08450000000000001</v>
      </c>
      <c r="K494" t="n">
        <v>0.1481</v>
      </c>
      <c r="L494" t="inlineStr">
        <is>
          <t>The provided code is a part of the Hystrix library for Java which provides fault tolerance patterns to isolate points in your system where failure can cause cascading failures across multiple services and threads. The main purpose of this code is to execute an operation within a defined circuit breaker pattern. It takes inputs such as command properties (which include execution isolation strategy) and invocables. Outputs are</t>
        </is>
      </c>
      <c r="M494" t="n">
        <v>0.0027</v>
      </c>
      <c r="N494" t="n">
        <v>0.0533</v>
      </c>
      <c r="O494" t="n">
        <v>0.1079</v>
      </c>
    </row>
    <row r="495">
      <c r="A495" t="inlineStr">
        <is>
          <t>hystrix</t>
        </is>
      </c>
      <c r="B495" t="inlineStr">
        <is>
          <t>hystrix-core/src/main/java/com/netflix/hystrix/strategy/metrics/HystrixMetricsPublisher.java</t>
        </is>
      </c>
      <c r="C495">
        <f>HYPERLINK("https://github.com/Netflix/Hystrix/blob/master/hystrix-core/src/main/java/com/netflix/hystrix/strategy/metrics/HystrixMetricsPublisher.java")</f>
        <v/>
      </c>
      <c r="D495" t="inlineStr">
        <is>
          <t>The provided code is a part of the Hystrix library for Java which provides fault tolerance patterns to improve resilience and availability of distributed systems. It includes various components related to circuit breakers, collapsing requests etc., all wrapped in commands that can be used with Netflix's ecosystem. The license under Apache 2.0 allows free use, modification and distribution but requires attribution</t>
        </is>
      </c>
      <c r="E495" t="n">
        <v>0.003</v>
      </c>
      <c r="F495" t="n">
        <v>0.0282</v>
      </c>
      <c r="G495" t="n">
        <v>0.0752</v>
      </c>
      <c r="H495" t="inlineStr">
        <is>
          <t>The provided code is a Java package that contains backend software components for implementing core algorithms in the Hystrix library. The complexity of this code base appears to be O(N), where N represents the number of commands or operations being executed concurrently by the Hystrix framework. Each command has its own execution time and can affect the overall performance of the system if not properly managed. The license</t>
        </is>
      </c>
      <c r="I495" t="n">
        <v>0.0035</v>
      </c>
      <c r="J495" t="n">
        <v>0.1039</v>
      </c>
      <c r="K495" t="n">
        <v>0.2657</v>
      </c>
      <c r="L495" t="inlineStr">
        <is>
          <t>The provided code is a part of Netflix's Hystrix library for handling fault tolerance and resilience in distributed systems. It provides various metrics related to circuit breakers and collapsing commands.
Main purpose of this module seems to be the implementation and management of command execution metrics within the hystrix framework. The code defines classes that extend `HystrixCommand`</t>
        </is>
      </c>
      <c r="M495" t="n">
        <v>0.0038</v>
      </c>
      <c r="N495" t="n">
        <v>0.1212</v>
      </c>
      <c r="O495" t="n">
        <v>0.1938</v>
      </c>
    </row>
    <row r="496">
      <c r="A496" t="inlineStr">
        <is>
          <t>hystrix</t>
        </is>
      </c>
      <c r="B496" t="inlineStr">
        <is>
          <t>hystrix-core/src/main/java/com/netflix/hystrix/strategy/metrics/HystrixMetricsPublisherFactory.java</t>
        </is>
      </c>
      <c r="C496">
        <f>HYPERLINK("https://github.com/Netflix/Hystrix/blob/master/hystrix-core/src/main/java/com/netflix/hystrix/strategy/metrics/HystrixMetricsPublisherFactory.java")</f>
        <v/>
      </c>
      <c r="D496" t="inlineStr">
        <is>
          <t>The provided code is a Java implementation of Netflix's Hystrix library which provides fault tolerance patterns for distributed systems like circuit breakers and collapsing requests to reduce latency. The copyright notice at the top indicates that this software is licensed under Apache License 2.0. It also mentions conditions on usage such as not using it except in compliance with the license terms.
The</t>
        </is>
      </c>
      <c r="E496" t="n">
        <v>0.0034</v>
      </c>
      <c r="F496" t="n">
        <v>0.0548</v>
      </c>
      <c r="G496" t="n">
        <v>0.2756</v>
      </c>
      <c r="H496" t="inlineStr">
        <is>
          <t>The code you provided is a Java class that contains the implementation of an addition function (`add()`). This function takes two parameters `a` and `b` and returns their sum. The time complexity of this operation is O(1), meaning it performs a constant number of operations regardless of the size of the input data.
Here's the summary for your code:</t>
        </is>
      </c>
      <c r="I496" t="n">
        <v>0.0037</v>
      </c>
      <c r="J496" t="n">
        <v>0.08699999999999999</v>
      </c>
      <c r="K496" t="n">
        <v>0.1527</v>
      </c>
      <c r="L496" t="inlineStr">
        <is>
          <t>The provided code is a part of the Hystrix library for Java which provides fault tolerance patterns to applications running in a distributed environment. The main purpose of this code seems to be managing metrics and circuit breakers related to commands executed by users of the system.
It uses Concurrency features from java.util.concurrent package like ConcurrentHashMap to handle multiple threads efficiently. It</t>
        </is>
      </c>
      <c r="M496" t="n">
        <v>0.0029</v>
      </c>
      <c r="N496" t="n">
        <v>0.0556</v>
      </c>
      <c r="O496" t="n">
        <v>0.1119</v>
      </c>
    </row>
    <row r="497">
      <c r="A497" t="inlineStr">
        <is>
          <t>hystrix</t>
        </is>
      </c>
      <c r="B497" t="inlineStr">
        <is>
          <t>hystrix-core/src/main/java/com/netflix/hystrix/strategy/metrics/HystrixMetricsPublisherCommand.java</t>
        </is>
      </c>
      <c r="C497">
        <f>HYPERLINK("https://github.com/Netflix/Hystrix/blob/master/hystrix-core/src/main/java/com/netflix/hystrix/strategy/metrics/HystrixMetricsPublisherCommand.java")</f>
        <v/>
      </c>
      <c r="D497" t="inlineStr">
        <is>
          <t>```java
// Copyright 2012 Netflix, Inc.
// Licensed under the Apache License, Version 2.0 (the "License");
// you may not use this file except in compliance with the License.
// You may obtain a copy of the License at http://www.apache.org/licenses/LICENSE-2.0</t>
        </is>
      </c>
      <c r="E497" t="n">
        <v>0</v>
      </c>
      <c r="F497" t="n">
        <v>0.0385</v>
      </c>
      <c r="G497" t="n">
        <v>0.0893</v>
      </c>
      <c r="H497" t="inlineStr">
        <is>
          <t>The provided code is a Java implementation of the Hystrix Metrics Publisher interface for publishing metrics from an instance of {@link com.netflix.hystrix.HystrixCommand}, which will be constructed by an implementation of {@link com.netflix.hystrix.HystrixMetricsPublisher}. The instantiation of this class should not allocate resources that require shutdown</t>
        </is>
      </c>
      <c r="I497" t="n">
        <v>0</v>
      </c>
      <c r="J497" t="n">
        <v>0.0345</v>
      </c>
      <c r="K497" t="n">
        <v>0.0862</v>
      </c>
      <c r="L497" t="inlineStr">
        <is>
          <t>The given code is a Java implementation of the MetricsPublisher interface from Hystrix library for Netflix's microservices architecture. The purpose of this class seems to be publishing metrics related to an instance of {@link HystrixCommand}, which will be constructed by implementing classes of {@link HystrixMetricsPublisher}. This publisher should not allocate resources that require shutdown, register listeners</t>
        </is>
      </c>
      <c r="M497" t="n">
        <v>0.0033</v>
      </c>
      <c r="N497" t="n">
        <v>0.0615</v>
      </c>
      <c r="O497" t="n">
        <v>0.0781</v>
      </c>
    </row>
    <row r="498">
      <c r="A498" t="inlineStr">
        <is>
          <t>hystrix</t>
        </is>
      </c>
      <c r="B498" t="inlineStr">
        <is>
          <t>hystrix-core/src/main/java/com/netflix/hystrix/strategy/metrics/HystrixMetricsPublisherDefault.java</t>
        </is>
      </c>
      <c r="C498">
        <f>HYPERLINK("https://github.com/Netflix/Hystrix/blob/master/hystrix-core/src/main/java/com/netflix/hystrix/strategy/metrics/HystrixMetricsPublisherDefault.java")</f>
        <v/>
      </c>
      <c r="D498" t="inlineStr">
        <is>
          <t>The provided code is a default implementation of the HystrixMetricsPublisher interface from Netflix's Hystrix library. It extends the abstract class HystrixMetricsPublisher and provides its own way to publish metrics data related to circuit breakers in distributed systems. The license for this software component states that it may be used under Apache License 2.0 conditions specified at http://www</t>
        </is>
      </c>
      <c r="E498" t="n">
        <v>0.0038</v>
      </c>
      <c r="F498" t="n">
        <v>0.0588</v>
      </c>
      <c r="G498" t="n">
        <v>0.2884</v>
      </c>
      <c r="H498" t="inlineStr">
        <is>
          <t>The provided code is a Java class named `HystrixMetricsPublisher` that extends another class called `HystrixMetricsPublisher`. The purpose of this class appears to be to publish Hystrix metrics for use in monitoring and reporting systems like Netflix OSS's Hystrix Dashboard or Turbine stream aggregator service. 
It includes an Apache</t>
        </is>
      </c>
      <c r="I498" t="n">
        <v>0.0038</v>
      </c>
      <c r="J498" t="n">
        <v>0.0702</v>
      </c>
      <c r="K498" t="n">
        <v>0.125</v>
      </c>
      <c r="L498" t="inlineStr">
        <is>
          <t>The provided code is a default implementation of the HystrixMetricsPublisher class in Netflix's Hystrix library. This class extends from HystrixMetricsPublisher and provides its own way to publish metrics data related to command execution within Hystrix circuit breakers. The main purpose of this class seems to be publishing these metrics for further processing or analysis by other components such as monitoring</t>
        </is>
      </c>
      <c r="M498" t="n">
        <v>0.0036</v>
      </c>
      <c r="N498" t="n">
        <v>0.058</v>
      </c>
      <c r="O498" t="n">
        <v>0.1136</v>
      </c>
    </row>
    <row r="499">
      <c r="A499" t="inlineStr">
        <is>
          <t>hystrix</t>
        </is>
      </c>
      <c r="B499" t="inlineStr">
        <is>
          <t>hystrix-core/src/main/java/com/netflix/hystrix/strategy/metrics/package-info.java</t>
        </is>
      </c>
      <c r="C499">
        <f>HYPERLINK("https://github.com/Netflix/Hystrix/blob/master/hystrix-core/src/main/java/com/netflix/hystrix/strategy/metrics/package-info.java")</f>
        <v/>
      </c>
      <c r="D499" t="inlineStr">
        <is>
          <t>The code provided is a strategy definition for publishing metrics and it also provides default implementations of core algorithms. It's licensed under the Apache License version 2.0 which means you can use this file except in compliance with the license terms. The repository contains backend software components related to Hystrix, an open source library used for fault tolerance. Complexity is O(N), indicating that</t>
        </is>
      </c>
      <c r="E499" t="n">
        <v>0.0038</v>
      </c>
      <c r="F499" t="n">
        <v>0.0541</v>
      </c>
      <c r="G499" t="n">
        <v>0.2222</v>
      </c>
      <c r="H499" t="inlineStr">
        <is>
          <t>The provided code is a Java implementation of the add function which adds two numbers together. The time complexity of this operation is O(1), meaning it takes constant time to execute regardless of the size of inputs 'a' and 'b'. This is because addition in most programming languages involves only one operation (adding the digits). It does not depend on the sizes of these variables or their values.</t>
        </is>
      </c>
      <c r="I499" t="n">
        <v>0.0032</v>
      </c>
      <c r="J499" t="n">
        <v>0.0779</v>
      </c>
      <c r="K499" t="n">
        <v>0.1429</v>
      </c>
      <c r="L499" t="inlineStr">
        <is>
          <t>Thegivensourcecodefileappears to be a strategy definition for publishing metrics and default implementation in Java. The code is licensed under the Apache License 2.0 which allows it to be used without restrictions unless otherwise agreed upon by Netflix Inc.. It defines an interface called MetricPublisher that has been implemented by DefaultMetricPublisher class. This publisher publishes Hystrix command</t>
        </is>
      </c>
      <c r="M499" t="n">
        <v>0.0039</v>
      </c>
      <c r="N499" t="n">
        <v>0.0308</v>
      </c>
      <c r="O499" t="n">
        <v>0.1563</v>
      </c>
    </row>
    <row r="500">
      <c r="A500" t="inlineStr">
        <is>
          <t>hystrix</t>
        </is>
      </c>
      <c r="B500" t="inlineStr">
        <is>
          <t>hystrix-core/src/main/java/com/netflix/hystrix/strategy/metrics/HystrixMetricsPublisherCollapser.java</t>
        </is>
      </c>
      <c r="C500">
        <f>HYPERLINK("https://github.com/Netflix/Hystrix/blob/master/hystrix-core/src/main/java/com/netflix/hystrix/strategy/metrics/HystrixMetricsPublisherCollapser.java")</f>
        <v/>
      </c>
      <c r="D500" t="inlineStr">
        <is>
          <t>The provided code is a Metrics publisher for an instance of Hystrix Collapser that will be constructed by implementation of the Hystrix Metrics Publisher interface. The instantiation should not allocate resources requiring shutdown, register listeners or other global state changes. This repository contains backend software components and implements core algorithms.
# Youareanexpertsoftwareengineer.Provide</t>
        </is>
      </c>
      <c r="E500" t="n">
        <v>0.0094</v>
      </c>
      <c r="F500" t="n">
        <v>0.1333</v>
      </c>
      <c r="G500" t="n">
        <v>0.3</v>
      </c>
      <c r="H500" t="inlineStr">
        <is>
          <t>The function provided is a simple addition operation that takes in two parameters and returns their sum. The functionality of the code can be summarized as follows: "It performs basic arithmetic by adding together two numbers." Now summarize it again: Code: /** This function adds (collapses into one command) two numbers and returns their sum */
    public int add(int num1, int</t>
        </is>
      </c>
      <c r="I500" t="n">
        <v>0.0039</v>
      </c>
      <c r="J500" t="n">
        <v>0.0882</v>
      </c>
      <c r="K500" t="n">
        <v>0.1504</v>
      </c>
      <c r="L500" t="inlineStr">
        <is>
          <t>The provided code is a part of the Hystrix library for Java and it's responsible for publishing metrics related to a {@link HystrixCollapser} that will be constructed by an implementation of {@link HystrixMetricsPublisher}. The instantiation of implementations of this interface should not allocate resources or register listeners as they require shutdown, global state changes etc. This summary</t>
        </is>
      </c>
      <c r="M500" t="n">
        <v>0.0038</v>
      </c>
      <c r="N500" t="n">
        <v>0.0303</v>
      </c>
      <c r="O500" t="n">
        <v>0.155</v>
      </c>
    </row>
    <row r="501">
      <c r="A501" t="inlineStr">
        <is>
          <t>hystrix</t>
        </is>
      </c>
      <c r="B501" t="inlineStr">
        <is>
          <t>hystrix-core/src/main/java/com/netflix/hystrix/strategy/metrics/HystrixMetricsPublisherCollapserDefault.java</t>
        </is>
      </c>
      <c r="C501">
        <f>HYPERLINK("https://github.com/Netflix/Hystrix/blob/master/hystrix-core/src/main/java/com/netflix/hystrix/strategy/metrics/HystrixMetricsPublisherCollapserDefault.java")</f>
        <v/>
      </c>
      <c r="D501" t="inlineStr">
        <is>
          <t>```plaintext
The provided code is a Java class that implements the Hystrix metrics publisher collapser interface for publishing command execution data to external systems like Graphite or other monitoring tools. The implementation does not perform any action and returns null when methods are called (i.e., it doesn't publish anything). This could be used as a base class for custom implementations</t>
        </is>
      </c>
      <c r="E501" t="n">
        <v>0.004</v>
      </c>
      <c r="F501" t="n">
        <v>0.0571</v>
      </c>
      <c r="G501" t="n">
        <v>0.1515</v>
      </c>
      <c r="H501" t="inlineStr">
        <is>
          <t>The provided code is a Java implementation of the addition function for two numbers using Hystrix library. The functionality of this code includes publishing metrics about collapsing requests into one command execution. It's licensed under Apache License 2.0 and it's distributed on an "AS IS" BASIS without warranties or conditions of any kind either expressed or implied.
The</t>
        </is>
      </c>
      <c r="I501" t="n">
        <v>0.0037</v>
      </c>
      <c r="J501" t="n">
        <v>0.08699999999999999</v>
      </c>
      <c r="K501" t="n">
        <v>0.1538</v>
      </c>
      <c r="L501" t="inlineStr">
        <is>
          <t>The code provided is a custom implementation of the Hystrix Metrics Publisher Collapser interface from Netflix's Hystrix library. This component serves as a default behavior for publishing metrics related to collapsing requests in an application using Hystrix. The purpose of this class seems to be to provide a base or template functionality that can then be customized by other developers based on their</t>
        </is>
      </c>
      <c r="M501" t="n">
        <v>0.0034</v>
      </c>
      <c r="N501" t="n">
        <v>0.0556</v>
      </c>
      <c r="O501" t="n">
        <v>0.1111</v>
      </c>
    </row>
    <row r="502">
      <c r="A502" t="inlineStr">
        <is>
          <t>hystrix</t>
        </is>
      </c>
      <c r="B502" t="inlineStr">
        <is>
          <t>hystrix-core/src/main/java/com/netflix/hystrix/strategy/metrics/HystrixMetricsPublisherThreadPoolDefault.java</t>
        </is>
      </c>
      <c r="C502">
        <f>HYPERLINK("https://github.com/Netflix/Hystrix/blob/master/hystrix-core/src/main/java/com/netflix/hystrix/strategy/metrics/HystrixMetricsPublisherThreadPoolDefault.java")</f>
        <v/>
      </c>
      <c r="D502" t="inlineStr">
        <is>
          <t>The provided code is a default implementation of the HystrixMetricsPublisherThreadPool interface from Netflix's Hystrix library. This interface provides methods for publishing metrics related to thread pools in an application using Hystrix. The class does nothing by itself and can be extended or overridden with custom logic as per requirements. It uses Apache License 2.0 which allows users to</t>
        </is>
      </c>
      <c r="E502" t="n">
        <v>0.0037</v>
      </c>
      <c r="F502" t="n">
        <v>0.0882</v>
      </c>
      <c r="G502" t="n">
        <v>0.1538</v>
      </c>
      <c r="H502" t="inlineStr">
        <is>
          <t>The provided code is a Java implementation of the Hystrix library from Netflix that publishes metrics about thread pools. The function does nothing by default and can be extended to provide custom implementations for publishing these metrics. This code follows Apache License 2.0 which states that you may not use this file except in compliance with the license. You can obtain a copy of the license at http</t>
        </is>
      </c>
      <c r="I502" t="n">
        <v>0.0032</v>
      </c>
      <c r="J502" t="n">
        <v>0.0779</v>
      </c>
      <c r="K502" t="n">
        <v>0.1429</v>
      </c>
      <c r="L502" t="inlineStr">
        <is>
          <t>The code provided is a default implementation of the HystrixMetricsPublisherThreadPool interface from Netflix's Hystrix library. This component provides metrics for thread pool related operations in an application using Hystrix command execution patterns. The main purpose of this class appears to be publishing metrics about the performance and health of these threads as they are executed by commands within your system. It does not</t>
        </is>
      </c>
      <c r="M502" t="n">
        <v>0.0034</v>
      </c>
      <c r="N502" t="n">
        <v>0.0556</v>
      </c>
      <c r="O502" t="n">
        <v>0.1481</v>
      </c>
    </row>
    <row r="503">
      <c r="A503" t="inlineStr">
        <is>
          <t>hystrix</t>
        </is>
      </c>
      <c r="B503" t="inlineStr">
        <is>
          <t>hystrix-core/src/main/java/com/netflix/hystrix/strategy/metrics/HystrixMetricsPublisherCommandDefault.java</t>
        </is>
      </c>
      <c r="C503">
        <f>HYPERLINK("https://github.com/Netflix/Hystrix/blob/master/hystrix-core/src/main/java/com/netflix/hystrix/strategy/metrics/HystrixMetricsPublisherCommandDefault.java")</f>
        <v/>
      </c>
      <c r="D503" t="inlineStr">
        <is>
          <t>The provided code is a Java implementation of the Hystrix Circuit Breaker pattern in Netflix's library for distributed systems. It provides a default implementation of {@link com.netflix.hystrix.strategy.metrics.HystrixMetricsPublisherCommand}, which does not publish any metrics but still plays an important role in controlling and monitoring the behavior of commands within the circuit</t>
        </is>
      </c>
      <c r="E503" t="n">
        <v>0.0037</v>
      </c>
      <c r="F503" t="n">
        <v>0.0625</v>
      </c>
      <c r="G503" t="n">
        <v>0.123</v>
      </c>
      <c r="H503" t="inlineStr">
        <is>
          <t>The provided code is a Java implementation of the Hystrix metrics publisher command that does nothing by default. It's part of Netflix's Hystrix library for handling fault tolerance patterns in distributed systems. The complexity of this function appears to be O(n), as it contains nested loops and recursive calls which could increase with an increased input size. This code also includes licensing information</t>
        </is>
      </c>
      <c r="I503" t="n">
        <v>0.0034</v>
      </c>
      <c r="J503" t="n">
        <v>0.08110000000000001</v>
      </c>
      <c r="K503" t="n">
        <v>0.1481</v>
      </c>
      <c r="L503" t="inlineStr">
        <is>
          <t>ThegivenJava code is a default implementation of the HystrixMetricsPublisherCommand interface from the Netflix Hystrix library. This class does not actually publish any metrics but serves as a base for other classes that do so by overriding certain methods to provide specific functionality. The purpose of this class seems to be to handle circuit breakers and command execution within an application using the Hystrix</t>
        </is>
      </c>
      <c r="M503" t="n">
        <v>0.0034</v>
      </c>
      <c r="N503" t="n">
        <v>0.08450000000000001</v>
      </c>
      <c r="O503" t="n">
        <v>0.1481</v>
      </c>
    </row>
    <row r="504">
      <c r="A504" t="inlineStr">
        <is>
          <t>hystrix</t>
        </is>
      </c>
      <c r="B504" t="inlineStr">
        <is>
          <t>hystrix-core/src/main/java/com/netflix/hystrix/strategy/metrics/HystrixMetricsPublisherThreadPool.java</t>
        </is>
      </c>
      <c r="C504">
        <f>HYPERLINK("https://github.com/Netflix/Hystrix/blob/master/hystrix-core/src/main/java/com/netflix/hystrix/strategy/metrics/HystrixMetricsPublisherThreadPool.java")</f>
        <v/>
      </c>
      <c r="D504" t="inlineStr">
        <is>
          <t>The provided code is a Metrics publisher for an instance of Hystrix Thread Pool that will be constructed by implementation of the Hystrix Metrics Publisher interface. The instantiation of implementations should not allocate resources requiring shutdown, register listeners or other global state changes. This repository contains backend software components implementing core algorithms.
# Code Explanation 
```java</t>
        </is>
      </c>
      <c r="E504" t="n">
        <v>0.0043</v>
      </c>
      <c r="F504" t="n">
        <v>0.127</v>
      </c>
      <c r="G504" t="n">
        <v>0.2466</v>
      </c>
      <c r="H504" t="inlineStr">
        <is>
          <t>The function provided is a simple addition operation between two numbers 'a' and 'b'. The functionality of this code is to add the two inputs together. It does not require any external resources or global state changes for instantiation. Its complexity is O(1), meaning it has constant time complexity as its execution time remains unchanged with an increase in input size.
```java
public class</t>
        </is>
      </c>
      <c r="I504" t="n">
        <v>0.0034</v>
      </c>
      <c r="J504" t="n">
        <v>0.0548</v>
      </c>
      <c r="K504" t="n">
        <v>0.1103</v>
      </c>
      <c r="L504" t="inlineStr">
        <is>
          <t>The provided code is a metric publisher for Hystrix thread pool that will be constructed by an implementation of {@link HystrixMetricsPublisher}. It publishes metrics related to the execution and health status of commands executed in this thread pool. The instantiation should not allocate resources requiring shutdown or register listeners or other global state changes. Code size is 1000 lines long.</t>
        </is>
      </c>
      <c r="M504" t="n">
        <v>0.003</v>
      </c>
      <c r="N504" t="n">
        <v>0.0588</v>
      </c>
      <c r="O504" t="n">
        <v>0.1136</v>
      </c>
    </row>
    <row r="505">
      <c r="A505" t="inlineStr">
        <is>
          <t>hystrix</t>
        </is>
      </c>
      <c r="B505" t="inlineStr">
        <is>
          <t>hystrix-core/src/main/java/com/netflix/hystrix/util/HystrixRollingPercentile.java</t>
        </is>
      </c>
      <c r="C505">
        <f>HYPERLINK("https://github.com/Netflix/Hystrix/blob/master/hystrix-core/src/main/java/com/netflix/hystrix/util/HystrixRollingPercentile.java")</f>
        <v/>
      </c>
      <c r="D505" t="inlineStr">
        <is>
          <t>The code provided appears to be a Java class with methods and classes related to concurrency utilities from the Apache Hystrix library for distributed computing. It contains various atomic variables like AtomicInteger, AtomicIntegerArray etc., as well as locks using ReentrantLock. The license at the top of the file states that it is licensed under the Apache License 2.0 which means anyone</t>
        </is>
      </c>
      <c r="E505" t="n">
        <v>0.003</v>
      </c>
      <c r="F505" t="n">
        <v>0.0286</v>
      </c>
      <c r="G505" t="n">
        <v>0.0752</v>
      </c>
      <c r="H505" t="inlineStr">
        <is>
          <t>The code you provided is a simple addition function in Java named "add". It takes two parameters 'a' and 'b', adds them together and returns the result. The time complexity of this operation is O(1), meaning it performs a fixed number of operations regardless of input size.
Here are some details about the code:
- Function Name: add
- Parameters</t>
        </is>
      </c>
      <c r="I505" t="n">
        <v>0.003</v>
      </c>
      <c r="J505" t="n">
        <v>0.0597</v>
      </c>
      <c r="K505" t="n">
        <v>0.1136</v>
      </c>
      <c r="L505" t="inlineStr">
        <is>
          <t>The provided code is part of the Hystrix library by Netflix and it provides utility classes for concurrency control in Java. The main purpose of this code seems to be managing locks and synchronization primitives using atomic variables like AtomicInteger, AtomicIntegerArray, etc. It also implements a ReentrantLock similar functionality but with more advanced features such as timeouts and interruptions.</t>
        </is>
      </c>
      <c r="M505" t="n">
        <v>0.0041</v>
      </c>
      <c r="N505" t="n">
        <v>0.1194</v>
      </c>
      <c r="O505" t="n">
        <v>0.1527</v>
      </c>
    </row>
    <row r="506">
      <c r="A506" t="inlineStr">
        <is>
          <t>hystrix</t>
        </is>
      </c>
      <c r="B506" t="inlineStr">
        <is>
          <t>hystrix-core/src/main/java/com/netflix/hystrix/util/package-info.java</t>
        </is>
      </c>
      <c r="C506">
        <f>HYPERLINK("https://github.com/Netflix/Hystrix/blob/master/hystrix-core/src/main/java/com/netflix/hystrix/util/package-info.java")</f>
        <v/>
      </c>
      <c r="D506" t="inlineStr">
        <is>
          <t>The code provided is a Java class for utility functions related to common hystrix operations at Netflix. It's licensed under the Apache License 2.0 and contains comments explaining its functionality. The complexity of this function appears to be O(n), but without more context it can't be definitively determined. This package includes classes that implement core algorithms used in backend software components at Net</t>
        </is>
      </c>
      <c r="E506" t="n">
        <v>0.0041</v>
      </c>
      <c r="F506" t="n">
        <v>0.08</v>
      </c>
      <c r="G506" t="n">
        <v>0.3158</v>
      </c>
      <c r="H506" t="inlineStr">
        <is>
          <t>The function `add` in the provided code is a simple addition operation that takes two parameters and returns their sum. The complexity of this function is O(1), meaning it performs a constant number of operations regardless of input size. It does not contain any loops or recursive calls, hence its time complexity cannot be higher than O(1).
The README file provides information about copyright</t>
        </is>
      </c>
      <c r="I506" t="n">
        <v>0.0028</v>
      </c>
      <c r="J506" t="n">
        <v>0.0541</v>
      </c>
      <c r="K506" t="n">
        <v>0.1103</v>
      </c>
      <c r="L506" t="inlineStr">
        <is>
          <t>The provided code is a Java class named `CommonUtilityClasses` which contains utility methods for various tasks such as string manipulation and data conversion among others. The main purpose of this class seems to be providing common functionalities that can be used across different parts of the application or even in other projects. This class appears to have been developed with maintainability and program comprehension in mind, making</t>
        </is>
      </c>
      <c r="M506" t="n">
        <v>0.0032</v>
      </c>
      <c r="N506" t="n">
        <v>0.08</v>
      </c>
      <c r="O506" t="n">
        <v>0.1079</v>
      </c>
    </row>
    <row r="507">
      <c r="A507" t="inlineStr">
        <is>
          <t>hystrix</t>
        </is>
      </c>
      <c r="B507" t="inlineStr">
        <is>
          <t>hystrix-core/src/main/java/com/netflix/hystrix/util/PlatformSpecific.java</t>
        </is>
      </c>
      <c r="C507">
        <f>HYPERLINK("https://github.com/Netflix/Hystrix/blob/master/hystrix-core/src/main/java/com/netflix/hystrix/util/PlatformSpecific.java")</f>
        <v/>
      </c>
      <c r="D507" t="inlineStr">
        <is>
          <t>The provided code is a Java class named `PlatformSpecific` which handles platform specific settings and configurations for the Netflix Hystrix library. It includes constants representing different platforms (standard, Google App Engine standard, and flexible), an instance of itself to avoid creating new instances every time it's needed, and a private constructor that prevents direct instantiation from other classes. The license at the top</t>
        </is>
      </c>
      <c r="E507" t="n">
        <v>0.0029</v>
      </c>
      <c r="F507" t="n">
        <v>0.0278</v>
      </c>
      <c r="G507" t="n">
        <v>0.037</v>
      </c>
      <c r="H507" t="inlineStr">
        <is>
          <t>The provided code is a Java class named `PlatformSpecific` which contains various methods and fields related to platform specific operations of Netflix's backend software components. The main purpose of this class seems to be managing the different platforms (standard, App Engine standard, or flexible), their respective configurations, and executing commands on those platforms using reflection. 
However, without more context about its</t>
        </is>
      </c>
      <c r="I507" t="n">
        <v>0.0036</v>
      </c>
      <c r="J507" t="n">
        <v>0.0571</v>
      </c>
      <c r="K507" t="n">
        <v>0.1504</v>
      </c>
      <c r="L507" t="inlineStr">
        <is>
          <t>The code provided is a Java class named `PlatformSpecific` that contains several private fields and methods related to platform specific operations in the Netflix ecosystem. 
It appears to be part of Hystrix's util package which provides utility classes for use with the Hystrix library (a fault tolerance library used by Netflix). The purpose of this class seems to be to determine</t>
        </is>
      </c>
      <c r="M507" t="n">
        <v>0.003</v>
      </c>
      <c r="N507" t="n">
        <v>0.0286</v>
      </c>
      <c r="O507" t="n">
        <v>0.1128</v>
      </c>
    </row>
    <row r="508">
      <c r="A508" t="inlineStr">
        <is>
          <t>hystrix</t>
        </is>
      </c>
      <c r="B508" t="inlineStr">
        <is>
          <t>hystrix-core/src/main/java/com/netflix/hystrix/util/Striped64.java</t>
        </is>
      </c>
      <c r="C508">
        <f>HYPERLINK("https://github.com/Netflix/Hystrix/blob/master/hystrix-core/src/main/java/com/netflix/hystrix/util/Striped64.java")</f>
        <v/>
      </c>
      <c r="D508" t="inlineStr">
        <is>
          <t>```plaintext
The provided code is a Java class named "HystrixUtil". It's part of the Hystrix library for distributed fault tolerance and resilience in microservices architectures by Netflix. 
It contains package-private classes with common representation and mechanisms used across different parts of this software. The main algorithm implemented here seems to be related to</t>
        </is>
      </c>
      <c r="E508" t="n">
        <v>0.0035</v>
      </c>
      <c r="F508" t="n">
        <v>0.09520000000000001</v>
      </c>
      <c r="G508" t="n">
        <v>0.16</v>
      </c>
      <c r="H508" t="inlineStr">
        <is>
          <t>The code provided is a simple addition function in Java named add that takes two parameters and returns their sum. The complexity of this operation is O(1), meaning it always executes the same number of steps regardless of input size. This function does not contain any loops or recursion which makes it very efficient for adding numbers together.
The license at the top of the file states that you</t>
        </is>
      </c>
      <c r="I508" t="n">
        <v>0.0031</v>
      </c>
      <c r="J508" t="n">
        <v>0.0513</v>
      </c>
      <c r="K508" t="n">
        <v>0.1064</v>
      </c>
      <c r="L508" t="inlineStr">
        <is>
          <t>The provided code is a Java class named `HystrixUtil` which appears to be part of the Hystrix library for distributed systems fault tolerance and resilience in applications powered by Netflix. The main purpose of this class seems to be generating random numbers using an instance of the Random class from java.util package. It's licensed under Apache License 2.0 making it open</t>
        </is>
      </c>
      <c r="M508" t="n">
        <v>0.003</v>
      </c>
      <c r="N508" t="n">
        <v>0.0278</v>
      </c>
      <c r="O508" t="n">
        <v>0.1128</v>
      </c>
    </row>
    <row r="509">
      <c r="A509" t="inlineStr">
        <is>
          <t>hystrix</t>
        </is>
      </c>
      <c r="B509" t="inlineStr">
        <is>
          <t>hystrix-core/src/main/java/com/netflix/hystrix/util/LongAdder.java</t>
        </is>
      </c>
      <c r="C509">
        <f>HYPERLINK("https://github.com/Netflix/Hystrix/blob/master/hystrix-core/src/main/java/com/netflix/hystrix/util/LongAdder.java")</f>
        <v/>
      </c>
      <c r="D509" t="inlineStr">
        <is>
          <t>The code provided is a Java class for utilities related to Hystrix, an open source library designed to isolate points of access to remote services and applications from failure, latency, and other transient issues. The license under which this software can be used is Apache 2.0. It provides methods for serialization and deserialization using ObjectInputStream in the process.
Please note</t>
        </is>
      </c>
      <c r="E509" t="n">
        <v>0.0036</v>
      </c>
      <c r="F509" t="n">
        <v>0.08699999999999999</v>
      </c>
      <c r="G509" t="n">
        <v>0.2391</v>
      </c>
      <c r="H509" t="inlineStr">
        <is>
          <t>The function provided is a simple addition operation that takes two numbers as input and returns their sum. The code complexity of this function is O(1), meaning it performs constant time operations regardless of the size of inputs. It does not contain any loops or recursion which would increase its complexity based on input sizes.
```java
// Copyright 2012 Netflix, Inc.</t>
        </is>
      </c>
      <c r="I509" t="n">
        <v>0.003</v>
      </c>
      <c r="J509" t="n">
        <v>0.058</v>
      </c>
      <c r="K509" t="n">
        <v>0.1128</v>
      </c>
      <c r="L509" t="inlineStr">
        <is>
          <t>The provided code is a Java class named `HystrixUtil` which appears to be part of the Hystrix library for distributed computing and fault tolerance patterns in software applications. 
It's written by Doug Lea from Netflix with assistance from members of JCP JSR-166 Expert Group. It has been released under the public domain as explained at</t>
        </is>
      </c>
      <c r="M509" t="n">
        <v>0.004</v>
      </c>
      <c r="N509" t="n">
        <v>0.0308</v>
      </c>
      <c r="O509" t="n">
        <v>0.1181</v>
      </c>
    </row>
    <row r="510">
      <c r="A510" t="inlineStr">
        <is>
          <t>hystrix</t>
        </is>
      </c>
      <c r="B510" t="inlineStr">
        <is>
          <t>hystrix-core/src/main/java/com/netflix/hystrix/util/ExceptionThreadingUtility.java</t>
        </is>
      </c>
      <c r="C510">
        <f>HYPERLINK("https://github.com/Netflix/Hystrix/blob/master/hystrix-core/src/main/java/com/netflix/hystrix/util/ExceptionThreadingUtility.java")</f>
        <v/>
      </c>
      <c r="D510" t="inlineStr">
        <is>
          <t>```plaintext
The provided code is a Java class named ExceptionThreadingUtility which contains two deprecated methods for attaching and assigning threads in the com.netflix.hystrix.util package of Netflix's Hystrix library. 
Both these methods are empty as they perform no operation (i.e., do nothing). The functionality</t>
        </is>
      </c>
      <c r="E510" t="n">
        <v>0.0051</v>
      </c>
      <c r="F510" t="n">
        <v>0.0357</v>
      </c>
      <c r="G510" t="n">
        <v>0.08699999999999999</v>
      </c>
      <c r="H510" t="inlineStr">
        <is>
          <t>The provided code is a Java class named `ExceptionThreadingUtility` which contains two deprecated methods for attaching and assigning threads respectively. Both of these functions do nothing as they are marked with the @Deprecated annotation to indicate that their functionality will no longer be supported in future versions. The license at the top indicates it's licensed under Apache 2.0 License.</t>
        </is>
      </c>
      <c r="I510" t="n">
        <v>0.0037</v>
      </c>
      <c r="J510" t="n">
        <v>0.029</v>
      </c>
      <c r="K510" t="n">
        <v>0.07630000000000001</v>
      </c>
      <c r="L510" t="inlineStr">
        <is>
          <t>The provided code is a Java class named ExceptionThreadingUtility which contains two deprecated methods attachCallingThreadStack and assignCallingThread. Both of these methods are currently doing nothing (i.e., they have been left as no-ops). The purpose of this utility seems to be for managing thread exceptions in Hystrix, an open source library used for fault tolerance patterns.</t>
        </is>
      </c>
      <c r="M510" t="n">
        <v>0.0033</v>
      </c>
      <c r="N510" t="n">
        <v>0.0308</v>
      </c>
      <c r="O510" t="n">
        <v>0.1181</v>
      </c>
    </row>
    <row r="511">
      <c r="A511" t="inlineStr">
        <is>
          <t>hystrix</t>
        </is>
      </c>
      <c r="B511" t="inlineStr">
        <is>
          <t>hystrix-core/src/main/java/com/netflix/hystrix/util/HystrixTimer.java</t>
        </is>
      </c>
      <c r="C511">
        <f>HYPERLINK("https://github.com/Netflix/Hystrix/blob/master/hystrix-core/src/main/java/com/netflix/hystrix/util/HystrixTimer.java")</f>
        <v/>
      </c>
      <c r="D511" t="inlineStr">
        <is>
          <t>The provided code is a Java implementation of core algorithms in the Hystrix library for distributed computing and fault tolerance patterns. It's licensed under Apache 2.0 license which allows it to be used without restrictions unless otherwise agreed by Netflix Inc. The software uses different strategies like collapsing requests into one command execution or fall back strategy when an error occurs etc., making it suitable for handling</t>
        </is>
      </c>
      <c r="E511" t="n">
        <v>0.0036</v>
      </c>
      <c r="F511" t="n">
        <v>0.0779</v>
      </c>
      <c r="G511" t="n">
        <v>0.1799</v>
      </c>
      <c r="H511" t="inlineStr">
        <is>
          <t>The code provided is a Java method for addition of two numbers (`add()`). It takes in two parameters `a` and `b` and returns their sum. The time complexity of this function is O(1), as it performs a fixed number of operations regardless of the input size.
Here's the summary with no repetitions or unnecessary information: 
```</t>
        </is>
      </c>
      <c r="I511" t="n">
        <v>0.0033</v>
      </c>
      <c r="J511" t="n">
        <v>0.0615</v>
      </c>
      <c r="K511" t="n">
        <v>0.1172</v>
      </c>
      <c r="L511" t="inlineStr">
        <is>
          <t>The code provided is a part of the Hystrix library by Netflix for handling fault tolerance and resilience in distributed systems. It provides utilities related to collapsing commands into larger ones, caching results, etc. The main purpose of this class seems to be managing memory usage when dealing with large numbers of requests that can potentially fail or take longer than expected due to network issues or</t>
        </is>
      </c>
      <c r="M511" t="n">
        <v>0.0027</v>
      </c>
      <c r="N511" t="n">
        <v>0.0267</v>
      </c>
      <c r="O511" t="n">
        <v>0.1079</v>
      </c>
    </row>
    <row r="512">
      <c r="A512" t="inlineStr">
        <is>
          <t>hystrix</t>
        </is>
      </c>
      <c r="B512" t="inlineStr">
        <is>
          <t>hystrix-core/src/main/java/com/netflix/hystrix/util/LongMaxUpdater.java</t>
        </is>
      </c>
      <c r="C512">
        <f>HYPERLINK("https://github.com/Netflix/Hystrix/blob/master/hystrix-core/src/main/java/com/netflix/hystrix/util/LongMaxUpdater.java")</f>
        <v/>
      </c>
      <c r="D512" t="inlineStr">
        <is>
          <t>The provided code is a Java implementation of core algorithms used in the Netflix Hystrix library for handling concurrency and fault tolerance patterns. The copyright notice at the top indicates that it's licensed under Apache License 2.0. It reads data from an ObjectInputStream and implements serialization to ensure safe storage or transmission of complex objects. However, without access to the actual source code, this</t>
        </is>
      </c>
      <c r="E512" t="n">
        <v>0.0037</v>
      </c>
      <c r="F512" t="n">
        <v>0.08110000000000001</v>
      </c>
      <c r="G512" t="n">
        <v>0.1838</v>
      </c>
      <c r="H512" t="inlineStr">
        <is>
          <t>The function provided is a simple addition operation between two numbers 'a' and 'b'. It returns the sum of these two numbers. The time complexity of this operation is O(1), indicating that it takes constant time to execute regardless of input size.
&lt;jupyter_output&gt;
&lt;empty_output&gt;
&lt;jupyter_text&gt;
Your task is to</t>
        </is>
      </c>
      <c r="I512" t="n">
        <v>0.0037</v>
      </c>
      <c r="J512" t="n">
        <v>0.06560000000000001</v>
      </c>
      <c r="K512" t="n">
        <v>0.1653</v>
      </c>
      <c r="L512" t="inlineStr">
        <is>
          <t>The provided code is a Java class named "HystrixUtil". This class appears to be part of the Hystrix library for distributed computing and fault tolerance patterns in microservices architecture. The main purpose of this class seems to be related to serialization utilities. It offers methods that aid with object input stream (de)serialization process.
The class has one method called `</t>
        </is>
      </c>
      <c r="M512" t="n">
        <v>0.0036</v>
      </c>
      <c r="N512" t="n">
        <v>0.0588</v>
      </c>
      <c r="O512" t="n">
        <v>0.1136</v>
      </c>
    </row>
    <row r="513">
      <c r="A513" t="inlineStr">
        <is>
          <t>hystrix</t>
        </is>
      </c>
      <c r="B513" t="inlineStr">
        <is>
          <t>hystrix-core/src/main/java/com/netflix/hystrix/util/Exceptions.java</t>
        </is>
      </c>
      <c r="C513">
        <f>HYPERLINK("https://github.com/Netflix/Hystrix/blob/master/hystrix-core/src/main/java/com/netflix/hystrix/util/Exceptions.java")</f>
        <v/>
      </c>
      <c r="D513" t="inlineStr">
        <is>
          <t>The code provided is a utility class named "Exceptions" that provides a static method for throwing exceptions in Java. The `neakyThrow` function takes an exception as input and throws it without the need to declare or catch it using try/catch blocks. This can be useful when you want to propagate errors upwards but don't have control over how they are thrown (e.g</t>
        </is>
      </c>
      <c r="E513" t="n">
        <v>0.0035</v>
      </c>
      <c r="F513" t="n">
        <v>0.0548</v>
      </c>
      <c r="G513" t="n">
        <v>0.1119</v>
      </c>
      <c r="H513" t="inlineStr">
        <is>
          <t>The provided code is a Java class named Exceptions that contains two static methods for throwing exceptions of different types. The first method neakyThrow takes in any Throwable object and throws it as a RuntimeException. This can be useful when you want to throw an exception from one place but catch it at another without having to declare the exact type of exception thrown by the caller. The second method</t>
        </is>
      </c>
      <c r="I513" t="n">
        <v>0.0031</v>
      </c>
      <c r="J513" t="n">
        <v>0.0256</v>
      </c>
      <c r="K513" t="n">
        <v>0.1056</v>
      </c>
      <c r="L513" t="inlineStr">
        <is>
          <t>The provided code is a utility class named "Exceptions" that provides a static method for throwing exceptions in Java. The purpose of this class is to handle the process of exception handling by providing an interface where developers can throw checked or unchecked exceptions without having to catch them explicitly and deal with potential null pointers. This functionality enhances maintainability as it allows programmers to focus on higher level</t>
        </is>
      </c>
      <c r="M513" t="n">
        <v>0.0035</v>
      </c>
      <c r="N513" t="n">
        <v>0.0519</v>
      </c>
      <c r="O513" t="n">
        <v>0.1064</v>
      </c>
    </row>
    <row r="514">
      <c r="A514" t="inlineStr">
        <is>
          <t>hystrix</t>
        </is>
      </c>
      <c r="B514" t="inlineStr">
        <is>
          <t>hystrix-core/src/main/java/com/netflix/hystrix/util/HystrixRollingNumberEvent.java</t>
        </is>
      </c>
      <c r="C514">
        <f>HYPERLINK("https://github.com/Netflix/Hystrix/blob/master/hystrix-core/src/main/java/com/netflix/hystrix/util/HystrixRollingNumberEvent.java")</f>
        <v/>
      </c>
      <c r="D514" t="inlineStr">
        <is>
          <t>```plaintext
This code defines various states or events that can be captured in the HystrixRollingNumber class from Netflix's Hystrix library. The events are categorized as either Counter or MaxUpdater types based on whether they meet certain conditions (`isCounter() == true` and `isMaxUpdater() == true` respectively</t>
        </is>
      </c>
      <c r="E514" t="n">
        <v>0.0049</v>
      </c>
      <c r="F514" t="n">
        <v>0.0769</v>
      </c>
      <c r="G514" t="n">
        <v>0.08550000000000001</v>
      </c>
      <c r="H514" t="inlineStr">
        <is>
          <t>This code is a Java implementation of the Hystrix library's util package which contains various states and events that can be captured in an instance of {@link com.netflix.hystrix.HystrixCommand} or {@link com.netflix.hystrix.HystrixObservableCommand}, such as counters (which are defined by &lt;code&gt;isCounter()</t>
        </is>
      </c>
      <c r="I514" t="n">
        <v>0.0056</v>
      </c>
      <c r="J514" t="n">
        <v>0.1091</v>
      </c>
      <c r="K514" t="n">
        <v>0.1351</v>
      </c>
      <c r="L514" t="inlineStr">
        <is>
          <t>This code defines various states or events that can be captured in the HystrixRollingNumber class from the Hystrix library for Netflix. The events are defined as different types based on whether they're a Counter type event (`isCounter() == true`) or Max Updater type event (`isMaxUpdater() == true`). These events help</t>
        </is>
      </c>
      <c r="M514" t="n">
        <v>0.0037</v>
      </c>
      <c r="N514" t="n">
        <v>0.0351</v>
      </c>
      <c r="O514" t="n">
        <v>0.041</v>
      </c>
    </row>
    <row r="515">
      <c r="A515" t="inlineStr">
        <is>
          <t>hystrix</t>
        </is>
      </c>
      <c r="B515" t="inlineStr">
        <is>
          <t>hystrix-core/src/main/java/com/netflix/hystrix/util/InternMap.java</t>
        </is>
      </c>
      <c r="C515">
        <f>HYPERLINK("https://github.com/Netflix/Hystrix/blob/master/hystrix-core/src/main/java/com/netflix/hystrix/util/InternMap.java")</f>
        <v/>
      </c>
      <c r="D515" t="inlineStr">
        <is>
          <t>The provided code is a utility class named InternMap that implements 'intern-like' functionality using ConcurrentHashMap in Java. It holds single instances of wrapper objects for given keys and constructs new ones if they don't exist yet. The intern method (named `vInterned`) retrieves an existing key or creates a new one with the help of ValueConstructor object</t>
        </is>
      </c>
      <c r="E515" t="n">
        <v>0.0043</v>
      </c>
      <c r="F515" t="n">
        <v>0.09089999999999999</v>
      </c>
      <c r="G515" t="n">
        <v>0.1172</v>
      </c>
      <c r="H515" t="inlineStr">
        <is>
          <t>The code provided is a Java implementation of an 'Intern Map'. It uses ConcurrentHashMap to store values associated with keys and provides functionality for getting or creating new instances if the key does not exist in the map yet. The complexity of this operation can be considered as O(1), meaning it has constant time complexity because it utilizes thread-safe operations from ConcurrentHashMap which are atomic</t>
        </is>
      </c>
      <c r="I515" t="n">
        <v>0.0033</v>
      </c>
      <c r="J515" t="n">
        <v>0.0533</v>
      </c>
      <c r="K515" t="n">
        <v>0.146</v>
      </c>
      <c r="L515" t="inlineStr">
        <is>
          <t>The provided code is a utility class named `InternMap` that provides 'intern'-like functionality for keys of type K and values of type V in a concurrent environment using the ConcurrentHashMap data structure from Java's util package. This class maintains a map where each key has its corresponding value stored internally. If an attempt to retrieve a non-existing key triggers</t>
        </is>
      </c>
      <c r="M515" t="n">
        <v>0.0041</v>
      </c>
      <c r="N515" t="n">
        <v>0.0571</v>
      </c>
      <c r="O515" t="n">
        <v>0.1145</v>
      </c>
    </row>
    <row r="516">
      <c r="A516" t="inlineStr">
        <is>
          <t>hystrix</t>
        </is>
      </c>
      <c r="B516" t="inlineStr">
        <is>
          <t>hystrix-core/src/main/java/com/netflix/hystrix/util/HystrixRollingNumber.java</t>
        </is>
      </c>
      <c r="C516">
        <f>HYPERLINK("https://github.com/Netflix/Hystrix/blob/master/hystrix-core/src/main/java/com/netflix/hystrix/util/HystrixRollingNumber.java")</f>
        <v/>
      </c>
      <c r="D516" t="inlineStr">
        <is>
          <t>```plaintext
The provided code is a Java implementation of core algorithms and data structures used in the Hystrix library for distributed computing. The copyright notice at the top indicates that it's licensed under Apache License 2.0. It provides various utilities for managing concurrency, logging, and synchronization among other things. Its complexity appears to be O(N), indicating</t>
        </is>
      </c>
      <c r="E516" t="n">
        <v>0.0039</v>
      </c>
      <c r="F516" t="n">
        <v>0.0896</v>
      </c>
      <c r="G516" t="n">
        <v>0.1563</v>
      </c>
      <c r="H516" t="inlineStr">
        <is>
          <t>The provided code is a Java package named "com.netflix.hystrix.util". It contains several import statements for various utility classes and packages used in the Netflix Hystrix library. The main class or method within this package seems to be an implementation of core algorithms related to concurrency locks, logging, atomic reference arrays etc., but it's not explicitly stated what function these</t>
        </is>
      </c>
      <c r="I516" t="n">
        <v>0.0037</v>
      </c>
      <c r="J516" t="n">
        <v>0.1127</v>
      </c>
      <c r="K516" t="n">
        <v>0.1908</v>
      </c>
      <c r="L516" t="inlineStr">
        <is>
          <t>The provided code is a part of the Hystrix library for Java, which provides fault tolerance patterns to improve resilience and availability in distributed systems. The main purpose of this class seems to be managing locks on collections using AtomicReferenceArray objects. 
It appears to provide methods related to locking and unlocking elements within an array based on their index. It also includes some</t>
        </is>
      </c>
      <c r="M516" t="n">
        <v>0.0029</v>
      </c>
      <c r="N516" t="n">
        <v>0.0563</v>
      </c>
      <c r="O516" t="n">
        <v>0.1111</v>
      </c>
    </row>
    <row r="517">
      <c r="A517" t="inlineStr">
        <is>
          <t>hystrix</t>
        </is>
      </c>
      <c r="B517" t="inlineStr">
        <is>
          <t>hystrix-core/src/main/java/com/netflix/hystrix/exception/HystrixRuntimeException.java</t>
        </is>
      </c>
      <c r="C517">
        <f>HYPERLINK("https://github.com/Netflix/Hystrix/blob/master/hystrix-core/src/main/java/com/netflix/hystrix/exception/HystrixRuntimeException.java")</f>
        <v/>
      </c>
      <c r="D517" t="inlineStr">
        <is>
          <t>The provided code is a custom exception class `HystrixRuntimeException` that extends the built-in Java Runtime Exception. This class is used when a Hystrix command fails and doesn't have a fallback method defined in place to handle this failure scenario. The license at the top of the file specifies conditions under which it can be redistributed or modified.
Please note</t>
        </is>
      </c>
      <c r="E517" t="n">
        <v>0.0037</v>
      </c>
      <c r="F517" t="n">
        <v>0.058</v>
      </c>
      <c r="G517" t="n">
        <v>0.1145</v>
      </c>
      <c r="H517" t="inlineStr">
        <is>
          <t>The code provided is a Java class for handling exceptions in Hystrix commands. It extends the built-in `java.lang.RuntimeException` and includes comments explaining its purpose and usage. The license at the top of the file specifies that it may be used under certain conditions as specified by Apache License 2.0.
The main functionality of this class seems to be related to</t>
        </is>
      </c>
      <c r="I517" t="n">
        <v>0.0036</v>
      </c>
      <c r="J517" t="n">
        <v>0.0278</v>
      </c>
      <c r="K517" t="n">
        <v>0.1136</v>
      </c>
      <c r="L517" t="inlineStr">
        <is>
          <t>The provided code is a custom exception class `HystrixRuntimeException` in the Hystrix library for Java. This class extends from `java.lang.RuntimeException` and it's used to indicate that an error occurred while executing a command wrapped by `HystrixCommand` or its subclasses but no fallback method was defined. The purpose of this class seems to be to</t>
        </is>
      </c>
      <c r="M517" t="n">
        <v>0.004</v>
      </c>
      <c r="N517" t="n">
        <v>0.0615</v>
      </c>
      <c r="O517" t="n">
        <v>0.119</v>
      </c>
    </row>
    <row r="518">
      <c r="A518" t="inlineStr">
        <is>
          <t>hystrix</t>
        </is>
      </c>
      <c r="B518" t="inlineStr">
        <is>
          <t>hystrix-core/src/main/java/com/netflix/hystrix/exception/package-info.java</t>
        </is>
      </c>
      <c r="C518">
        <f>HYPERLINK("https://github.com/Netflix/Hystrix/blob/master/hystrix-core/src/main/java/com/netflix/hystrix/exception/package-info.java")</f>
        <v/>
      </c>
      <c r="D518" t="inlineStr">
        <is>
          <t>The code provided is a custom exception implementation for Hystrix, a fault tolerance library used in Netflix's microservices architecture. It defines exceptions specific to the Hystrix command execution and circuit breaker state machine. The license details are also included at the top of the file which states that it can be redistributed under certain conditions as stated by Apache License 2.0.</t>
        </is>
      </c>
      <c r="E518" t="n">
        <v>0.003</v>
      </c>
      <c r="F518" t="n">
        <v>0.0563</v>
      </c>
      <c r="G518" t="n">
        <v>0.1128</v>
      </c>
      <c r="H518" t="inlineStr">
        <is>
          <t>The function provided is a simple addition operation that takes two numbers as input and returns their sum. The complexity of this code is O(1), meaning it has constant time complexity since no loops or recursive calls are present in the function. It does not involve any exception handling like custom exceptions mentioned in the README file which makes use of Hystrix library for backend software components.</t>
        </is>
      </c>
      <c r="I518" t="n">
        <v>0.0032</v>
      </c>
      <c r="J518" t="n">
        <v>0.0526</v>
      </c>
      <c r="K518" t="n">
        <v>0.1439</v>
      </c>
      <c r="L518" t="inlineStr">
        <is>
          <t>The provided code is a custom exception implementation for Hystrix, a fault tolerance library used in distributed systems to handle failures and latency issues elegantly. The main purpose of this class seems to be to provide additional information about the failure when it occurs within the context of Hystrix commands or circuits. This includes details like whether the command was executed locally (fall back) vs remotely, any exceptions</t>
        </is>
      </c>
      <c r="M518" t="n">
        <v>0.0032</v>
      </c>
      <c r="N518" t="n">
        <v>0.0526</v>
      </c>
      <c r="O518" t="n">
        <v>0.1429</v>
      </c>
    </row>
    <row r="519">
      <c r="A519" t="inlineStr">
        <is>
          <t>hystrix</t>
        </is>
      </c>
      <c r="B519" t="inlineStr">
        <is>
          <t>hystrix-core/src/main/java/com/netflix/hystrix/exception/ExceptionNotWrappedByHystrix.java</t>
        </is>
      </c>
      <c r="C519">
        <f>HYPERLINK("https://github.com/Netflix/Hystrix/blob/master/hystrix-core/src/main/java/com/netflix/hystrix/exception/ExceptionNotWrappedByHystrix.java")</f>
        <v/>
      </c>
      <c r="D519" t="inlineStr">
        <is>
          <t>The code provided is a simple interface named "ExceptionNotWrappedByHystrix". It's used to indicate that an exception should not be wrapped by Hystrix in the case of detected exceptions. The implementation details are unknown as this appears to be a skeleton or placeholder for future development. This repository also contains backend software components and implements core algorithms.
It has O(</t>
        </is>
      </c>
      <c r="E519" t="n">
        <v>0.008200000000000001</v>
      </c>
      <c r="F519" t="n">
        <v>0.1176</v>
      </c>
      <c r="G519" t="n">
        <v>0.3255</v>
      </c>
      <c r="H519" t="inlineStr">
        <is>
          <t>ThegivenJava code defines an interface named"ExceptionNotWrappedByHystrix". This interface is used to prevent Hystrix from wrapping detected exceptions in a HystrixRuntimeException. The complexity of this operation is O(N), where N represents the number of elements being processed. It's important to note that without more context or specific details about what each line does, it</t>
        </is>
      </c>
      <c r="I519" t="n">
        <v>0.0035</v>
      </c>
      <c r="J519" t="n">
        <v>0.0312</v>
      </c>
      <c r="K519" t="n">
        <v>0.08</v>
      </c>
      <c r="L519" t="inlineStr">
        <is>
          <t>The provided code is a Java interface named "ExceptionNotWrappedByHystrix". This interface does not contain any methods and serves as a marker for exceptions that should not be wrapped by Hystrix in the Netflix OSS project's exception handling mechanism. The main purpose of this interface seems to be to prevent Hystrix from wrapping detected exceptions into HystrixRuntimeException which</t>
        </is>
      </c>
      <c r="M519" t="n">
        <v>0.0038</v>
      </c>
      <c r="N519" t="n">
        <v>0.0606</v>
      </c>
      <c r="O519" t="n">
        <v>0.0775</v>
      </c>
    </row>
    <row r="520">
      <c r="A520" t="inlineStr">
        <is>
          <t>hystrix</t>
        </is>
      </c>
      <c r="B520" t="inlineStr">
        <is>
          <t>hystrix-core/src/main/java/com/netflix/hystrix/exception/HystrixBadRequestException.java</t>
        </is>
      </c>
      <c r="C520">
        <f>HYPERLINK("https://github.com/Netflix/Hystrix/blob/master/hystrix-core/src/main/java/com/netflix/hystrix/exception/HystrixBadRequestException.java")</f>
        <v/>
      </c>
      <c r="D520" t="inlineStr">
        <is>
          <t>The code provided is a custom exception class that extends the standard Java Exception class and it's used to represent an error with arguments rather than execution failure in Hystrix Commands. This exception will not trigger fallbacks or circuit breakers but can be counted against failure metrics. The complexity of this function is O(1), as there are no loops or recursive calls involved. It contains comments</t>
        </is>
      </c>
      <c r="E520" t="n">
        <v>0.0033</v>
      </c>
      <c r="F520" t="n">
        <v>0.0526</v>
      </c>
      <c r="G520" t="n">
        <v>0.1087</v>
      </c>
      <c r="H520" t="inlineStr">
        <is>
          <t>The provided code is a Java class that extends the Hystrix Command and implements an exception for cases where arguments are invalid or state does not match expected conditions. The license at the top of this file states compliance with Apache License 2.0 which requires attribution to Netflix when distributing derivative works. This repository contains backend software components implementing core algorithms.
Please provide a concise</t>
        </is>
      </c>
      <c r="I520" t="n">
        <v>0.0042</v>
      </c>
      <c r="J520" t="n">
        <v>0.1081</v>
      </c>
      <c r="K520" t="n">
        <v>0.1825</v>
      </c>
      <c r="L520" t="inlineStr">
        <is>
          <t>ThegivenJava code represents a custom exception class that extends the base Hystrix command exception. This specific exception is used to represent an error with provided arguments or state rather than execution failure. Unlike other exceptions thrown by a `HystrixCommand` this will not trigger fallback, it does not count against failure metrics and thus doesn't trigger circuit breaker. The summary should be "Rep</t>
        </is>
      </c>
      <c r="M520" t="n">
        <v>0.0035</v>
      </c>
      <c r="N520" t="n">
        <v>0.0563</v>
      </c>
      <c r="O520" t="n">
        <v>0.1119</v>
      </c>
    </row>
    <row r="521">
      <c r="A521" t="inlineStr">
        <is>
          <t>hystrix</t>
        </is>
      </c>
      <c r="B521" t="inlineStr">
        <is>
          <t>hystrix-core/src/main/java/com/netflix/hystrix/exception/HystrixTimeoutException.java</t>
        </is>
      </c>
      <c r="C521">
        <f>HYPERLINK("https://github.com/Netflix/Hystrix/blob/master/hystrix-core/src/main/java/com/netflix/hystrix/exception/HystrixTimeoutException.java")</f>
        <v/>
      </c>
      <c r="D521" t="inlineStr">
        <is>
          <t>The code provided is a custom exception class in Java that extends the Hystrix library for handling timeouts and exceptions related to executing commands with Netflix's Hystrix framework. The class represents an error where the execution method took longer than the configured timeout period by Hystrix. This class is public so user-defined execution methods can throw this type of exception if they timeout during their execution</t>
        </is>
      </c>
      <c r="E521" t="n">
        <v>0.0033</v>
      </c>
      <c r="F521" t="n">
        <v>0.0263</v>
      </c>
      <c r="G521" t="n">
        <v>0.0725</v>
      </c>
      <c r="H521" t="inlineStr">
        <is>
          <t>The provided code is a Java class that extends the HystrixObservableCommand class from the Netflix's Hystrix library for handling asynchronous execution and fault tolerance in distributed systems. The exception this class represents an error where the command (i.e., the method to be executed by the Hystrix Command) takes longer than its configured timeout period.
If the command</t>
        </is>
      </c>
      <c r="I521" t="n">
        <v>0.0032</v>
      </c>
      <c r="J521" t="n">
        <v>0.0299</v>
      </c>
      <c r="K521" t="n">
        <v>0.0775</v>
      </c>
      <c r="L521" t="inlineStr">
        <is>
          <t>The provided code is a Java class named `TimeoutException` that extends the base exception class of Hystrix library for handling exceptions related to timeouts in Hystrix commands.
It defines two classes extending from Hystrix's core command classes (`HystrixCommand` and `HystrixObservableCommand`). The purpose of this code seems to be to handle</t>
        </is>
      </c>
      <c r="M521" t="n">
        <v>0.0044</v>
      </c>
      <c r="N521" t="n">
        <v>0.0678</v>
      </c>
      <c r="O521" t="n">
        <v>0.123</v>
      </c>
    </row>
    <row r="522">
      <c r="A522" t="inlineStr">
        <is>
          <t>hystrix</t>
        </is>
      </c>
      <c r="B522" t="inlineStr">
        <is>
          <t>hystrix-core/src/test/java/com/netflix/hystrix/HystrixCommandMetricsTest.java</t>
        </is>
      </c>
      <c r="C522">
        <f>HYPERLINK("https://github.com/Netflix/Hystrix/blob/master/hystrix-core/src/test/java/com/netflix/hystrix/HystrixCommandMetricsTest.java")</f>
        <v/>
      </c>
      <c r="D522" t="inlineStr">
        <is>
          <t>The code provided is a Java implementation of Hystrix (a library used for handling fault tolerance and resilience in distributed systems). It includes unit tests using JUnit 4 framework with the help of `@Rule` annotation to manage lifecycle of Hystrix context within each test case. The license at the top indicates that this software can be redistributed under certain conditions as stated</t>
        </is>
      </c>
      <c r="E522" t="n">
        <v>0.0035</v>
      </c>
      <c r="F522" t="n">
        <v>0.0571</v>
      </c>
      <c r="G522" t="n">
        <v>0.2776</v>
      </c>
      <c r="H522" t="inlineStr">
        <is>
          <t>The code provided is a simple addition function in Java named `add` that takes two parameters and returns their sum. The complexity of this operation is O(1), meaning it performs the same number of operations regardless of the size of the input data.
&lt;jupyter_text&gt;
Task 4: Code Refactoring (6 points)Refactor the given code to improve</t>
        </is>
      </c>
      <c r="I522" t="n">
        <v>0.0033</v>
      </c>
      <c r="J522" t="n">
        <v>0.0606</v>
      </c>
      <c r="K522" t="n">
        <v>0.1181</v>
      </c>
      <c r="L522" t="inlineStr">
        <is>
          <t>The code provided is a Java class that implements the Hystrix library for fault tolerance and resilience in distributed systems. It contains several unit tests to validate its functionality. The main purpose of this code seems to be testing different scenarios related to network failures or timeouts using Hystrix commands.
Here's an overview of what it does: 
1) It sets</t>
        </is>
      </c>
      <c r="M522" t="n">
        <v>0.0036</v>
      </c>
      <c r="N522" t="n">
        <v>0.058</v>
      </c>
      <c r="O522" t="n">
        <v>0.1515</v>
      </c>
    </row>
    <row r="523">
      <c r="A523" t="inlineStr">
        <is>
          <t>hystrix</t>
        </is>
      </c>
      <c r="B523" t="inlineStr">
        <is>
          <t>hystrix-core/src/test/java/com/netflix/hystrix/TestHystrixObservableCommand.java</t>
        </is>
      </c>
      <c r="C523">
        <f>HYPERLINK("https://github.com/Netflix/Hystrix/blob/master/hystrix-core/src/test/java/com/netflix/hystrix/TestHystrixObservableCommand.java")</f>
        <v/>
      </c>
      <c r="D523" t="inlineStr">
        <is>
          <t>The provided code is a Java class named `TestHystrixObservableCommand` that extends the HystrixObservableCommand class and implements an abstract TestHystrixCommand interface. This class appears to be part of Netflix's Hystrix library for distributed fault tolerance in microservices architectures.
It has one private final field 'builder', which seems to hold a</t>
        </is>
      </c>
      <c r="E523" t="n">
        <v>0.0049</v>
      </c>
      <c r="F523" t="n">
        <v>0.0345</v>
      </c>
      <c r="G523" t="n">
        <v>0.1653</v>
      </c>
      <c r="H523" t="inlineStr">
        <is>
          <t>The code provided is a Java class that extends the HystrixObservableCommand class and implements an abstract TestHystrixCommand interface. The purpose of this class seems to be for testing purposes only as it contains license information at the top of its file which suggests it's part of some sort of library or framework.
The constructor takes in a parameter 'builder', presumably used</t>
        </is>
      </c>
      <c r="I523" t="n">
        <v>0.0036</v>
      </c>
      <c r="J523" t="n">
        <v>0.0286</v>
      </c>
      <c r="K523" t="n">
        <v>0.1504</v>
      </c>
      <c r="L523" t="inlineStr">
        <is>
          <t>The provided code is a custom implementation of the Hystrix library in Java for creating asynchronous commands with fallbacks and circuit breaking functionality.
It defines an abstract class `TestHystrixObservableCommand` that extends `HystrixObservableCommand` which allows it to return Observables instead of regular values or exceptions. The command has been configured using parameters from a builder object</t>
        </is>
      </c>
      <c r="M523" t="n">
        <v>0.0033</v>
      </c>
      <c r="N523" t="n">
        <v>0.0635</v>
      </c>
      <c r="O523" t="n">
        <v>0.1181</v>
      </c>
    </row>
    <row r="524">
      <c r="A524" t="inlineStr">
        <is>
          <t>hystrix</t>
        </is>
      </c>
      <c r="B524" t="inlineStr">
        <is>
          <t>hystrix-core/src/test/java/com/netflix/hystrix/TestableExecutionHook.java</t>
        </is>
      </c>
      <c r="C524">
        <f>HYPERLINK("https://github.com/Netflix/Hystrix/blob/master/hystrix-core/src/test/java/com/netflix/hystrix/TestableExecutionHook.java")</f>
        <v/>
      </c>
      <c r="D524" t="inlineStr">
        <is>
          <t>The provided code is a Java implementation of the Hystrix library for handling fault tolerance in distributed systems. It provides an execution hook to test other command implementations and their behavior under different conditions. The main class `TestableExecutionHook` extends from `HystrixCommandExecutionHook` which allows it to intercept commands during their execution cycle. This can be used for testing purposes such as ver</t>
        </is>
      </c>
      <c r="E524" t="n">
        <v>0.0036</v>
      </c>
      <c r="F524" t="n">
        <v>0.058</v>
      </c>
      <c r="G524" t="n">
        <v>0.1504</v>
      </c>
      <c r="H524" t="inlineStr">
        <is>
          <t>The provided code is a Java class named `TestableExecutionHook` that extends the Hystrix library for handling fallbacks and command execution hooks in distributed systems. The copyright notice at the top of the file mentions Apache License 2.0 which means it's open source software licensed under this license.
It appears to be implementing some form of fault tolerance or resilience</t>
        </is>
      </c>
      <c r="I524" t="n">
        <v>0.0037</v>
      </c>
      <c r="J524" t="n">
        <v>0.058</v>
      </c>
      <c r="K524" t="n">
        <v>0.1527</v>
      </c>
      <c r="L524" t="inlineStr">
        <is>
          <t>The provided code is a Java class named `TestableExecutionHook` that extends the Hystrix library's base command execution hook (`HystrixCommandExecutionHook`). It provides an implementation for testing and debugging purposes by tracking various aspects of its associated commands, such as their executions, failures, exceptions thrown, etc.
It has two main methods - `init</t>
        </is>
      </c>
      <c r="M524" t="n">
        <v>0.0036</v>
      </c>
      <c r="N524" t="n">
        <v>0.0678</v>
      </c>
      <c r="O524" t="n">
        <v>0.0813</v>
      </c>
    </row>
    <row r="525">
      <c r="A525" t="inlineStr">
        <is>
          <t>hystrix</t>
        </is>
      </c>
      <c r="B525" t="inlineStr">
        <is>
          <t>hystrix-core/src/test/java/com/netflix/hystrix/TestHystrixCommand.java</t>
        </is>
      </c>
      <c r="C525">
        <f>HYPERLINK("https://github.com/Netflix/Hystrix/blob/master/hystrix-core/src/test/java/com/netflix/hystrix/TestHystrixCommand.java")</f>
        <v/>
      </c>
      <c r="D525" t="inlineStr">
        <is>
          <t>The code you provided is a Java implementation of the Hystrix library for distributed systems fault tolerance and resilience in microservices architecture. It defines an abstract class `TestHystrixCommand` that extends from the base `HystrixCommand` class. This command is used to define fallbacks, circuit breakers, timeouts etc., which are essential features of Netflix's H</t>
        </is>
      </c>
      <c r="E525" t="n">
        <v>0.0041</v>
      </c>
      <c r="F525" t="n">
        <v>0.0645</v>
      </c>
      <c r="G525" t="n">
        <v>0.16</v>
      </c>
      <c r="H525" t="inlineStr">
        <is>
          <t>The code provided is a Java class that extends the HystrixCommand abstract class and implements an interface with generic type T. This class represents a test command for use in testing distributed systems using Netflix's Hystrix library. The constructor of this class takes a TestCommandBuilder object as its parameter which may be used to configure various aspects of the command such as its owner, dependency key,</t>
        </is>
      </c>
      <c r="I525" t="n">
        <v>0.0036</v>
      </c>
      <c r="J525" t="n">
        <v>0.0267</v>
      </c>
      <c r="K525" t="n">
        <v>0.1449</v>
      </c>
      <c r="L525" t="inlineStr">
        <is>
          <t>The provided code is a Java implementation of the Hystrix library by Netflix for handling fault tolerance in distributed systems. It defines an abstract class `TestHystrixCommand` that extends from `HystrixCommand` and implements another interface `AbstractTestHystrixCommand`.
The main purpose of this command seems to be executing some logic wrapped within it using fallbacks or</t>
        </is>
      </c>
      <c r="M525" t="n">
        <v>0.0041</v>
      </c>
      <c r="N525" t="n">
        <v>0.0984</v>
      </c>
      <c r="O525" t="n">
        <v>0.16</v>
      </c>
    </row>
    <row r="526">
      <c r="A526" t="inlineStr">
        <is>
          <t>hystrix</t>
        </is>
      </c>
      <c r="B526" t="inlineStr">
        <is>
          <t>hystrix-core/src/test/java/com/netflix/hystrix/HystrixCollapserTest.java</t>
        </is>
      </c>
      <c r="C526">
        <f>HYPERLINK("https://github.com/Netflix/Hystrix/blob/master/hystrix-core/src/test/java/com/netflix/hystrix/HystrixCollapserTest.java")</f>
        <v/>
      </c>
      <c r="D526" t="inlineStr">
        <is>
          <t>The code provided appears to be a Java implementation of core algorithms and data structures used in backend software components such as Netflix's Hystrix library for handling fault tolerance patterns. It includes classes related to concurrency control, thread safety mechanisms, and distributed computing concepts like queues. The license at the top indicates that this is licensed under Apache 2.0 which provides developers with many rights including</t>
        </is>
      </c>
      <c r="E526" t="n">
        <v>0.0036</v>
      </c>
      <c r="F526" t="n">
        <v>0.0789</v>
      </c>
      <c r="G526" t="n">
        <v>0.2174</v>
      </c>
      <c r="H526" t="inlineStr">
        <is>
          <t>The code provided is a simple addition function `add` that takes two numbers as input and returns their sum. The complexity of this operation is O(1), meaning it performs the same number of operations regardless of the size of the inputs.
&lt;jupyter_text&gt;
Task 4 - Code Review (6 points)Review the following piece of Python code:```pythonfrom</t>
        </is>
      </c>
      <c r="I526" t="n">
        <v>0.0033</v>
      </c>
      <c r="J526" t="n">
        <v>0.0606</v>
      </c>
      <c r="K526" t="n">
        <v>0.1181</v>
      </c>
      <c r="L526" t="inlineStr">
        <is>
          <t>The code provided is for a Hystrix library in Java which provides fault tolerance patterns to increase resilience and availability of distributed systems. It includes various features such as circuit breakers, thread pool isolation, request caching etc. The main purpose of this code seems to be managing the execution of commands within an application context using rules that allow setting up preconditions before executing commands or handling exceptions when</t>
        </is>
      </c>
      <c r="M526" t="n">
        <v>0.0026</v>
      </c>
      <c r="N526" t="n">
        <v>0.026</v>
      </c>
      <c r="O526" t="n">
        <v>0.1064</v>
      </c>
    </row>
    <row r="527">
      <c r="A527" t="inlineStr">
        <is>
          <t>hystrix</t>
        </is>
      </c>
      <c r="B527" t="inlineStr">
        <is>
          <t>hystrix-core/src/test/java/com/netflix/hystrix/HystrixThreadPoolPropertiesTest.java</t>
        </is>
      </c>
      <c r="C527">
        <f>HYPERLINK("https://github.com/Netflix/Hystrix/blob/master/hystrix-core/src/test/java/com/netflix/hystrix/HystrixThreadPoolPropertiesTest.java")</f>
        <v/>
      </c>
      <c r="D527" t="inlineStr">
        <is>
          <t>The code provided is a JUnit test for Hystrix thread pool properties in the Netflix library. It tests various aspects of these properties such as setting and getting values, ensuring that they are properly initialized with default values, and validating that changes to them work correctly. The base properties being tested include maximum threads, queue size, etc., which control how many requests can be queued before further</t>
        </is>
      </c>
      <c r="E527" t="n">
        <v>0.0027</v>
      </c>
      <c r="F527" t="n">
        <v>0.0267</v>
      </c>
      <c r="G527" t="n">
        <v>0.07190000000000001</v>
      </c>
      <c r="H527" t="inlineStr">
        <is>
          <t>The provided code is a JUnit test for Hystrix thread pool properties setter class in Java. The functionality of this code includes testing the base properties related to unit testing for Hystrix's thread pool properties setter class. It uses static import statements and defines tests using annotations like @Test and @After. 
It also contains comments explaining what each section does such</t>
        </is>
      </c>
      <c r="I527" t="n">
        <v>0.0036</v>
      </c>
      <c r="J527" t="n">
        <v>0.0571</v>
      </c>
      <c r="K527" t="n">
        <v>0.1128</v>
      </c>
      <c r="L527" t="inlineStr">
        <is>
          <t>The code provided is a JUnit test for Hystrix thread pool properties in the Netflix project. It's designed to verify that certain base properties are correctly set and retrieved from an instance of `HystrixThreadPoolProperties` class.
Here's what it does step by step:
1. **Setup**: The setup method initializes some basic configuration</t>
        </is>
      </c>
      <c r="M527" t="n">
        <v>0.0036</v>
      </c>
      <c r="N527" t="n">
        <v>0.0328</v>
      </c>
      <c r="O527" t="n">
        <v>0.0407</v>
      </c>
    </row>
    <row r="528">
      <c r="A528" t="inlineStr">
        <is>
          <t>hystrix</t>
        </is>
      </c>
      <c r="B528" t="inlineStr">
        <is>
          <t>hystrix-core/src/test/java/com/netflix/hystrix/HystrixSubclassCommandTest.java</t>
        </is>
      </c>
      <c r="C528">
        <f>HYPERLINK("https://github.com/Netflix/Hystrix/blob/master/hystrix-core/src/test/java/com/netflix/hystrix/HystrixSubclassCommandTest.java")</f>
        <v/>
      </c>
      <c r="D528" t="inlineStr">
        <is>
          <t>The provided code is a JUnit test for a Hystrix subclass command named `HystrixSubclassCommandTest`. The purpose of this class seems to be testing the functionality of some sort of custom or subclass implementation of Hystrix commands.
Here's a concise summary: 
A Junit Test case that tests the functionality of a Hyst</t>
        </is>
      </c>
      <c r="E528" t="n">
        <v>0.0036</v>
      </c>
      <c r="F528" t="n">
        <v>0.1</v>
      </c>
      <c r="G528" t="n">
        <v>0.122</v>
      </c>
      <c r="H528" t="inlineStr">
        <is>
          <t>The code provided is a Java class named HystrixSubclassCommandTest that tests the functionality of an Hystrix command group key "GROUP". The test checks if the hystrix command group key matches with expected value and also verifies whether it's correctly initializing and running commands in the context rule. It uses JUnit for testing purposes.
The complexity of this function</t>
        </is>
      </c>
      <c r="I528" t="n">
        <v>0.0037</v>
      </c>
      <c r="J528" t="n">
        <v>0.0597</v>
      </c>
      <c r="K528" t="n">
        <v>0.1154</v>
      </c>
      <c r="L528" t="inlineStr">
        <is>
          <t>The provided code is a JUnit test for a Hystrix command subclass named `HystrixSubclassCommand` in the package `com.netflix.hystrix`.
The main purpose of this class seems to be testing the functionality and behavior related to executing commands with fallbacks or circuit breakers using Netflix's Hystrix library.</t>
        </is>
      </c>
      <c r="M528" t="n">
        <v>0.0086</v>
      </c>
      <c r="N528" t="n">
        <v>0.1071</v>
      </c>
      <c r="O528" t="n">
        <v>0.2184</v>
      </c>
    </row>
    <row r="529">
      <c r="A529" t="inlineStr">
        <is>
          <t>hystrix</t>
        </is>
      </c>
      <c r="B529" t="inlineStr">
        <is>
          <t>hystrix-core/src/test/java/com/netflix/hystrix/HystrixCommandTestWithCustomConcurrencyStrategy.java</t>
        </is>
      </c>
      <c r="C529">
        <f>HYPERLINK("https://github.com/Netflix/Hystrix/blob/master/hystrix-core/src/test/java/com/netflix/hystrix/HystrixCommandTestWithCustomConcurrencyStrategy.java")</f>
        <v/>
      </c>
      <c r="D529" t="inlineStr">
        <is>
          <t>The provided code is a Java implementation of the Hystrix library by Netflix for handling fault tolerance and resilience in distributed systems. It includes various components such as command execution strategies (including concurrent strategy), circuit breakers, request caching, etc., all wrapped with thread isolation mechanisms to avoid potential issues related to race conditions or deadlocks that could occur when multiple threads are involved within one</t>
        </is>
      </c>
      <c r="E529" t="n">
        <v>0.0028</v>
      </c>
      <c r="F529" t="n">
        <v>0.0548</v>
      </c>
      <c r="G529" t="n">
        <v>0.073</v>
      </c>
      <c r="H529" t="inlineStr">
        <is>
          <t>The provided code is a Java implementation of the addition operation between two numbers (`a` and `b`). The function returns their sum which has a time complexity of O(1), meaning it takes constant time to execute regardless of input size. This function follows Apache License 2.0 as stated in its header comments indicating that you may not use this file except in compliance with the license.</t>
        </is>
      </c>
      <c r="I529" t="n">
        <v>0.0033</v>
      </c>
      <c r="J529" t="n">
        <v>0.0526</v>
      </c>
      <c r="K529" t="n">
        <v>0.1812</v>
      </c>
      <c r="L529" t="inlineStr">
        <is>
          <t>The provided code is a part of Netflix's Hystrix library for handling fault tolerance and resilience in distributed systems. It defines two classes that are used to configure the behavior of how commands execute within different contexts (thread pools) when using HystrixCommand or HystrixObservableCommand.
Here is an overview of what this functionality does: 
1</t>
        </is>
      </c>
      <c r="M529" t="n">
        <v>0.004</v>
      </c>
      <c r="N529" t="n">
        <v>0.0635</v>
      </c>
      <c r="O529" t="n">
        <v>0.119</v>
      </c>
    </row>
    <row r="530">
      <c r="A530" t="inlineStr">
        <is>
          <t>hystrix</t>
        </is>
      </c>
      <c r="B530" t="inlineStr">
        <is>
          <t>hystrix-core/src/test/java/com/netflix/hystrix/AbstractTestHystrixCommand.java</t>
        </is>
      </c>
      <c r="C530">
        <f>HYPERLINK("https://github.com/Netflix/Hystrix/blob/master/hystrix-core/src/test/java/com/netflix/hystrix/AbstractTestHystrixCommand.java")</f>
        <v/>
      </c>
      <c r="D530" t="inlineStr">
        <is>
          <t>The code provided is a Java interface for an abstract Hystrix command that extends the `HystrixObservable` and uses an enum to represent execution results of commands. The class also implements `InspectableBuilder` which provides methods for inspecting the state of the command. It's important to note that this repository contains backend software components implementing core algorithms. This complexity appears to be O</t>
        </is>
      </c>
      <c r="E530" t="n">
        <v>0.0045</v>
      </c>
      <c r="F530" t="n">
        <v>0.1143</v>
      </c>
      <c r="G530" t="n">
        <v>0.2256</v>
      </c>
      <c r="H530" t="inlineStr">
        <is>
          <t>The code provided is a Java package for implementing core algorithms in the Hystrix library used by Netflix to handle fault tolerance and resilience in distributed systems. The main component of this package appears to be an interface named `AbstractTestHystrixCommand` that extends another class (presumably related to observability or metrics), as well as several enums representing different types of execution results</t>
        </is>
      </c>
      <c r="I530" t="n">
        <v>0.0036</v>
      </c>
      <c r="J530" t="n">
        <v>0.08699999999999999</v>
      </c>
      <c r="K530" t="n">
        <v>0.2797</v>
      </c>
      <c r="L530" t="inlineStr">
        <is>
          <t>The provided code is a Java interface named `AbstractTestHystrixCommand` that extends the HystrixObservable class and implements the InspectableBuilder interface. This command is used for testing purposes in Netflix's Hystrix library.
It seems to be an abstract test command which can handle different types of execution results such as SUCCESS, FAILURE,</t>
        </is>
      </c>
      <c r="M530" t="n">
        <v>0.0048</v>
      </c>
      <c r="N530" t="n">
        <v>0.0339</v>
      </c>
      <c r="O530" t="n">
        <v>0.1639</v>
      </c>
    </row>
    <row r="531">
      <c r="A531" t="inlineStr">
        <is>
          <t>hystrix</t>
        </is>
      </c>
      <c r="B531" t="inlineStr">
        <is>
          <t>hystrix-core/src/test/java/com/netflix/hystrix/HystrixObservableCommandTest.java</t>
        </is>
      </c>
      <c r="C531">
        <f>HYPERLINK("https://github.com/Netflix/Hystrix/blob/master/hystrix-core/src/test/java/com/netflix/hystrix/HystrixObservableCommandTest.java")</f>
        <v/>
      </c>
      <c r="D531" t="inlineStr">
        <is>
          <t>The provided code is a Java implementation of core algorithms and Hystrix command execution strategies for handling fault tolerance in distributed systems. It includes classes related to circuit breaking, semaphore usage, exception handling etc., which are common practices when dealing with distributed systems. The complexity seems to be O(N), but this could vary depending on the specific use case or algorithm being implemented.
#</t>
        </is>
      </c>
      <c r="E531" t="n">
        <v>0.0034</v>
      </c>
      <c r="F531" t="n">
        <v>0.0833</v>
      </c>
      <c r="G531" t="n">
        <v>0.1838</v>
      </c>
      <c r="H531" t="inlineStr">
        <is>
          <t>The code you provided is a simple function for adding two numbers in Python. It takes as input parameters 'a' and 'b', adds them together using the addition operator (+), then returns the result. The time complexity of this operation is O(1).
Here are some comments about it:
```python
# This function performs basic arithmetic addition on its inputs.</t>
        </is>
      </c>
      <c r="I531" t="n">
        <v>0.0037</v>
      </c>
      <c r="J531" t="n">
        <v>0.0606</v>
      </c>
      <c r="K531" t="n">
        <v>0.1145</v>
      </c>
      <c r="L531" t="inlineStr">
        <is>
          <t>The provided code is a Java class that implements the Hystrix library for handling fault tolerance and resilience in distributed systems. The main purpose of this class seems to be managing circuit breakers using semaphores.
Here's an overview of what it does: 
1. It sets up configuration properties related to command execution isolation strategy (like thread pool size) through</t>
        </is>
      </c>
      <c r="M531" t="n">
        <v>0.0037</v>
      </c>
      <c r="N531" t="n">
        <v>0.0588</v>
      </c>
      <c r="O531" t="n">
        <v>0.1527</v>
      </c>
    </row>
    <row r="532">
      <c r="A532" t="inlineStr">
        <is>
          <t>hystrix</t>
        </is>
      </c>
      <c r="B532" t="inlineStr">
        <is>
          <t>hystrix-core/src/test/java/com/netflix/hystrix/HystrixTest.java</t>
        </is>
      </c>
      <c r="C532">
        <f>HYPERLINK("https://github.com/Netflix/Hystrix/blob/master/hystrix-core/src/test/java/com/netflix/hystrix/HystrixTest.java")</f>
        <v/>
      </c>
      <c r="D532" t="inlineStr">
        <is>
          <t>The code is a part of the Hystrix library for Java which provides fault tolerance patterns to isolate points in your system where failure can cause cascading failures across multiple services. It's licensed under Apache 2.0 and has specific conditions that need to be followed while using it. The code includes unit tests written with JUnit framework.
The main component being tested appears to</t>
        </is>
      </c>
      <c r="E532" t="n">
        <v>0.0028</v>
      </c>
      <c r="F532" t="n">
        <v>0.027</v>
      </c>
      <c r="G532" t="n">
        <v>0.0735</v>
      </c>
      <c r="H532" t="inlineStr">
        <is>
          <t>The provided code is a Java class that extends the HystrixCommand abstract class from Netflix's Hystrix library for use with Reactive Extensions (RxJava). The purpose of this code seems to be implementing an asynchronous command using Hystrix and RxJava.
This specific piece of code appears to wrap around the execution of some kind of computation or operation</t>
        </is>
      </c>
      <c r="I532" t="n">
        <v>0.0038</v>
      </c>
      <c r="J532" t="n">
        <v>0.09089999999999999</v>
      </c>
      <c r="K532" t="n">
        <v>0.155</v>
      </c>
      <c r="L532" t="inlineStr">
        <is>
          <t>The provided code is a Java implementation of the Hystrix library for handling fault tolerance and resilience in distributed systems. The main purpose of this code is to demonstrate how to use the HystrixCommand class from the Hystrix library to create asynchronous commands that can be run independently or collectively.
Here's an overview of what each part does:
1</t>
        </is>
      </c>
      <c r="M532" t="n">
        <v>0.0031</v>
      </c>
      <c r="N532" t="n">
        <v>0.0588</v>
      </c>
      <c r="O532" t="n">
        <v>0.1527</v>
      </c>
    </row>
    <row r="533">
      <c r="A533" t="inlineStr">
        <is>
          <t>hystrix</t>
        </is>
      </c>
      <c r="B533" t="inlineStr">
        <is>
          <t>hystrix-core/src/test/java/com/netflix/hystrix/HystrixCommandTimeoutConcurrencyTesting.java</t>
        </is>
      </c>
      <c r="C533">
        <f>HYPERLINK("https://github.com/Netflix/Hystrix/blob/master/hystrix-core/src/test/java/com/netflix/hystrix/HystrixCommandTimeoutConcurrencyTesting.java")</f>
        <v/>
      </c>
      <c r="D533" t="inlineStr">
        <is>
          <t>The code provided is a JUnit test for concurrent execution of Hystrix commands with timeouts in Java. It tests the race condition between multiple Hystrix commands that are executed simultaneously and have different timeout settings. The number of concurrent commands being tested (`NUM_CONCURRENT_COMMANDS = 30`), each command has its own unique timeout setting which can be configured</t>
        </is>
      </c>
      <c r="E533" t="n">
        <v>0.0032</v>
      </c>
      <c r="F533" t="n">
        <v>0.0303</v>
      </c>
      <c r="G533" t="n">
        <v>0.0388</v>
      </c>
      <c r="H533" t="inlineStr">
        <is>
          <t>The provided code is a Java class named `HystrixCommandTimeoutConcurrencyTesting` that tests the concurrent execution of Hystrix commands with timeouts. The test method `testTimeoutRace` creates multiple instances of an unrelated command (which presumably extends from `HystrixCommand` or similar), starts them all at once and waits for their results. If any</t>
        </is>
      </c>
      <c r="I533" t="n">
        <v>0.0037</v>
      </c>
      <c r="J533" t="n">
        <v>0.0351</v>
      </c>
      <c r="K533" t="n">
        <v>0.0413</v>
      </c>
      <c r="L533" t="inlineStr">
        <is>
          <t>The provided code is a JUnit test for concurrent execution of Hystrix commands with timeouts in Java. It tests the race condition that can occur when multiple threads are executing these commands simultaneously and one thread takes too long to complete its task causing other threads to wait forever.
Here's what happens during this test: 
1. A fixed number (`NUM_</t>
        </is>
      </c>
      <c r="M533" t="n">
        <v>0.003</v>
      </c>
      <c r="N533" t="n">
        <v>0.029</v>
      </c>
      <c r="O533" t="n">
        <v>0.07580000000000001</v>
      </c>
    </row>
    <row r="534">
      <c r="A534" t="inlineStr">
        <is>
          <t>hystrix</t>
        </is>
      </c>
      <c r="B534" t="inlineStr">
        <is>
          <t>hystrix-core/src/test/java/com/netflix/hystrix/NotWrappedByHystrixTestRuntimeException.java</t>
        </is>
      </c>
      <c r="C534">
        <f>HYPERLINK("https://github.com/Netflix/Hystrix/blob/master/hystrix-core/src/test/java/com/netflix/hystrix/NotWrappedByHystrixTestRuntimeException.java")</f>
        <v/>
      </c>
      <c r="D534" t="inlineStr">
        <is>
          <t>The provided code is a custom exception class `NotWrappedByHystrixTestRuntimeException` that extends the `RuntimeException` and implements an interface `ExceptionNotWrappedByHystrix`. This exception is used for testing purposes in Hystrix command execution. The serial version UID of this class is 1L which helps with object serialization during communication between different Java Virtual</t>
        </is>
      </c>
      <c r="E534" t="n">
        <v>0.0049</v>
      </c>
      <c r="F534" t="n">
        <v>0.0351</v>
      </c>
      <c r="G534" t="n">
        <v>0.1653</v>
      </c>
      <c r="H534" t="inlineStr">
        <is>
          <t>The code provided is a Java class named `NotWrappedByHystrixTestRuntimeException` that extends the `RuntimeException` and implements an interface called `ExceptionNotWrappedByHystrix`. This exception is used for testing Hystrix commands as it does not wrap any exceptions thrown by the command execution in a Hystrix-specific way. The serial version UID of</t>
        </is>
      </c>
      <c r="I534" t="n">
        <v>0.005</v>
      </c>
      <c r="J534" t="n">
        <v>0.0351</v>
      </c>
      <c r="K534" t="n">
        <v>0.1667</v>
      </c>
      <c r="L534" t="inlineStr">
        <is>
          <t>The provided code is a custom exception class named "NotWrappedByHystrixTestRuntimeException". This class extends the built-in RuntimeException and implements an interface called ExceptionNotWrappedByHystrix. The purpose of this class seems to be for testing purposes related to Hystrix command wrapping functionality in Netflix's library. It provides a raw exception message that can help</t>
        </is>
      </c>
      <c r="M534" t="n">
        <v>0.0051</v>
      </c>
      <c r="N534" t="n">
        <v>0.0984</v>
      </c>
      <c r="O534" t="n">
        <v>0.1626</v>
      </c>
    </row>
    <row r="535">
      <c r="A535" t="inlineStr">
        <is>
          <t>hystrix</t>
        </is>
      </c>
      <c r="B535" t="inlineStr">
        <is>
          <t>hystrix-core/src/test/java/com/netflix/hystrix/NotWrappedByHystrixTestException.java</t>
        </is>
      </c>
      <c r="C535">
        <f>HYPERLINK("https://github.com/Netflix/Hystrix/blob/master/hystrix-core/src/test/java/com/netflix/hystrix/NotWrappedByHystrixTestException.java")</f>
        <v/>
      </c>
      <c r="D535" t="inlineStr">
        <is>
          <t>The code provided is a custom exception class that extends the standard Java Exception and implements an interface 'ExceptionNotWrappedByHystrix'. The serial version UID for this class is also defined as 1L. This means it's used to identify different versions of classes during deserialization which can be useful in object-relational mapping (ORM).
Please note that H</t>
        </is>
      </c>
      <c r="E535" t="n">
        <v>0.0044</v>
      </c>
      <c r="F535" t="n">
        <v>0.0308</v>
      </c>
      <c r="G535" t="n">
        <v>0.1575</v>
      </c>
      <c r="H535" t="inlineStr">
        <is>
          <t>The code provided is a Java class named NotWrappedByHystrixTestException that extends the Exception class and implements an interface called ExceptionNotWrappedByHystrix. The purpose of this exception seems to be for testing purposes related to Hystrix circuit breakers in Netflix's framework. It has been serialized with a static final long variable 'serialVersionUID'.</t>
        </is>
      </c>
      <c r="I535" t="n">
        <v>0.0044</v>
      </c>
      <c r="J535" t="n">
        <v>0.0339</v>
      </c>
      <c r="K535" t="n">
        <v>0.123</v>
      </c>
      <c r="L535" t="inlineStr">
        <is>
          <t>The provided code is a Java class named "NotWrappedByHystrixTestException" that extends the built-in Exception class and implements an interface called "ExceptionNotWrappedByHystrix". This exception is designed to be thrown when there's an error related to Hystrix circuit breakers which are used for fault tolerance in distributed systems. The purpose of this class seems to</t>
        </is>
      </c>
      <c r="M535" t="n">
        <v>0.0045</v>
      </c>
      <c r="N535" t="n">
        <v>0.0317</v>
      </c>
      <c r="O535" t="n">
        <v>0.16</v>
      </c>
    </row>
    <row r="536">
      <c r="A536" t="inlineStr">
        <is>
          <t>hystrix</t>
        </is>
      </c>
      <c r="B536" t="inlineStr">
        <is>
          <t>hystrix-core/src/test/java/com/netflix/hystrix/InspectableBuilder.java</t>
        </is>
      </c>
      <c r="C536">
        <f>HYPERLINK("https://github.com/Netflix/Hystrix/blob/master/hystrix-core/src/test/java/com/netflix/hystrix/InspectableBuilder.java")</f>
        <v/>
      </c>
      <c r="D536" t="inlineStr">
        <is>
          <t>The provided code is a Java interface named InspectableBuilder that provides methods for creating TestCommandBuilders and enums representing CommandKeys (for unit tests), CommandGroups (also for unit tests), and ThreadPoolKeys (also for unit tests). The license at the top of the file specifies conditions under which this software may be used.
The enum KEY_ONE has been defined with</t>
        </is>
      </c>
      <c r="E536" t="n">
        <v>0.0038</v>
      </c>
      <c r="F536" t="n">
        <v>0.0606</v>
      </c>
      <c r="G536" t="n">
        <v>0.1981</v>
      </c>
      <c r="H536" t="inlineStr">
        <is>
          <t>The provided code is a Java interface named `InspectableBuilder` that provides methods for getting instances of test command builders and enums representing different keys used in unit tests related to Hystrix commands and thread pools. The license at the top indicates it's licensed under Apache 2.0 which means you can use this software freely but with conditions specified by the license.</t>
        </is>
      </c>
      <c r="I536" t="n">
        <v>0.0036</v>
      </c>
      <c r="J536" t="n">
        <v>0.0563</v>
      </c>
      <c r="K536" t="n">
        <v>0.2373</v>
      </c>
      <c r="L536" t="inlineStr">
        <is>
          <t>The provided code is a Java interface named `InspectableBuilder` that provides methods for creating and managing Hystrix commands in unit tests. It has three enums representing different keys used by the commands - Command Key (for identifying individual commands), Command Group Key (for grouping related commands together) and Thread Pool Key (for defining thread pools). This functionality allows developers to create mock or stub</t>
        </is>
      </c>
      <c r="M536" t="n">
        <v>0.0037</v>
      </c>
      <c r="N536" t="n">
        <v>0.0563</v>
      </c>
      <c r="O536" t="n">
        <v>0.1103</v>
      </c>
    </row>
    <row r="537">
      <c r="A537" t="inlineStr">
        <is>
          <t>hystrix</t>
        </is>
      </c>
      <c r="B537" t="inlineStr">
        <is>
          <t>hystrix-core/src/test/java/com/netflix/hystrix/CommonHystrixCommandTests.java</t>
        </is>
      </c>
      <c r="C537">
        <f>HYPERLINK("https://github.com/Netflix/Hystrix/blob/master/hystrix-core/src/test/java/com/netflix/hystrix/CommonHystrixCommandTests.java")</f>
        <v/>
      </c>
      <c r="D537" t="inlineStr">
        <is>
          <t>ThegivenJava code is a part of Netflix's Hystrix library which provides fault tolerance patterns to your applications by isolating points in your infrastructure that could potentially fail and providing fallbacks when things donâĢĻt go as expected. It uses the Command pattern for executing tasks with fallback options. The copyright information at the top indicates this software falls under Apache License 2.0.</t>
        </is>
      </c>
      <c r="E537" t="n">
        <v>0.0036</v>
      </c>
      <c r="F537" t="n">
        <v>0.0556</v>
      </c>
      <c r="G537" t="n">
        <v>0.2373</v>
      </c>
      <c r="H537" t="inlineStr">
        <is>
          <t>The function `add` takes two parameters (numbers a and b), adds them together, and returns the result. The time complexity of this operation is O(1).
&lt;jupyter_code&gt;
# Python code to add two numbers 
def add(a, b):
    return a + b
&lt;jupyter_output&gt;
&lt;</t>
        </is>
      </c>
      <c r="I537" t="n">
        <v>0.0044</v>
      </c>
      <c r="J537" t="n">
        <v>0.0784</v>
      </c>
      <c r="K537" t="n">
        <v>0.1316</v>
      </c>
      <c r="L537" t="inlineStr">
        <is>
          <t>The code provided is a part of the Hystrix library for Java, which provides fault tolerance patterns to applications running in distributed environments. The main purpose of this code seems to be defining and executing a command that can fall back on a default behavior when an exception occurs or if it takes too long to execute.
The input would likely include parameters passed into the constructor of the class being defined</t>
        </is>
      </c>
      <c r="M537" t="n">
        <v>0.0025</v>
      </c>
      <c r="N537" t="n">
        <v>0.05</v>
      </c>
      <c r="O537" t="n">
        <v>0.1042</v>
      </c>
    </row>
    <row r="538">
      <c r="A538" t="inlineStr">
        <is>
          <t>hystrix</t>
        </is>
      </c>
      <c r="B538" t="inlineStr">
        <is>
          <t>hystrix-core/src/test/java/com/netflix/hystrix/HystrixCommandTest.java</t>
        </is>
      </c>
      <c r="C538">
        <f>HYPERLINK("https://github.com/Netflix/Hystrix/blob/master/hystrix-core/src/test/java/com/netflix/hystrix/HystrixCommandTest.java")</f>
        <v/>
      </c>
      <c r="D538" t="inlineStr">
        <is>
          <t>The provided code is a part of the Hystrix library for Java which provides fault tolerance patterns to improve resilience and availability in distributed systems. It includes features like circuit breakers, command properties, semaphores etc., used by Netflix's services. The implementation covers core algorithms related to these concepts. The code size is 1000 lines long with complexity O(N</t>
        </is>
      </c>
      <c r="E538" t="n">
        <v>0.0037</v>
      </c>
      <c r="F538" t="n">
        <v>0.0588</v>
      </c>
      <c r="G538" t="n">
        <v>0.1538</v>
      </c>
      <c r="H538" t="inlineStr">
        <is>
          <t>The provided code is a Java class that extends an abstract Hystrix command for executing commands in the context of a Netflix application. The add method takes two parameters and returns their sum. This operation has a time complexity of O(1), indicating constant time regardless of input size.
The Apache License 2.0 governs this software's usage, with conditions requiring compliance and</t>
        </is>
      </c>
      <c r="I538" t="n">
        <v>0.0036</v>
      </c>
      <c r="J538" t="n">
        <v>0.0833</v>
      </c>
      <c r="K538" t="n">
        <v>0.0752</v>
      </c>
      <c r="L538" t="inlineStr">
        <is>
          <t>The provided code is a part of Netflix's Hystrix library for handling fault tolerance and resilience in distributed systems. The main purpose of the code seems to be defining a custom command that can execute an underlying task with fallbacks or circuit breakers enabled.
The input could be any object (T) which will be passed into the constructor when creating this command instance.</t>
        </is>
      </c>
      <c r="M538" t="n">
        <v>0.0029</v>
      </c>
      <c r="N538" t="n">
        <v>0.0278</v>
      </c>
      <c r="O538" t="n">
        <v>0.1111</v>
      </c>
    </row>
    <row r="539">
      <c r="A539" t="inlineStr">
        <is>
          <t>hystrix</t>
        </is>
      </c>
      <c r="B539" t="inlineStr">
        <is>
          <t>hystrix-core/src/test/java/com/netflix/hystrix/HystrixCircuitBreakerTest.java</t>
        </is>
      </c>
      <c r="C539">
        <f>HYPERLINK("https://github.com/Netflix/Hystrix/blob/master/hystrix-core/src/test/java/com/netflix/hystrix/HystrixCircuitBreakerTest.java")</f>
        <v/>
      </c>
      <c r="D539" t="inlineStr">
        <is>
          <t>The provided code is a Java implementation of core algorithms used in backend software components such as Hystrix (a fault tolerance library for distributed systems). It includes some JUnit tests to validate the functionality and performance of these algorithms. The copyright notice at the top indicates that this code is licensed under Apache License 2.0. This repository contains complex algorithms implemented with high complexity O(N), indicating significant</t>
        </is>
      </c>
      <c r="E539" t="n">
        <v>0.0072</v>
      </c>
      <c r="F539" t="n">
        <v>0.1039</v>
      </c>
      <c r="G539" t="n">
        <v>0.3068</v>
      </c>
      <c r="H539" t="inlineStr">
        <is>
          <t>The provided code is a simple function that adds two numbers together. It takes in parameters 'a' and 'b', performs the addition operation on them, then returns the result. The time complexity of this function is O(1), meaning it executes in constant time regardless of the size of input data.
The Apache License for this code states that you may not use this file except</t>
        </is>
      </c>
      <c r="I539" t="n">
        <v>0.0028</v>
      </c>
      <c r="J539" t="n">
        <v>0.0541</v>
      </c>
      <c r="K539" t="n">
        <v>0.1095</v>
      </c>
      <c r="L539" t="inlineStr">
        <is>
          <t>The code provided is a part of Netflix's Hystrix library which provides fault tolerance patterns to applications by isolating points of access to services and providing fallback methods if the service becomes unavailable or slow. The main purpose of this code is to provide circuit breakers for distributed systems. It uses JUnit testing framework for unit tests and `HystrixRequestContext` class for context</t>
        </is>
      </c>
      <c r="M539" t="n">
        <v>0.0029</v>
      </c>
      <c r="N539" t="n">
        <v>0.0563</v>
      </c>
      <c r="O539" t="n">
        <v>0.1119</v>
      </c>
    </row>
    <row r="540">
      <c r="A540" t="inlineStr">
        <is>
          <t>hystrix</t>
        </is>
      </c>
      <c r="B540" t="inlineStr">
        <is>
          <t>hystrix-core/src/test/java/com/netflix/hystrix/HystrixCommandPropertiesTest.java</t>
        </is>
      </c>
      <c r="C540">
        <f>HYPERLINK("https://github.com/Netflix/Hystrix/blob/master/hystrix-core/src/test/java/com/netflix/hystrix/HystrixCommandPropertiesTest.java")</f>
        <v/>
      </c>
      <c r="D540" t="inlineStr">
        <is>
          <t>The provided code is a Java class named HystrixCommand that's part of the Netflix Hystrix library for handling fault tolerance patterns in distributed systems. The copyright information and license details are included at the top of this file which states it can be used under Apache License 2.0. This class seems to have some properties related to command execution isolation strategy setters, but there isn</t>
        </is>
      </c>
      <c r="E540" t="n">
        <v>0.0033</v>
      </c>
      <c r="F540" t="n">
        <v>0.0267</v>
      </c>
      <c r="G540" t="n">
        <v>0.1095</v>
      </c>
      <c r="H540" t="inlineStr">
        <is>
          <t>The code provided is a Java class named `HystrixCommandPr` that contains backend software components for implementing core algorithms. The complexity of this function appears to be O(N), as it seems to involve looping or recursive calls based on the input size N.
It uses Hystrix library which provides fault tolerance patterns and helps in managing dependencies between distributed services. It also</t>
        </is>
      </c>
      <c r="I540" t="n">
        <v>0.0039</v>
      </c>
      <c r="J540" t="n">
        <v>0.1429</v>
      </c>
      <c r="K540" t="n">
        <v>0.3206</v>
      </c>
      <c r="L540" t="inlineStr">
        <is>
          <t>The code provided is for a Hystrix command in Java, which is used to implement fault tolerance patterns and control the behavior of distributed systems at runtime.
It sets up properties related to execution isolation strategy using `HystrixCommandProperties` class. The main purpose of this code seems to be creating an instance of the `HystrixCommand` with specific configurations defined by setting various</t>
        </is>
      </c>
      <c r="M540" t="n">
        <v>0.003</v>
      </c>
      <c r="N540" t="n">
        <v>0.058</v>
      </c>
      <c r="O540" t="n">
        <v>0.1504</v>
      </c>
    </row>
    <row r="541">
      <c r="A541" t="inlineStr">
        <is>
          <t>hystrix</t>
        </is>
      </c>
      <c r="B541" t="inlineStr">
        <is>
          <t>hystrix-core/src/test/java/com/netflix/hystrix/HystrixObservableCollapserTest.java</t>
        </is>
      </c>
      <c r="C541">
        <f>HYPERLINK("https://github.com/Netflix/Hystrix/blob/master/hystrix-core/src/test/java/com/netflix/hystrix/HystrixObservableCollapserTest.java")</f>
        <v/>
      </c>
      <c r="D541" t="inlineStr">
        <is>
          <t>```python
# This repository contains backend software components written in Java. 
# The complexity of the code is O(N), where N represents the number of elements processed by the algorithms implemented. 
# It includes comments explaining the core algorithms used and a README file providing information about the project structure. 
# There are initial commits to this code base which represent</t>
        </is>
      </c>
      <c r="E541" t="n">
        <v>0.0042</v>
      </c>
      <c r="F541" t="n">
        <v>0.1515</v>
      </c>
      <c r="G541" t="n">
        <v>0.2797</v>
      </c>
      <c r="H541" t="inlineStr">
        <is>
          <t>The provided code is a simple addition function in Java named `add` that takes two parameters and returns their sum. The time complexity of this operation is O(1), meaning it performs the same number of operations regardless of the size of the input data.
The README file contains information about the repository including its purpose, license details, and some comments on implementation of core algorithms used within</t>
        </is>
      </c>
      <c r="I541" t="n">
        <v>0.0032</v>
      </c>
      <c r="J541" t="n">
        <v>0.0789</v>
      </c>
      <c r="K541" t="n">
        <v>0.1799</v>
      </c>
      <c r="L541" t="inlineStr">
        <is>
          <t>The provided code is a Java implementation of the Hystrix library, which provides fault tolerance patterns to increase resilience and availability for distributed systems. The main purpose of this code seems to be managing requests in a concurrency safe manner using Concurrent data structures like Queues and Maps. It also includes rules for JUnit testing that set up and tear down an Hystrix context before running</t>
        </is>
      </c>
      <c r="M541" t="n">
        <v>0.0028</v>
      </c>
      <c r="N541" t="n">
        <v>0.0541</v>
      </c>
      <c r="O541" t="n">
        <v>0.1449</v>
      </c>
    </row>
    <row r="542">
      <c r="A542" t="inlineStr">
        <is>
          <t>hystrix</t>
        </is>
      </c>
      <c r="B542" t="inlineStr">
        <is>
          <t>hystrix-core/src/test/java/com/netflix/hystrix/HystrixRequestCacheTest.java</t>
        </is>
      </c>
      <c r="C542">
        <f>HYPERLINK("https://github.com/Netflix/Hystrix/blob/master/hystrix-core/src/test/java/com/netflix/hystrix/HystrixRequestCacheTest.java")</f>
        <v/>
      </c>
      <c r="D542" t="inlineStr">
        <is>
          <t>The code provided is a Java implementation of the Hystrix library for handling fault tolerance in distributed systems. It includes unit tests to verify correct functionality and compliance with Apache License 2.0. The copyright notice at the top indicates that this software is licensed under an open source license (Apache).
The main component being tested here appears to be `HystrixCommand` which seems</t>
        </is>
      </c>
      <c r="E542" t="n">
        <v>0.0069</v>
      </c>
      <c r="F542" t="n">
        <v>0.08450000000000001</v>
      </c>
      <c r="G542" t="n">
        <v>0.3328</v>
      </c>
      <c r="H542" t="inlineStr">
        <is>
          <t>The code provided is a simple addition function `add` that takes two numbers as input and returns their sum. The complexity of this operation is O(1), meaning it performs the same number of operations regardless of the size of the inputs.
Here's how you can summarize this in one line: 
```java
public int add(int num1, int num</t>
        </is>
      </c>
      <c r="I542" t="n">
        <v>0.0032</v>
      </c>
      <c r="J542" t="n">
        <v>0.0588</v>
      </c>
      <c r="K542" t="n">
        <v>0.1163</v>
      </c>
      <c r="L542" t="inlineStr">
        <is>
          <t>The provided code is a part of the Hystrix library for Java which provides fault tolerance patterns to improve stability and resilience in distributed systems. The main purpose of this code seems to be defining an Observable that emits items from multiple sources concurrently using a custom Concurrency Strategy. 
Here's a concise summary focusing on functionality and purpose: This piece</t>
        </is>
      </c>
      <c r="M542" t="n">
        <v>0.0071</v>
      </c>
      <c r="N542" t="n">
        <v>0.08699999999999999</v>
      </c>
      <c r="O542" t="n">
        <v>0.1936</v>
      </c>
    </row>
    <row r="543">
      <c r="A543" t="inlineStr">
        <is>
          <t>hystrix</t>
        </is>
      </c>
      <c r="B543" t="inlineStr">
        <is>
          <t>hystrix-core/src/test/java/com/netflix/hystrix/UnsubscribedTasksRequestCacheTest.java</t>
        </is>
      </c>
      <c r="C543">
        <f>HYPERLINK("https://github.com/Netflix/Hystrix/blob/master/hystrix-core/src/test/java/com/netflix/hystrix/UnsubscribedTasksRequestCacheTest.java")</f>
        <v/>
      </c>
      <c r="D543" t="inlineStr">
        <is>
          <t>The code provided appears to be a Java class for unit testing in the Hystrix library used by Netflix. It is licensed under Apache 2.0 and contains comments explaining its purpose and usage. The main functionality of this code seems to be setting up and tearing down test contexts before and after each JUnit test respectively using `@Before` and `@After` annotations. This</t>
        </is>
      </c>
      <c r="E543" t="n">
        <v>0.0039</v>
      </c>
      <c r="F543" t="n">
        <v>0.0563</v>
      </c>
      <c r="G543" t="n">
        <v>0.1119</v>
      </c>
      <c r="H543" t="inlineStr">
        <is>
          <t>The provided code is a Java function named "add". It takes two parameters (a and b), adds them together, and returns the result. The time complexity of this operation is O(1). This means that it performs a constant number of operations regardless of the size of the input data.
&lt;jode&gt;
```
# Code: 
```python
def add(a</t>
        </is>
      </c>
      <c r="I543" t="n">
        <v>0.0039</v>
      </c>
      <c r="J543" t="n">
        <v>0.0625</v>
      </c>
      <c r="K543" t="n">
        <v>0.1172</v>
      </c>
      <c r="L543" t="inlineStr">
        <is>
          <t>The provided code is a part of the Hystrix library by Netflix for handling fault tolerance in distributed systems. It provides features like circuit breakers and command execution hooks which are used to manage failures in network calls or long running operations gracefully.
Here's an overview of what this code does: 
1) The package com.netflix.hystrix</t>
        </is>
      </c>
      <c r="M543" t="n">
        <v>0.0033</v>
      </c>
      <c r="N543" t="n">
        <v>0.0303</v>
      </c>
      <c r="O543" t="n">
        <v>0.1181</v>
      </c>
    </row>
    <row r="544">
      <c r="A544" t="inlineStr">
        <is>
          <t>hystrix</t>
        </is>
      </c>
      <c r="B544" t="inlineStr">
        <is>
          <t>hystrix-core/src/test/java/com/netflix/hystrix/HystrixThreadPoolTest.java</t>
        </is>
      </c>
      <c r="C544">
        <f>HYPERLINK("https://github.com/Netflix/Hystrix/blob/master/hystrix-core/src/test/java/com/netflix/hystrix/HystrixThreadPoolTest.java")</f>
        <v/>
      </c>
      <c r="D544" t="inlineStr">
        <is>
          <t>The provided code is a Java implementation of the Hystrix library by Netflix for handling fault tolerance and resilience in distributed systems. It includes various components such as thread pools (for managing concurrent execution), strategy classes (for configuring how commands behave), plugins (for registering additional functionality), etc. The license under which this software can be used is Apache 2.0. This</t>
        </is>
      </c>
      <c r="E544" t="n">
        <v>0.004</v>
      </c>
      <c r="F544" t="n">
        <v>0.058</v>
      </c>
      <c r="G544" t="n">
        <v>0.1894</v>
      </c>
      <c r="H544" t="inlineStr">
        <is>
          <t>The provided code is a Java method that performs addition of two numbers using the '+' operator. The function takes in two parameters (numbers), adds them together and returns the result. This operation has a time complexity of O(1).
Please note that this code snippet appears to be part of larger software system with additional licensing information at its top. It also seems</t>
        </is>
      </c>
      <c r="I544" t="n">
        <v>0.0038</v>
      </c>
      <c r="J544" t="n">
        <v>0.0563</v>
      </c>
      <c r="K544" t="n">
        <v>0.1481</v>
      </c>
      <c r="L544" t="inlineStr">
        <is>
          <t>The provided code is for a Java package named "com.netflix.hystrix". This package contains classes and interfaces related to the Hystrix library used in distributed system architecture. The main purpose of this code seems to be defining thread pools using which commands can run concurrently within those threads. It also includes unit tests that verify correct behavior of these command execution patterns.</t>
        </is>
      </c>
      <c r="M544" t="n">
        <v>0.0036</v>
      </c>
      <c r="N544" t="n">
        <v>0.0563</v>
      </c>
      <c r="O544" t="n">
        <v>0.1128</v>
      </c>
    </row>
    <row r="545">
      <c r="A545" t="inlineStr">
        <is>
          <t>hystrix</t>
        </is>
      </c>
      <c r="B545" t="inlineStr">
        <is>
          <t>hystrix-core/src/test/java/com/netflix/hystrix/HystrixRequestLogTest.java</t>
        </is>
      </c>
      <c r="C545">
        <f>HYPERLINK("https://github.com/Netflix/Hystrix/blob/master/hystrix-core/src/test/java/com/netflix/hystrix/HystrixRequestLogTest.java")</f>
        <v/>
      </c>
      <c r="D545" t="inlineStr">
        <is>
          <t>The code provided is a unit test for the Hystrix library in Java. The purpose of this test is to verify that the core algorithms implemented by Hystrix are working correctly.
The test uses JUnit as its testing framework and RxJava (a reactive extension to Java's standard API) for handling asynchronous operations. 
It begins with setting up a</t>
        </is>
      </c>
      <c r="E545" t="n">
        <v>0.0037</v>
      </c>
      <c r="F545" t="n">
        <v>0.0896</v>
      </c>
      <c r="G545" t="n">
        <v>0.1923</v>
      </c>
      <c r="H545" t="inlineStr">
        <is>
          <t>The provided code is a Java class named `HystrixRequestLogTest` that contains two private static final variables and one instance variable (rule). The first private static final String constant DIGITS_REGEX holds the regular expression "[\\d+". This appears to be used for some form of pattern matching or validation in this context but it's not clear what its purpose might be</t>
        </is>
      </c>
      <c r="I545" t="n">
        <v>0.0037</v>
      </c>
      <c r="J545" t="n">
        <v>0.029</v>
      </c>
      <c r="K545" t="n">
        <v>0.1145</v>
      </c>
      <c r="L545" t="inlineStr">
        <is>
          <t>The provided code is a JUnit test for the Hystrix library in Java. It tests the functionality of logging requests using Hystrix's RequestCache and Context classes.
Here are some key points about this code:
1. The `HystrixRequestContext` class provides a way to isolate different threads or contexts from each other so that they do not interfere</t>
        </is>
      </c>
      <c r="M545" t="n">
        <v>0.0039</v>
      </c>
      <c r="N545" t="n">
        <v>0.0615</v>
      </c>
      <c r="O545" t="n">
        <v>0.1172</v>
      </c>
    </row>
    <row r="546">
      <c r="A546" t="inlineStr">
        <is>
          <t>hystrix</t>
        </is>
      </c>
      <c r="B546" t="inlineStr">
        <is>
          <t>hystrix-core/src/test/java/com/netflix/hystrix/HystrixThreadPoolMetricsTest.java</t>
        </is>
      </c>
      <c r="C546">
        <f>HYPERLINK("https://github.com/Netflix/Hystrix/blob/master/hystrix-core/src/test/java/com/netflix/hystrix/HystrixThreadPoolMetricsTest.java")</f>
        <v/>
      </c>
      <c r="D546" t="inlineStr">
        <is>
          <t>The code provided is a Junit test for the Hystrix library in Java which tests thread pool metrics of commands within that library. It does this by creating and setting up a mock environment with various threads and command groups to simulate different scenarios. The test then checks if the number of events processed per second matches expected values set during setup. This helps ensure correct functionality of the underlying system or component being</t>
        </is>
      </c>
      <c r="E546" t="n">
        <v>0.0032</v>
      </c>
      <c r="F546" t="n">
        <v>0.0488</v>
      </c>
      <c r="G546" t="n">
        <v>0.1027</v>
      </c>
      <c r="H546" t="inlineStr">
        <is>
          <t>The code provided is a JAVA class named HystrixThreadPoolMetricsTest that tests the functionality of thread pool metrics in Netflix's Hystrix library. The test checks if the number of threads in the thread pool equals to expected value after executing commands within it.
Here are some specific details about this code:
- It uses the Apache License version 2</t>
        </is>
      </c>
      <c r="I546" t="n">
        <v>0.0031</v>
      </c>
      <c r="J546" t="n">
        <v>0.0303</v>
      </c>
      <c r="K546" t="n">
        <v>0.0769</v>
      </c>
      <c r="L546" t="inlineStr">
        <is>
          <t>The provided code is a Junit test for Hystrix thread pool metrics in Java. The main purpose of this class seems to be testing the functionality of different methods related to Hystrix command group keys and their associated threads.
```java
@RunWith(MockitoJUnitRunner.class)
public class HystrixThreadPoolMetricsTest {
    private static final</t>
        </is>
      </c>
      <c r="M546" t="n">
        <v>0.0045</v>
      </c>
      <c r="N546" t="n">
        <v>0.1053</v>
      </c>
      <c r="O546" t="n">
        <v>0.125</v>
      </c>
    </row>
    <row r="547">
      <c r="A547" t="inlineStr">
        <is>
          <t>hystrix</t>
        </is>
      </c>
      <c r="B547" t="inlineStr">
        <is>
          <t>hystrix-core/src/test/java/com/netflix/hystrix/collapser/CollapsedRequestSubjectTest.java</t>
        </is>
      </c>
      <c r="C547">
        <f>HYPERLINK("https://github.com/Netflix/Hystrix/blob/master/hystrix-core/src/test/java/com/netflix/hystrix/collapser/CollapsedRequestSubjectTest.java")</f>
        <v/>
      </c>
      <c r="D547" t="inlineStr">
        <is>
          <t>The code provided is a test for the functionality of `CollapsedRequestSubject` class in Hystrix library. The purpose of this test is to verify that when calling setResponse with success status (i.e., no exceptions thrown), it correctly sets the response and future values are returned as expected. This includes checking if any unexpected exception was caught during processing or not.
The main</t>
        </is>
      </c>
      <c r="E547" t="n">
        <v>0.0039</v>
      </c>
      <c r="F547" t="n">
        <v>0.0571</v>
      </c>
      <c r="G547" t="n">
        <v>0.1128</v>
      </c>
      <c r="H547" t="inlineStr">
        <is>
          <t>The code you provided is a JUnit test for the `CollapseRequestSubject` class in Netflix's Hystrix library. The purpose of this test seems to be verifying that when a request collapsing operation completes successfully (i.e., without errors), it correctly handles and processes the response data.
Here are some key details about what the function does:</t>
        </is>
      </c>
      <c r="I547" t="n">
        <v>0.0034</v>
      </c>
      <c r="J547" t="n">
        <v>0.0625</v>
      </c>
      <c r="K547" t="n">
        <v>0.119</v>
      </c>
      <c r="L547" t="inlineStr">
        <is>
          <t>The code provided is a JUnit test for the `setResponse` method of an unknown class named `CollapsedRequestSubject` in Java. The purpose of this test seems to be to verify that setting a response on a collapsing request subject behaves as expected.
Here's what happens during execution: 
1. A new instance of `CollapsedRequestSubject</t>
        </is>
      </c>
      <c r="M547" t="n">
        <v>0</v>
      </c>
      <c r="N547" t="n">
        <v>0.0328</v>
      </c>
      <c r="O547" t="n">
        <v>0.0403</v>
      </c>
    </row>
    <row r="548">
      <c r="A548" t="inlineStr">
        <is>
          <t>hystrix</t>
        </is>
      </c>
      <c r="B548" t="inlineStr">
        <is>
          <t>hystrix-core/src/test/java/com/netflix/hystrix/metric/HystrixThreadEventStreamTest.java</t>
        </is>
      </c>
      <c r="C548">
        <f>HYPERLINK("https://github.com/Netflix/Hystrix/blob/master/hystrix-core/src/test/java/com/netflix/hystrix/metric/HystrixThreadEventStreamTest.java")</f>
        <v/>
      </c>
      <c r="D548" t="inlineStr">
        <is>
          <t>The provided code is a Java implementation of Hystrix metrics which are used for monitoring and controlling the behavior of distributed systems using the Netflix OSS library. It includes unit tests to validate functionality and observe how commands behave in different scenarios. The license details at the top indicate that this software can be redistributed under certain conditions as specified by Apache 2.0 License.
Please</t>
        </is>
      </c>
      <c r="E548" t="n">
        <v>0.0066</v>
      </c>
      <c r="F548" t="n">
        <v>0.08110000000000001</v>
      </c>
      <c r="G548" t="n">
        <v>0.3255</v>
      </c>
      <c r="H548" t="inlineStr">
        <is>
          <t>The code provided is a Java implementation of the addition function using Hystrix library for handling concurrency and fault tolerance in distributed systems. The functionality of this code includes executing an add operation between two numbers 'a' and 'b'. It also handles exceptions that may occur during execution by providing fallbacks or default values when errors are encountered.
It uses CountDownLatch to synchronize</t>
        </is>
      </c>
      <c r="I548" t="n">
        <v>0.0034</v>
      </c>
      <c r="J548" t="n">
        <v>0.08450000000000001</v>
      </c>
      <c r="K548" t="n">
        <v>0.1481</v>
      </c>
      <c r="L548" t="inlineStr">
        <is>
          <t>The provided code is a part of Netflix's Hystrix library for handling fault tolerance in distributed systems. It provides metrics collection and event notification functionality. The main purpose of this code seems to be the implementation of command execution results observer that notifies when an event occurs (like failure or success) on commands executed within specific thread pools.
There are two classes involved here - `</t>
        </is>
      </c>
      <c r="M548" t="n">
        <v>0.0028</v>
      </c>
      <c r="N548" t="n">
        <v>0.0548</v>
      </c>
      <c r="O548" t="n">
        <v>0.1449</v>
      </c>
    </row>
    <row r="549">
      <c r="A549" t="inlineStr">
        <is>
          <t>hystrix</t>
        </is>
      </c>
      <c r="B549" t="inlineStr">
        <is>
          <t>hystrix-core/src/test/java/com/netflix/hystrix/metric/CommandStreamTest.java</t>
        </is>
      </c>
      <c r="C549">
        <f>HYPERLINK("https://github.com/Netflix/Hystrix/blob/master/hystrix-core/src/test/java/com/netflix/hystrix/metric/CommandStreamTest.java")</f>
        <v/>
      </c>
      <c r="D549" t="inlineStr">
        <is>
          <t>The code provided appears to be a Java Hystrix library implementation related to metrics and collapsing commands for better performance in distributed systems. It's licensed under the Apache License 2.0, which means it can be used freely but modifications must also be open sourced. The copyright notice mentions Netflix Inc., indicating that this is likely part of their larger software suite.</t>
        </is>
      </c>
      <c r="E549" t="n">
        <v>0.0036</v>
      </c>
      <c r="F549" t="n">
        <v>0.0563</v>
      </c>
      <c r="G549" t="n">
        <v>0.188</v>
      </c>
      <c r="H549" t="inlineStr">
        <is>
          <t>The code provided is a Java implementation of the Hystrix library for handling fault tolerance and resilience in distributed systems. It contains several classes related to metrics collection and command execution within this context. The main class being summarized here is `HystrixCollapser` which performs batching or collapsing operations to reduce network calls if possible.
The function add() appears</t>
        </is>
      </c>
      <c r="I549" t="n">
        <v>0.0031</v>
      </c>
      <c r="J549" t="n">
        <v>0.0606</v>
      </c>
      <c r="K549" t="n">
        <v>0.1538</v>
      </c>
      <c r="L549" t="inlineStr">
        <is>
          <t>The provided code is a part of Netflix's Hystrix library for handling fault tolerance and resilience in distributed systems. It provides metrics collection functionality related to command execution within the system.
The main purpose of this code is to collect various metrics (latency, error rate etc.) about different commands executed by users or other components using Hystrix Command objects.</t>
        </is>
      </c>
      <c r="M549" t="n">
        <v>0.0037</v>
      </c>
      <c r="N549" t="n">
        <v>0.0294</v>
      </c>
      <c r="O549" t="n">
        <v>0.1145</v>
      </c>
    </row>
    <row r="550">
      <c r="A550" t="inlineStr">
        <is>
          <t>hystrix</t>
        </is>
      </c>
      <c r="B550" t="inlineStr">
        <is>
          <t>hystrix-core/src/test/java/com/netflix/hystrix/metric/HystrixCommandCompletionStreamTest.java</t>
        </is>
      </c>
      <c r="C550">
        <f>HYPERLINK("https://github.com/Netflix/Hystrix/blob/master/hystrix-core/src/test/java/com/netflix/hystrix/metric/HystrixCommandCompletionStreamTest.java")</f>
        <v/>
      </c>
      <c r="D550" t="inlineStr">
        <is>
          <t>The provided code is a Java class that contains the implementation of core algorithms for Hystrix metrics and unit tests related to these implementations. The copyright notice at the top indicates it's licensed under Apache License 2.0. It defines classes for command keys and event types in the package com.netflix.hystrix.metric which are used for tracking and monitoring commands executed through H</t>
        </is>
      </c>
      <c r="E550" t="n">
        <v>0.0036</v>
      </c>
      <c r="F550" t="n">
        <v>0.08110000000000001</v>
      </c>
      <c r="G550" t="n">
        <v>0.1504</v>
      </c>
      <c r="H550" t="inlineStr">
        <is>
          <t>The code provided is a simple addition function in Java named add which takes two parameters and returns their sum. The complexity of this operation is O(1), meaning it performs constant time operations regardless of the size of input data. It does not involve any loops or recursive calls that would increase its complexity to O(n).
&lt;jupyter_code&gt;
# Code:</t>
        </is>
      </c>
      <c r="I550" t="n">
        <v>0.0031</v>
      </c>
      <c r="J550" t="n">
        <v>0.058</v>
      </c>
      <c r="K550" t="n">
        <v>0.1145</v>
      </c>
      <c r="L550" t="inlineStr">
        <is>
          <t>The provided code is a part of Netflix's Hystrix library for handling fault tolerance and resilience in distributed systems. It contains the implementation of metrics collection related to Hystrix commands executed within its command execution framework. The main purpose of this code seems to be collecting various types of metrics (like successes, failures, timeouts etc.) from Hystrix commands during their execution</t>
        </is>
      </c>
      <c r="M550" t="n">
        <v>0.003</v>
      </c>
      <c r="N550" t="n">
        <v>0.0286</v>
      </c>
      <c r="O550" t="n">
        <v>0.1504</v>
      </c>
    </row>
    <row r="551">
      <c r="A551" t="inlineStr">
        <is>
          <t>hystrix</t>
        </is>
      </c>
      <c r="B551" t="inlineStr">
        <is>
          <t>hystrix-core/src/test/java/com/netflix/hystrix/metric/consumer/HealthCountsStreamTest.java</t>
        </is>
      </c>
      <c r="C551">
        <f>HYPERLINK("https://github.com/Netflix/Hystrix/blob/master/hystrix-core/src/test/java/com/netflix/hystrix/metric/consumer/HealthCountsStreamTest.java")</f>
        <v/>
      </c>
      <c r="D551" t="inlineStr">
        <is>
          <t>The provided code is a Java implementation of Netflix's Hystrix library for handling fault tolerance and resilience in distributed systems. It includes the metrics consumer module which consumes command execution events from an event stream to calculate various metrics such as error rate, latency percentiles etc., and stores them into caches or other storage mediums. The license under Apache 2.0 allows it</t>
        </is>
      </c>
      <c r="E551" t="n">
        <v>0.0035</v>
      </c>
      <c r="F551" t="n">
        <v>0.0556</v>
      </c>
      <c r="G551" t="n">
        <v>0.1119</v>
      </c>
      <c r="H551" t="inlineStr">
        <is>
          <t>The provided code is a Java implementation of the addition function using Hystrix library for fault tolerance and distributed computing. The complexity is O(n), where n represents the number of commands in the system. It's licensed under Apache 2.0 license which means you can use it freely but need to include original copyright notice and disclaimers.
Please provide more specific details about</t>
        </is>
      </c>
      <c r="I551" t="n">
        <v>0.0029</v>
      </c>
      <c r="J551" t="n">
        <v>0.0822</v>
      </c>
      <c r="K551" t="n">
        <v>0.1119</v>
      </c>
      <c r="L551" t="inlineStr">
        <is>
          <t>The code provided is for a Hystrix metric consumer in Java. The purpose of this component appears to be the consumption and processing of metrics from Hystrix commands executed within an application.
From a high level analysis, it seems to consume command execution events emitted by Hystrix Command instances through their Metrics Stream feature (which allows other components like Dashboard or Turbine</t>
        </is>
      </c>
      <c r="M551" t="n">
        <v>0.0029</v>
      </c>
      <c r="N551" t="n">
        <v>0.0571</v>
      </c>
      <c r="O551" t="n">
        <v>0.0746</v>
      </c>
    </row>
    <row r="552">
      <c r="A552" t="inlineStr">
        <is>
          <t>hystrix</t>
        </is>
      </c>
      <c r="B552" t="inlineStr">
        <is>
          <t>hystrix-core/src/test/java/com/netflix/hystrix/metric/consumer/RollingCommandLatencyDistributionStreamTest.java</t>
        </is>
      </c>
      <c r="C552">
        <f>HYPERLINK("https://github.com/Netflix/Hystrix/blob/master/hystrix-core/src/test/java/com/netflix/hystrix/metric/consumer/RollingCommandLatencyDistributionStreamTest.java")</f>
        <v/>
      </c>
      <c r="D552" t="inlineStr">
        <is>
          <t>The provided code is a Java implementation of Hystrix metrics consumer from Netflix. It's licensed under Apache License 2.0 and it provides functionality for consuming command metrics in hystrix circuit breakers. The complexity of this code appears to be O(N), but the exact nature of its complexity cannot be determined without seeing the full context or more specific details about how it functions.</t>
        </is>
      </c>
      <c r="E552" t="n">
        <v>0.0034</v>
      </c>
      <c r="F552" t="n">
        <v>0.0541</v>
      </c>
      <c r="G552" t="n">
        <v>0.1481</v>
      </c>
      <c r="H552" t="inlineStr">
        <is>
          <t>The function provided is a simple addition operation in Python that takes two parameters and returns their sum. The complexity of this code is O(1), meaning it performs constant time operations regardless of the size of input data. It does not contain any loops or recursive calls which would increase its complexity. The summary can be "A function to add two numbers." without repeating the actual code.</t>
        </is>
      </c>
      <c r="I552" t="n">
        <v>0.0027</v>
      </c>
      <c r="J552" t="n">
        <v>0.0526</v>
      </c>
      <c r="K552" t="n">
        <v>0.1079</v>
      </c>
      <c r="L552" t="inlineStr">
        <is>
          <t>The code provided is a part of the Hystrix library for Java by Netflix. It's used to consume metrics from commands executed within an application using Hystrix. The main purpose seems to be consuming and processing these metrics in real time or near real time.
It does this through various operations such as filtering based on command keys (identified via group key and individual command</t>
        </is>
      </c>
      <c r="M552" t="n">
        <v>0.0028</v>
      </c>
      <c r="N552" t="n">
        <v>0.0541</v>
      </c>
      <c r="O552" t="n">
        <v>0.1095</v>
      </c>
    </row>
    <row r="553">
      <c r="A553" t="inlineStr">
        <is>
          <t>hystrix</t>
        </is>
      </c>
      <c r="B553" t="inlineStr">
        <is>
          <t>hystrix-core/src/test/java/com/netflix/hystrix/metric/consumer/RollingThreadPoolEventCounterStreamTest.java</t>
        </is>
      </c>
      <c r="C553">
        <f>HYPERLINK("https://github.com/Netflix/Hystrix/blob/master/hystrix-core/src/test/java/com/netflix/hystrix/metric/consumer/RollingThreadPoolEventCounterStreamTest.java")</f>
        <v/>
      </c>
      <c r="D553" t="inlineStr">
        <is>
          <t>The provided code is a Java implementation of the Hystrix library by Netflix for managing fault tolerance and resilience in distributed systems. It includes classes related to metrics collection from command execution events within an application's thread pool. The license details at the top indicate that this software can be used under certain conditions as outlined in the Apache License 2.0.
&lt;jupy</t>
        </is>
      </c>
      <c r="E553" t="n">
        <v>0.0035</v>
      </c>
      <c r="F553" t="n">
        <v>0.0556</v>
      </c>
      <c r="G553" t="n">
        <v>0.2776</v>
      </c>
      <c r="H553" t="inlineStr">
        <is>
          <t>The code provided is a Java implementation of the addition operation between two numbers using Hystrix library for handling failures and latency issues in distributed systems. The complexity of this function appears to be O(1), meaning it has constant time complexity as it performs only basic arithmetic operations regardless of input size.
Here's an overview of what each part does:
- `Hyst</t>
        </is>
      </c>
      <c r="I553" t="n">
        <v>0.0029</v>
      </c>
      <c r="J553" t="n">
        <v>0.0563</v>
      </c>
      <c r="K553" t="n">
        <v>0.1493</v>
      </c>
      <c r="L553" t="inlineStr">
        <is>
          <t>The provided code is a part of Netflix's Hystrix library for distributed computing and fault tolerance. It defines classes related to metrics consumption in the context of command execution within an application using Hystrix. The main purpose seems to be to consume and process metrics from commands executed by Hystrix threads, which are used to monitor and control their behavior based on predefined rules or th</t>
        </is>
      </c>
      <c r="M553" t="n">
        <v>0.0028</v>
      </c>
      <c r="N553" t="n">
        <v>0.0267</v>
      </c>
      <c r="O553" t="n">
        <v>0.0725</v>
      </c>
    </row>
    <row r="554">
      <c r="A554" t="inlineStr">
        <is>
          <t>hystrix</t>
        </is>
      </c>
      <c r="B554" t="inlineStr">
        <is>
          <t>hystrix-core/src/test/java/com/netflix/hystrix/metric/consumer/RollingThreadPoolMaxConcurrencyStreamTest.java</t>
        </is>
      </c>
      <c r="C554">
        <f>HYPERLINK("https://github.com/Netflix/Hystrix/blob/master/hystrix-core/src/test/java/com/netflix/hystrix/metric/consumer/RollingThreadPoolMaxConcurrencyStreamTest.java")</f>
        <v/>
      </c>
      <c r="D554" t="inlineStr">
        <is>
          <t>The provided code is a Java implementation of Hystrix metrics consumer library by Netflix. It provides functionalities to consume and process metrics emitted from the Hystrix command execution context. The license for this software allows it to be used in compliance with Apache License 2.0 terms. This repository contains backend components implementing complex algorithms related to core functionality such as metric collection and processing.</t>
        </is>
      </c>
      <c r="E554" t="n">
        <v>0.0076</v>
      </c>
      <c r="F554" t="n">
        <v>0.1644</v>
      </c>
      <c r="G554" t="n">
        <v>0.3135</v>
      </c>
      <c r="H554" t="inlineStr">
        <is>
          <t>The provided code is a Java implementation of the addition operation between two numbers using Hystrix library for handling failures and latency issues in distributed systems. The function `add` takes as input two parameters (numbers), performs an arithmetic addition operation on them, and returns the result. This functionality can be summarized as follows: "Perform addition operation to add two given numbers." Complexity</t>
        </is>
      </c>
      <c r="I554" t="n">
        <v>0.0039</v>
      </c>
      <c r="J554" t="n">
        <v>0.0857</v>
      </c>
      <c r="K554" t="n">
        <v>0.1493</v>
      </c>
      <c r="L554" t="inlineStr">
        <is>
          <t>The given code is a part of the Hystrix library in Java which provides fault tolerance patterns for distributed systems. The main purpose of this code seems to be setting up and starting metrics collection from command execution events using Hystrix's metric consumer mechanism. 
It does so by creating instances of `HystrixCommand` subclasses that are configured with specific keys (group key</t>
        </is>
      </c>
      <c r="M554" t="n">
        <v>0.003</v>
      </c>
      <c r="N554" t="n">
        <v>0.0571</v>
      </c>
      <c r="O554" t="n">
        <v>0.1128</v>
      </c>
    </row>
    <row r="555">
      <c r="A555" t="inlineStr">
        <is>
          <t>hystrix</t>
        </is>
      </c>
      <c r="B555" t="inlineStr">
        <is>
          <t>hystrix-core/src/test/java/com/netflix/hystrix/metric/consumer/RollingCollapserBatchSizeDistributionStreamTest.java</t>
        </is>
      </c>
      <c r="C555">
        <f>HYPERLINK("https://github.com/Netflix/Hystrix/blob/master/hystrix-core/src/test/java/com/netflix/hystrix/metric/consumer/RollingCollapserBatchSizeDistributionStreamTest.java")</f>
        <v/>
      </c>
      <c r="D555" t="inlineStr">
        <is>
          <t>The code provided is a Java class for testing the Hystrix command stream metrics consumer. It uses RxJava to subscribe and process commands from an input stream in parallel using Hystrix's collapser feature. The test checks if values are correctly aggregated by comparing them with expected results. This repository contains backend software components implementing core algorithms.
# Youareanexpert</t>
        </is>
      </c>
      <c r="E555" t="n">
        <v>0.0045</v>
      </c>
      <c r="F555" t="n">
        <v>0.1212</v>
      </c>
      <c r="G555" t="n">
        <v>0.328</v>
      </c>
      <c r="H555" t="inlineStr">
        <is>
          <t>The code provided is a Java class that implements the Hystrix library for handling fallbacks and circuit breakers in distributed systems. It contains several methods related to metrics collection from command execution streams. The complexity of this implementation appears to be O(n), where n represents the number of commands being processed concurrently by the system. This could potentially increase with more complex algorithms or larger data sets.</t>
        </is>
      </c>
      <c r="I555" t="n">
        <v>0.0036</v>
      </c>
      <c r="J555" t="n">
        <v>0.0526</v>
      </c>
      <c r="K555" t="n">
        <v>0.1079</v>
      </c>
      <c r="L555" t="inlineStr">
        <is>
          <t>The provided code is a part of Netflix's Hystrix library for handling fault tolerance in distributed systems. It provides functionality to consume metrics from commands executed within the system and collapses multiple requests into one reducing network traffic and latency. 
Here are some key points about this component:
1. The main purpose of this class seems to be managing command execution metrics by</t>
        </is>
      </c>
      <c r="M555" t="n">
        <v>0.0034</v>
      </c>
      <c r="N555" t="n">
        <v>0.0556</v>
      </c>
      <c r="O555" t="n">
        <v>0.1111</v>
      </c>
    </row>
    <row r="556">
      <c r="A556" t="inlineStr">
        <is>
          <t>hystrix</t>
        </is>
      </c>
      <c r="B556" t="inlineStr">
        <is>
          <t>hystrix-core/src/test/java/com/netflix/hystrix/metric/consumer/RollingCommandMaxConcurrencyStreamTest.java</t>
        </is>
      </c>
      <c r="C556">
        <f>HYPERLINK("https://github.com/Netflix/Hystrix/blob/master/hystrix-core/src/test/java/com/netflix/hystrix/metric/consumer/RollingCommandMaxConcurrencyStreamTest.java")</f>
        <v/>
      </c>
      <c r="D556" t="inlineStr">
        <is>
          <t>The code provided is a part of the Hystrix library for Java by Netflix. It appears to be related to metrics collection and event tracking in distributed systems using the Hystrix command pattern. The copyright notice at the top indicates that it's licensed under Apache 2.0 License. This software may not be used except in compliance with this license.
It defines classes and</t>
        </is>
      </c>
      <c r="E556" t="n">
        <v>0.0068</v>
      </c>
      <c r="F556" t="n">
        <v>0.0822</v>
      </c>
      <c r="G556" t="n">
        <v>0.1481</v>
      </c>
      <c r="H556" t="inlineStr">
        <is>
          <t>The code provided is a Java implementation of the add function which takes two numbers as input and returns their sum. The time complexity of this operation is O(1), indicating that it performs a constant number of operations regardless of the size of the inputs.
The Apache License 2.0 applies to this file, stating that you may not use this file except in compliance with the license.</t>
        </is>
      </c>
      <c r="I556" t="n">
        <v>0.0027</v>
      </c>
      <c r="J556" t="n">
        <v>0.0779</v>
      </c>
      <c r="K556" t="n">
        <v>0.1439</v>
      </c>
      <c r="L556" t="inlineStr">
        <is>
          <t>The provided code is a part of Netflix's Hystrix library and it deals with the consumption of metrics from commands executed using Hystrix in Java applications. 
It defines an interface `MetricConsumer` that provides methods for consuming command related metrics like execution time, error count etc. It also has classes implementing this interface to consume different types of metrics such as counters</t>
        </is>
      </c>
      <c r="M556" t="n">
        <v>0.003</v>
      </c>
      <c r="N556" t="n">
        <v>0.0286</v>
      </c>
      <c r="O556" t="n">
        <v>0.1504</v>
      </c>
    </row>
    <row r="557">
      <c r="A557" t="inlineStr">
        <is>
          <t>hystrix</t>
        </is>
      </c>
      <c r="B557" t="inlineStr">
        <is>
          <t>hystrix-core/src/test/java/com/netflix/hystrix/metric/consumer/HystrixDashboardStreamTest.java</t>
        </is>
      </c>
      <c r="C557">
        <f>HYPERLINK("https://github.com/Netflix/Hystrix/blob/master/hystrix-core/src/test/java/com/netflix/hystrix/metric/consumer/HystrixDashboardStreamTest.java")</f>
        <v/>
      </c>
      <c r="D557" t="inlineStr">
        <is>
          <t>The code provided is a Java implementation of Hystrix metrics consumer for handling command execution and monitoring metrics related to those commands. It uses JUnit as the testing framework with a rule that sets up an isolated thread context for each test case in order to avoid any potential conflicts between tests running simultaneously on different threads. The main class `CommandStreamTest` handles creation of hystrix commands and their execution</t>
        </is>
      </c>
      <c r="E557" t="n">
        <v>0.0026</v>
      </c>
      <c r="F557" t="n">
        <v>0.0519</v>
      </c>
      <c r="G557" t="n">
        <v>0.1064</v>
      </c>
      <c r="H557" t="inlineStr">
        <is>
          <t>The provided code is a simple addition function `add` that takes two parameters and returns their sum. The time complexity of this operation is O(1), meaning it performs the same number of operations regardless of the size of input data.
The README file explains what the repository contains along with its complexities. It also mentions licensing details which are important for any software development project.</t>
        </is>
      </c>
      <c r="I557" t="n">
        <v>0.0033</v>
      </c>
      <c r="J557" t="n">
        <v>0.0541</v>
      </c>
      <c r="K557" t="n">
        <v>0.146</v>
      </c>
      <c r="L557" t="inlineStr">
        <is>
          <t>The code provided is a Hystrix command that measures the execution time of another hystrix command and reports it to an external system for monitoring purposes. It does this by extending `HystrixCommand` class from the Netflix's Hystrix library. The main purpose of this code seems to be to measure latency in distributed systems using Hystrix commands.
It takes</t>
        </is>
      </c>
      <c r="M557" t="n">
        <v>0.0031</v>
      </c>
      <c r="N557" t="n">
        <v>0.0299</v>
      </c>
      <c r="O557" t="n">
        <v>0.1154</v>
      </c>
    </row>
    <row r="558">
      <c r="A558" t="inlineStr">
        <is>
          <t>hystrix</t>
        </is>
      </c>
      <c r="B558" t="inlineStr">
        <is>
          <t>hystrix-core/src/test/java/com/netflix/hystrix/metric/consumer/CumulativeCollapserEventCounterStreamTest.java</t>
        </is>
      </c>
      <c r="C558">
        <f>HYPERLINK("https://github.com/Netflix/Hystrix/blob/master/hystrix-core/src/test/java/com/netflix/hystrix/metric/consumer/CumulativeCollapserEventCounterStreamTest.java")</f>
        <v/>
      </c>
      <c r="D558" t="inlineStr">
        <is>
          <t>The code provided is a part of the Hystrix library for Java which provides tools to use Netflix's circuit breakers and other fault tolerance patterns in distributed systems. It includes classes related to metrics consumption from command execution events. The license under Apache 2.0 allows it to be used freely but requires compliance with certain conditions outlined in the License. This repository contains backend software components implementing core</t>
        </is>
      </c>
      <c r="E558" t="n">
        <v>0.0038</v>
      </c>
      <c r="F558" t="n">
        <v>0.1026</v>
      </c>
      <c r="G558" t="n">
        <v>0.3046</v>
      </c>
      <c r="H558" t="inlineStr">
        <is>
          <t>The provided code is a Java class that imports necessary packages and classes for implementing metrics consumer in Hystrix framework of Netflix's distributed computing system. The function add() performs addition operation on two numbers which has time complexity O(1). This means it takes constant amount of time to execute irrespective of the size of input data (a &amp; b). It also contains Apache License</t>
        </is>
      </c>
      <c r="I558" t="n">
        <v>0.0034</v>
      </c>
      <c r="J558" t="n">
        <v>0.0548</v>
      </c>
      <c r="K558" t="n">
        <v>0.1471</v>
      </c>
      <c r="L558" t="inlineStr">
        <is>
          <t>The provided code is a part of Netflix's Hystrix library for Java. It provides metrics collection and consumption functionality in the form of command collapsing. 
The main purpose of this module seems to be collecting and handling metrics related to commands executed within an application using Hystrix. The input could include various types of events such as successes, failures, timeouts</t>
        </is>
      </c>
      <c r="M558" t="n">
        <v>0.004</v>
      </c>
      <c r="N558" t="n">
        <v>0.08699999999999999</v>
      </c>
      <c r="O558" t="n">
        <v>0.1515</v>
      </c>
    </row>
    <row r="559">
      <c r="A559" t="inlineStr">
        <is>
          <t>hystrix</t>
        </is>
      </c>
      <c r="B559" t="inlineStr">
        <is>
          <t>hystrix-core/src/test/java/com/netflix/hystrix/metric/consumer/RollingCommandEventCounterStreamTest.java</t>
        </is>
      </c>
      <c r="C559">
        <f>HYPERLINK("https://github.com/Netflix/Hystrix/blob/master/hystrix-core/src/test/java/com/netflix/hystrix/metric/consumer/RollingCommandEventCounterStreamTest.java")</f>
        <v/>
      </c>
      <c r="D559" t="inlineStr">
        <is>
          <t>The provided code is a part of Netflix's Hystrix library for managing fault tolerance and resilience in distributed systems. It provides functionality related to metrics consumption from command execution events. The license under which this software can be used is specified at the top of the file.
The main class `CommandStreamTest` uses classes like `HystrixCommandGroupKey`,</t>
        </is>
      </c>
      <c r="E559" t="n">
        <v>0.0044</v>
      </c>
      <c r="F559" t="n">
        <v>0.0625</v>
      </c>
      <c r="G559" t="n">
        <v>0.2485</v>
      </c>
      <c r="H559" t="inlineStr">
        <is>
          <t>The code provided is a simple addition function in Java named `add` which takes two parameters and returns their sum. It has a time complexity of O(1), meaning it performs the operation instantly regardless of input size. The Apache License 2.0 applies to this code as indicated by its header comments at the top.
It also contains some other classes from Netflix's H</t>
        </is>
      </c>
      <c r="I559" t="n">
        <v>0.0029</v>
      </c>
      <c r="J559" t="n">
        <v>0.0541</v>
      </c>
      <c r="K559" t="n">
        <v>0.1111</v>
      </c>
      <c r="L559" t="inlineStr">
        <is>
          <t>The provided code file is a part of Netflix's Hystrix library which provides fault tolerance patterns for distributed systems. The main purpose of this code seems to be the implementation and consumption of metrics related to commands executed by instances of `HystrixCommand` within a specific command group key. 
It reads input from various sources (like timers or counters) and outputs</t>
        </is>
      </c>
      <c r="M559" t="n">
        <v>0.003</v>
      </c>
      <c r="N559" t="n">
        <v>0.08699999999999999</v>
      </c>
      <c r="O559" t="n">
        <v>0.1515</v>
      </c>
    </row>
    <row r="560">
      <c r="A560" t="inlineStr">
        <is>
          <t>hystrix</t>
        </is>
      </c>
      <c r="B560" t="inlineStr">
        <is>
          <t>hystrix-core/src/test/java/com/netflix/hystrix/metric/consumer/RollingCollapserEventCounterStreamTest.java</t>
        </is>
      </c>
      <c r="C560">
        <f>HYPERLINK("https://github.com/Netflix/Hystrix/blob/master/hystrix-core/src/test/java/com/netflix/hystrix/metric/consumer/RollingCollapserEventCounterStreamTest.java")</f>
        <v/>
      </c>
      <c r="D560" t="inlineStr">
        <is>
          <t>The provided code is a part of the Hystrix library for Java which provides fault tolerance patterns to your applications by controlling and monitoring access to remote services with latency and failure characteristics that are hard to predict at runtime. The copyright notice indicates this software is licensed under Apache License 2.0. It contains functionalities related to metrics consumer in hystrix command execution.
It's</t>
        </is>
      </c>
      <c r="E560" t="n">
        <v>0.0034</v>
      </c>
      <c r="F560" t="n">
        <v>0.08110000000000001</v>
      </c>
      <c r="G560" t="n">
        <v>0.2321</v>
      </c>
      <c r="H560" t="inlineStr">
        <is>
          <t>The provided code is a Java class that contains the implementation of Netflix's Hystrix library for handling fallbacks and fault tolerance in distributed systems. The specific part being summarized appears to be an addition function within this context. This function takes two parameters (numbers), adds them together, and returns the result. It has O(1) time complexity as it performs a single operation regardless</t>
        </is>
      </c>
      <c r="I560" t="n">
        <v>0.0034</v>
      </c>
      <c r="J560" t="n">
        <v>0.0822</v>
      </c>
      <c r="K560" t="n">
        <v>0.1481</v>
      </c>
      <c r="L560" t="inlineStr">
        <is>
          <t>The provided code is a part of the Hystrix library for Java which provides tools to handle failures and latency issues in distributed systems. The main purpose of this code seems to be handling metrics related to command execution within a collapsing request pattern.
Here's an overview of what it does: 
It first defines keys for commands that will use the collapser feature</t>
        </is>
      </c>
      <c r="M560" t="n">
        <v>0.0029</v>
      </c>
      <c r="N560" t="n">
        <v>0.0278</v>
      </c>
      <c r="O560" t="n">
        <v>0.1111</v>
      </c>
    </row>
    <row r="561">
      <c r="A561" t="inlineStr">
        <is>
          <t>hystrix</t>
        </is>
      </c>
      <c r="B561" t="inlineStr">
        <is>
          <t>hystrix-core/src/test/java/com/netflix/hystrix/metric/consumer/CumulativeCommandEventCounterStreamTest.java</t>
        </is>
      </c>
      <c r="C561">
        <f>HYPERLINK("https://github.com/Netflix/Hystrix/blob/master/hystrix-core/src/test/java/com/netflix/hystrix/metric/consumer/CumulativeCommandEventCounterStreamTest.java")</f>
        <v/>
      </c>
      <c r="D561" t="inlineStr">
        <is>
          <t>The provided code is a part of Netflix's Hystrix library for handling fault tolerance and resilience in distributed systems. It provides functionality to consume metrics from commands executed using the Hystrix framework. The code includes classes related to command group keys, command keys, command metrics, properties, event types, request logs, etc., which are used by Hystrix to manage and track</t>
        </is>
      </c>
      <c r="E561" t="n">
        <v>0.0036</v>
      </c>
      <c r="F561" t="n">
        <v>0.058</v>
      </c>
      <c r="G561" t="n">
        <v>0.07580000000000001</v>
      </c>
      <c r="H561" t="inlineStr">
        <is>
          <t>The provided code is a Java class that implements the Hystrix command metrics consumer for Netflix's Hystrix library. It handles various events and metrics related to commands executed by Hystrix in an application. The complexity of this piece of code appears to be O(N), where N represents the number of unique commands being monitored or processed. This could potentially increase with larger numbers</t>
        </is>
      </c>
      <c r="I561" t="n">
        <v>0.0038</v>
      </c>
      <c r="J561" t="n">
        <v>0.0548</v>
      </c>
      <c r="K561" t="n">
        <v>0.1111</v>
      </c>
      <c r="L561" t="inlineStr">
        <is>
          <t>The provided code is a part of Netflix's Hystrix library for distributed fault tolerance and command execution control in Java applications. The main purpose of this code seems to be the implementation of metrics consumer that processes commands executed within an application using Hystrix. 
It starts by defining keys (group key &amp; command key) for a specific Hystrix Command which are used as</t>
        </is>
      </c>
      <c r="M561" t="n">
        <v>0.0029</v>
      </c>
      <c r="N561" t="n">
        <v>0.0563</v>
      </c>
      <c r="O561" t="n">
        <v>0.1481</v>
      </c>
    </row>
    <row r="562">
      <c r="A562" t="inlineStr">
        <is>
          <t>hystrix</t>
        </is>
      </c>
      <c r="B562" t="inlineStr">
        <is>
          <t>hystrix-core/src/test/java/com/netflix/hystrix/metric/consumer/CumulativeThreadPoolEventCounterStreamTest.java</t>
        </is>
      </c>
      <c r="C562">
        <f>HYPERLINK("https://github.com/Netflix/Hystrix/blob/master/hystrix-core/src/test/java/com/netflix/hystrix/metric/consumer/CumulativeThreadPoolEventCounterStreamTest.java")</f>
        <v/>
      </c>
      <c r="D562" t="inlineStr">
        <is>
          <t>The provided code is a part of the Hystrix library for Java which provides fault tolerance patterns to improve stability and resilience in distributed systems. It includes classes related to metrics consumers like command execution events or request logs. The copyright notice at the top indicates that this software is licensed under Apache License 2.0.
# This repository contains backend software components implementing core algorithms used by</t>
        </is>
      </c>
      <c r="E562" t="n">
        <v>0.0038</v>
      </c>
      <c r="F562" t="n">
        <v>0.1067</v>
      </c>
      <c r="G562" t="n">
        <v>0.3068</v>
      </c>
      <c r="H562" t="inlineStr">
        <is>
          <t>The code provided is a Java function for addition of two numbers using the Hystrix library by Netflix. The functionality of this code includes adding two numbers together and it's complexity is O(1), meaning that its time or space requirements are constant irrespective of input size.
It also contains Apache License information which specifies how to use and distribute the software in terms of permissions</t>
        </is>
      </c>
      <c r="I562" t="n">
        <v>0.0037</v>
      </c>
      <c r="J562" t="n">
        <v>0.0533</v>
      </c>
      <c r="K562" t="n">
        <v>0.146</v>
      </c>
      <c r="L562" t="inlineStr">
        <is>
          <t>The provided code is a part of the Hystrix library in Java which provides fault tolerance patterns for distributed systems. It's used to handle failures and latency issues that can occur when communicating with remote services or resources. The main purpose of this code seems to be monitoring metrics from command execution within Hystrix commands. 
There are several classes involved here like `Hystrix</t>
        </is>
      </c>
      <c r="M562" t="n">
        <v>0.0029</v>
      </c>
      <c r="N562" t="n">
        <v>0.0278</v>
      </c>
      <c r="O562" t="n">
        <v>0.1111</v>
      </c>
    </row>
    <row r="563">
      <c r="A563" t="inlineStr">
        <is>
          <t>hystrix</t>
        </is>
      </c>
      <c r="B563" t="inlineStr">
        <is>
          <t>hystrix-core/src/test/java/com/netflix/hystrix/metric/sample/HystrixUtilizationStreamTest.java</t>
        </is>
      </c>
      <c r="C563">
        <f>HYPERLINK("https://github.com/Netflix/Hystrix/blob/master/hystrix-core/src/test/java/com/netflix/hystrix/metric/sample/HystrixUtilizationStreamTest.java")</f>
        <v/>
      </c>
      <c r="D563" t="inlineStr">
        <is>
          <t>The code provided is a Java implementation of Hystrix metrics for command execution monitoring and alerting system in Netflix's backend services. It uses the JUnit testing framework with an instance of `HystrixRequestContext` to manage context isolation between threads which allows commands to be isolated from each other without affecting one another. The metric collection includes information about command execution such as success or failure counts</t>
        </is>
      </c>
      <c r="E563" t="n">
        <v>0.0028</v>
      </c>
      <c r="F563" t="n">
        <v>0.0541</v>
      </c>
      <c r="G563" t="n">
        <v>0.1095</v>
      </c>
      <c r="H563" t="inlineStr">
        <is>
          <t>The provided code is a simple addition function in Java named `add` that takes two parameters and returns their sum. The time complexity of this operation is O(1), meaning it performs the same number of operations regardless of input size.
Here's an example usage: 
```java
int result = add(5, 7); // Result will be 12</t>
        </is>
      </c>
      <c r="I563" t="n">
        <v>0.0033</v>
      </c>
      <c r="J563" t="n">
        <v>0.0625</v>
      </c>
      <c r="K563" t="n">
        <v>0.1181</v>
      </c>
      <c r="L563" t="inlineStr">
        <is>
          <t>The code provided is a part of Netflix's Hystrix library for handling fault tolerance and resilience in distributed systems. It includes unit tests to verify the correctness of metrics collection from commands executed by HystrixCommand instances. 
The main purpose of this code is to test command execution and observe its impact on metrics such as latency, error count, thread pool size</t>
        </is>
      </c>
      <c r="M563" t="n">
        <v>0.003</v>
      </c>
      <c r="N563" t="n">
        <v>0.0571</v>
      </c>
      <c r="O563" t="n">
        <v>0.1128</v>
      </c>
    </row>
    <row r="564">
      <c r="A564" t="inlineStr">
        <is>
          <t>hystrix</t>
        </is>
      </c>
      <c r="B564" t="inlineStr">
        <is>
          <t>hystrix-core/src/test/java/com/netflix/hystrix/config/HystrixConfigurationStreamTest.java</t>
        </is>
      </c>
      <c r="C564">
        <f>HYPERLINK("https://github.com/Netflix/Hystrix/blob/master/hystrix-core/src/test/java/com/netflix/hystrix/config/HystrixConfigurationStreamTest.java")</f>
        <v/>
      </c>
      <c r="D564" t="inlineStr">
        <is>
          <t>The code provided is for a Java library called Hystrix that provides fault tolerance patterns to improve the resilience of distributed systems. It includes configuration classes and rules related to hystrix commands (a type of command pattern used in software design). The license details are also included at the top of the file which states it's licensed under Apache 2.0 License.
Please</t>
        </is>
      </c>
      <c r="E564" t="n">
        <v>0.0035</v>
      </c>
      <c r="F564" t="n">
        <v>0.0278</v>
      </c>
      <c r="G564" t="n">
        <v>0.1119</v>
      </c>
      <c r="H564" t="inlineStr">
        <is>
          <t>The provided code is a simple addition function `add` that takes two parameters and returns their sum. The complexity of this operation is O(1), meaning it performs the same number of operations regardless of input size.
Here's an overview of what each section does in the README file:
- Copyright notice: Indicate copyright ownership for Netflix Inc.
- License</t>
        </is>
      </c>
      <c r="I564" t="n">
        <v>0.0031</v>
      </c>
      <c r="J564" t="n">
        <v>0.0597</v>
      </c>
      <c r="K564" t="n">
        <v>0.1145</v>
      </c>
      <c r="L564" t="inlineStr">
        <is>
          <t>The provided code is a part of Netflix's Hystrix library for handling fault tolerance and resilience in distributed systems. It includes configuration classes related to the behavioral aspects of commands executed using the Hystrix framework such as timeouts, circuit breakers etc. The main purpose of this code seems to be defining command configurations that can then be used by instances of `Hystrix</t>
        </is>
      </c>
      <c r="M564" t="n">
        <v>0.0029</v>
      </c>
      <c r="N564" t="n">
        <v>0.0282</v>
      </c>
      <c r="O564" t="n">
        <v>0.1119</v>
      </c>
    </row>
    <row r="565">
      <c r="A565" t="inlineStr">
        <is>
          <t>hystrix</t>
        </is>
      </c>
      <c r="B565" t="inlineStr">
        <is>
          <t>hystrix-core/src/test/java/com/netflix/hystrix/strategy/HystrixPluginsTest.java</t>
        </is>
      </c>
      <c r="C565">
        <f>HYPERLINK("https://github.com/Netflix/Hystrix/blob/master/hystrix-core/src/test/java/com/netflix/hystrix/strategy/HystrixPluginsTest.java")</f>
        <v/>
      </c>
      <c r="D565" t="inlineStr">
        <is>
          <t>The code provided is a Java implementation of the Hystrix library by Netflix for handling fault tolerance and resilience in distributed systems. The copyright notice at the top indicates that this software may be used under the terms specified in Apache License 2.0. It provides functionalities related to creating command patterns with fallbacks or circuit breakers, which can help manage failures in distributed services more effectively</t>
        </is>
      </c>
      <c r="E565" t="n">
        <v>0.0033</v>
      </c>
      <c r="F565" t="n">
        <v>0.08</v>
      </c>
      <c r="G565" t="n">
        <v>0.309</v>
      </c>
      <c r="H565" t="inlineStr">
        <is>
          <t>The provided code is a Java implementation of the Hystrix command pattern for fault tolerance and resilience in distributed systems. It provides an interface (`HystrixCommand` or `HystrixObservableCommand` depending on whether you're using RxJava or not), which can be implemented by users to define how commands should run. The main functionality includes fallbacks when exceptions occur</t>
        </is>
      </c>
      <c r="I565" t="n">
        <v>0.004</v>
      </c>
      <c r="J565" t="n">
        <v>0.0625</v>
      </c>
      <c r="K565" t="n">
        <v>0.1181</v>
      </c>
      <c r="L565" t="inlineStr">
        <is>
          <t>ThegivenJavacoderesidesinsideaHystrixframeworkforcircuitbreakerpatternimplementing.IthasmultipleclassesincludingCommand,ThreadPool,Notifier,ExecutionIsolationStrategy,SemaphoreIsolationStrategy,FallbackIsolationStrategy,RequestCacheIsolationStrategy,LocalCachingIsolationStrategy,PropertyChangeNotificationIsolationStrategy,EventNotifierIs</t>
        </is>
      </c>
      <c r="M565" t="n">
        <v>0</v>
      </c>
      <c r="N565" t="n">
        <v>0</v>
      </c>
      <c r="O565" t="n">
        <v>0</v>
      </c>
    </row>
    <row r="566">
      <c r="A566" t="inlineStr">
        <is>
          <t>hystrix</t>
        </is>
      </c>
      <c r="B566" t="inlineStr">
        <is>
          <t>hystrix-core/src/test/java/com/netflix/hystrix/strategy/properties/HystrixPropertyTest.java</t>
        </is>
      </c>
      <c r="C566">
        <f>HYPERLINK("https://github.com/Netflix/Hystrix/blob/master/hystrix-core/src/test/java/com/netflix/hystrix/strategy/properties/HystrixPropertyTest.java")</f>
        <v/>
      </c>
      <c r="D566" t="inlineStr">
        <is>
          <t>The provided code is a JUnit test for the Hystrix Property Factory class in Netflix's Hystrix library. The purpose of this test is to verify that the `asProperty` method from the factory correctly creates and returns an instance of `HystrixProperty` with its value set as "a". It then asserts that the returned property has indeed the value "a".</t>
        </is>
      </c>
      <c r="E566" t="n">
        <v>0.0031</v>
      </c>
      <c r="F566" t="n">
        <v>0.0597</v>
      </c>
      <c r="G566" t="n">
        <v>0.0769</v>
      </c>
      <c r="H566" t="inlineStr">
        <is>
          <t>The provided code is a JUnit test for the Hystrix library in Java. The purpose of this code is to verify that the Factory class can correctly create and return an instance of `HystrixProperty` with a specified value (in this case "a"). It then checks if the returned property has indeed been set to its initial value using assertEquals(). This operation should have O(1)</t>
        </is>
      </c>
      <c r="I566" t="n">
        <v>0.0034</v>
      </c>
      <c r="J566" t="n">
        <v>0.0548</v>
      </c>
      <c r="K566" t="n">
        <v>0.1103</v>
      </c>
      <c r="L566" t="inlineStr">
        <is>
          <t>The provided code is a JUnit test for the `HystrixProperty` class from Netflix's Hystrix library. The purpose of this code is to verify that the correct value can be retrieved when accessing an instance of `HystrixProperty` with a specific string input ("a"). 
Here are some key operations and control flow points identified in the logic:</t>
        </is>
      </c>
      <c r="M566" t="n">
        <v>0.0033</v>
      </c>
      <c r="N566" t="n">
        <v>0.09379999999999999</v>
      </c>
      <c r="O566" t="n">
        <v>0.07870000000000001</v>
      </c>
    </row>
    <row r="567">
      <c r="A567" t="inlineStr">
        <is>
          <t>hystrix</t>
        </is>
      </c>
      <c r="B567" t="inlineStr">
        <is>
          <t>hystrix-core/src/test/java/com/netflix/hystrix/strategy/properties/HystrixPropertiesChainedArchaiusPropertyTest.java</t>
        </is>
      </c>
      <c r="C567">
        <f>HYPERLINK("https://github.com/Netflix/Hystrix/blob/master/hystrix-core/src/test/java/com/netflix/hystrix/strategy/properties/HystrixPropertiesChainedArchaiusPropertyTest.java")</f>
        <v/>
      </c>
      <c r="D567" t="inlineStr">
        <is>
          <t>The code provided is a Java class that contains unit tests for Hystrix properties related to the configuration of Netflix's backend software components. The complexity of this code is O(n), where n represents the number of test cases in the suite. It uses JUnit testing framework and assertions from org.junit package to validate property values against expected results. This repository also includes comments explaining complex</t>
        </is>
      </c>
      <c r="E567" t="n">
        <v>0.0037</v>
      </c>
      <c r="F567" t="n">
        <v>0.0526</v>
      </c>
      <c r="G567" t="n">
        <v>0.146</v>
      </c>
      <c r="H567" t="inlineStr">
        <is>
          <t>The provided code is a Java class that implements the Hystrix properties for circuit breakers using Archaius configuration library. The copyright notice at the top of the file indicates it's licensed under Apache License 2.0.
The main functionality of this code includes setting up and getting dynamic boolean properties related to hystrix circuit breakers from an archaius configuration source.</t>
        </is>
      </c>
      <c r="I567" t="n">
        <v>0.0041</v>
      </c>
      <c r="J567" t="n">
        <v>0.08699999999999999</v>
      </c>
      <c r="K567" t="n">
        <v>0.1527</v>
      </c>
      <c r="L567" t="inlineStr">
        <is>
          <t>The provided code is a Java class that defines properties for Hystrix, which is Netflix's open source library used to handle fault tolerance and resilience in distributed systems. The main purpose of this class seems to be managing the configuration of these properties using Archaius (a dynamic property service).
Here are some key operations performed by the `HystrixPropertiesChained</t>
        </is>
      </c>
      <c r="M567" t="n">
        <v>0.0031</v>
      </c>
      <c r="N567" t="n">
        <v>0.0299</v>
      </c>
      <c r="O567" t="n">
        <v>0.1154</v>
      </c>
    </row>
    <row r="568">
      <c r="A568" t="inlineStr">
        <is>
          <t>jabref</t>
        </is>
      </c>
      <c r="B568" t="inlineStr">
        <is>
          <t>build-logic/src/main/kotlin/JDKjsobjectDependencyMetadataRule.kt</t>
        </is>
      </c>
      <c r="C568">
        <f>HYPERLINK("https://github.com/JabRef/jabref/blob/master/build-logic/src/main/kotlin/JDKjsobjectDependencyMetadataRule.kt")</f>
        <v/>
      </c>
      <c r="D568" t="inlineStr">
        <is>
          <t>The provided code is a part of Gradle plugin that resolves JVM dependency conflicts by adding target platform variants metadata to the dependencies configuration in Java projects. It uses Gradle's component metadata rules API to modify the configurations and add new attributes (target operating system, architecture, minimum java version). The rule applies for all dependencies with specified classifiers like "jdk", "js"</t>
        </is>
      </c>
      <c r="E568" t="n">
        <v>0.003</v>
      </c>
      <c r="F568" t="n">
        <v>0.0286</v>
      </c>
      <c r="G568" t="n">
        <v>0.0752</v>
      </c>
      <c r="H568" t="inlineStr">
        <is>
          <t>The code you provided is a Java class that extends an abstract Gradle component metadata rule to create variants of dependencies based on target platform characteristics such as JVM version, operating system family and machine architecture. The `execute` method in this class generates different versions of the dependency for each variant by modifying its attributes using Gradle's object factory. This allows the build tool to handle conflicts between different</t>
        </is>
      </c>
      <c r="I568" t="n">
        <v>0.0031</v>
      </c>
      <c r="J568" t="n">
        <v>0.0256</v>
      </c>
      <c r="K568" t="n">
        <v>0.1064</v>
      </c>
      <c r="L568" t="inlineStr">
        <is>
          <t>The provided code is a Gradle Kotlin DSL script that implements an abstract class named `JDKjsobjectDependencyMetadataRule` which extends the `ComponentMetadataRule` interface from Gradle's model API. The rule has four parameters - 'classifier', 'operating system', 'architecture', and 'minimum Java version'. 
It injects dependencies based on</t>
        </is>
      </c>
      <c r="M568" t="n">
        <v>0.005</v>
      </c>
      <c r="N568" t="n">
        <v>0.0769</v>
      </c>
      <c r="O568" t="n">
        <v>0.0862</v>
      </c>
    </row>
    <row r="569">
      <c r="A569" t="inlineStr">
        <is>
          <t>jabref</t>
        </is>
      </c>
      <c r="B569" t="inlineStr">
        <is>
          <t>jabsrv/src/main/java/module-info.java</t>
        </is>
      </c>
      <c r="C569">
        <f>HYPERLINK("https://github.com/JabRef/jabref/blob/master/jabsrv/src/main/java/module-info.java")</f>
        <v/>
      </c>
      <c r="D569" t="inlineStr">
        <is>
          <t>The code provided is a module named `org.jabref.jabsrv` that exports various packages and classes related to HTTP server operations in the JabRef application. The exported modules include org.jabref.http.server, org.jabref.http.manager, etc., which are used for managing and serving HTTP requests/responses. It</t>
        </is>
      </c>
      <c r="E569" t="n">
        <v>0.0055</v>
      </c>
      <c r="F569" t="n">
        <v>0.0702</v>
      </c>
      <c r="G569" t="n">
        <v>0.1339</v>
      </c>
      <c r="H569" t="inlineStr">
        <is>
          <t>The provided code is a module named "org.jabref.jabsrv" that exports several packages and classes related to HTTP server management and communication with Google's GSON library for JSON serialization/deserialization. The complexity of the code seems to be O(N), where N represents the number of lines in the file or operations performed by the program. This could vary depending</t>
        </is>
      </c>
      <c r="I569" t="n">
        <v>0.0042</v>
      </c>
      <c r="J569" t="n">
        <v>0.0571</v>
      </c>
      <c r="K569" t="n">
        <v>0.1163</v>
      </c>
      <c r="L569" t="inlineStr">
        <is>
          <t>The provided code file is a module named "org.jabref.jabsrv". It exports several packages and classes related to HTTP server operations, managerial tasks, data transfer objects (DTOs) using Google's GSON library, Jersey framework for RESTful services, HK2 service locators/injectors, Jackson databindings, among others. The</t>
        </is>
      </c>
      <c r="M569" t="n">
        <v>0.0051</v>
      </c>
      <c r="N569" t="n">
        <v>0.0727</v>
      </c>
      <c r="O569" t="n">
        <v>0.1304</v>
      </c>
    </row>
    <row r="570">
      <c r="A570" t="inlineStr">
        <is>
          <t>jabref</t>
        </is>
      </c>
      <c r="B570" t="inlineStr">
        <is>
          <t>jabsrv/src/main/java/org/jabref/http/SrvStateManager.java</t>
        </is>
      </c>
      <c r="C570">
        <f>HYPERLINK("https://github.com/JabRef/jabref/blob/master/jabsrv/src/main/java/org/jabref/http/SrvStateManager.java")</f>
        <v/>
      </c>
      <c r="D570" t="inlineStr">
        <is>
          <t>The provided code is an interface named `SrvStateManager` which provides access to various states and functionalities related to the server state management in a JavaFX application involving Bibliography Reference Management (JABRef). It includes methods for getting selected entries from the database, active databases, open databases, property of the active selection tab, all available database paths, and index manager associated with each</t>
        </is>
      </c>
      <c r="E570" t="n">
        <v>0.003</v>
      </c>
      <c r="F570" t="n">
        <v>0.058</v>
      </c>
      <c r="G570" t="n">
        <v>0.0752</v>
      </c>
      <c r="H570" t="inlineStr">
        <is>
          <t>The provided code is a Java interface named SrvStateManager that provides several methods related to managing the state of a server application with various functionalities such as getting selected entries from a database context, obtaining active databases, handling property changes for an active database and so on. The complexity of this implementation appears to be O(N), where N represents the number of open databases in the system. It also</t>
        </is>
      </c>
      <c r="I570" t="n">
        <v>0.0026</v>
      </c>
      <c r="J570" t="n">
        <v>0.0513</v>
      </c>
      <c r="K570" t="n">
        <v>0.1418</v>
      </c>
      <c r="L570" t="inlineStr">
        <is>
          <t># This code defines an interface named `SrvStateManager` which is used to manage the state of a server application. 
The main purpose of this class is to provide access and manipulation methods for various aspects related to entries in a bibliography database (selected by user). It also provides information about currently active databases and open databases. The overall complexity of the implementation appears</t>
        </is>
      </c>
      <c r="M570" t="n">
        <v>0.0034</v>
      </c>
      <c r="N570" t="n">
        <v>0.0571</v>
      </c>
      <c r="O570" t="n">
        <v>0.1481</v>
      </c>
    </row>
    <row r="571">
      <c r="A571" t="inlineStr">
        <is>
          <t>jabref</t>
        </is>
      </c>
      <c r="B571" t="inlineStr">
        <is>
          <t>jabsrv/src/main/java/org/jabref/http/JabRefSrvStateManager.java</t>
        </is>
      </c>
      <c r="C571">
        <f>HYPERLINK("https://github.com/JabRef/jabref/blob/master/jabsrv/src/main/java/org/jabref/http/JabRefSrvStateManager.java")</f>
        <v/>
      </c>
      <c r="D571" t="inlineStr">
        <is>
          <t>The provided code is a Java class named "JabRefSrvStateManager" that implements the interface "SrvStateManager". This manager handles states related to open databases and selected entries in JabRef software. The main functionalities include getting an empty observable list of open databases, returning an optional object property for active database, providing an empty observable list for selected entries, and fetching index</t>
        </is>
      </c>
      <c r="E571" t="n">
        <v>0.0041</v>
      </c>
      <c r="F571" t="n">
        <v>0.1194</v>
      </c>
      <c r="G571" t="n">
        <v>0.1527</v>
      </c>
      <c r="H571" t="inlineStr">
        <is>
          <t>The provided code is a Java class named JabRefSrvStateManager that implements the SrvStateManager interface. This class provides several methods to manage server state related to open databases and selected entries in these databases. The complexity of this implementation seems O(N), as it returns an Observable list containing BibDatabaseContext objects which could potentially be N elements long depending on how many databases are</t>
        </is>
      </c>
      <c r="I571" t="n">
        <v>0.0039</v>
      </c>
      <c r="J571" t="n">
        <v>0.0563</v>
      </c>
      <c r="K571" t="n">
        <v>0.1119</v>
      </c>
      <c r="L571" t="inlineStr">
        <is>
          <t>The given code is implementing a state management system for JabRef, a bibliography reference manager. The main purpose of this class seems to be managing the open databases and selected entries in an application with multiple views or tabs.
It provides three methods that return different types of Observables (Lists) which are used by other parts of the software to keep track of their states.</t>
        </is>
      </c>
      <c r="M571" t="n">
        <v>0.0033</v>
      </c>
      <c r="N571" t="n">
        <v>0.0548</v>
      </c>
      <c r="O571" t="n">
        <v>0.1825</v>
      </c>
    </row>
    <row r="572">
      <c r="A572" t="inlineStr">
        <is>
          <t>jabref</t>
        </is>
      </c>
      <c r="B572" t="inlineStr">
        <is>
          <t>jabsrv/src/main/java/org/jabref/http/JabrefMediaType.java</t>
        </is>
      </c>
      <c r="C572">
        <f>HYPERLINK("https://github.com/JabRef/jabref/blob/master/jabsrv/src/main/java/org/jabref/http/JabrefMediaType.java")</f>
        <v/>
      </c>
      <c r="D572" t="inlineStr">
        <is>
          <t>The code provided is a Java class named JabrefMediaType that defines two static final String variables - BIBTEX and JSON_CSL_ITEM. These are media types used in HTTP requests for different file formats. The 'BIBTEX' variable represents the "application/x-bibtex", which is often used to represent content as bibliographic data in plain text</t>
        </is>
      </c>
      <c r="E572" t="n">
        <v>0.0036</v>
      </c>
      <c r="F572" t="n">
        <v>0.0323</v>
      </c>
      <c r="G572" t="n">
        <v>0.0813</v>
      </c>
      <c r="H572" t="inlineStr">
        <is>
          <t>The provided code is a Java class named JabrefMediaType that contains two static final String variables for media types related to BibTeX and JSON Citation Style Language (CSL). The complexity of this function is O(1), meaning it has constant time complexity as it does not depend on the size of input data. It provides a concise clear direct summary of functionality by providing details</t>
        </is>
      </c>
      <c r="I572" t="n">
        <v>0.0034</v>
      </c>
      <c r="J572" t="n">
        <v>0.0548</v>
      </c>
      <c r="K572" t="n">
        <v>0.1103</v>
      </c>
      <c r="L572" t="inlineStr">
        <is>
          <t>The provided code is a Java class named `JabrefMediaType` that defines two public static final String variables representing the media types of BibTeX and JSON Citation Style Language (CSL) items respectively. The purpose of this class seems to be providing constants for HTTP requests related to handling bibliographic data in various formats such as BibTeX or JSON C</t>
        </is>
      </c>
      <c r="M572" t="n">
        <v>0.0031</v>
      </c>
      <c r="N572" t="n">
        <v>0.0303</v>
      </c>
      <c r="O572" t="n">
        <v>0.0769</v>
      </c>
    </row>
    <row r="573">
      <c r="A573" t="inlineStr">
        <is>
          <t>jabref</t>
        </is>
      </c>
      <c r="B573" t="inlineStr">
        <is>
          <t>jabsrv/src/main/java/org/jabref/http/manager/package-info.java</t>
        </is>
      </c>
      <c r="C573">
        <f>HYPERLINK("https://github.com/JabRef/jabref/blob/master/jabsrv/src/main/java/org/jabref/http/manager/package-info.java")</f>
        <v/>
      </c>
      <c r="D573" t="inlineStr">
        <is>
          <t>The code provided is part of a backend software package for managing remote servers and HTTP requests. It includes classes related to server management such as ServerManager and HttpRequestManager. The complexity seems O(N), but without more context it's hard to determine exactly what this means in the given code snippet.
# You can also provide an example or two from the actual code if</t>
        </is>
      </c>
      <c r="E573" t="n">
        <v>0.0034</v>
      </c>
      <c r="F573" t="n">
        <v>0.0548</v>
      </c>
      <c r="G573" t="n">
        <v>0.1471</v>
      </c>
      <c r="H573" t="inlineStr">
        <is>
          <t>Thegivencodeisimplementingsimilarfunctionsasinthedocumentation.ItusesatotalcomplexityofO(N),whereNrepresentsnumberofelementsinagivenlistorarray.Thepurposeofthisimplementationistoexecuteacorealgorithmsinvolvingiteratingoverallemlementsindata.
# Solution
```python
import org.jab</t>
        </is>
      </c>
      <c r="I573" t="n">
        <v>0</v>
      </c>
      <c r="J573" t="n">
        <v>0</v>
      </c>
      <c r="K573" t="n">
        <v>0</v>
      </c>
      <c r="L573" t="inlineStr">
        <is>
          <t>```java
The given code is a Java package named "Server" located in the org.jabref.logic.remote.server directory and another package called "HttpManager". 
Functionally, Server class has methods for managing remote server connections such as establishing connection, sending requests to servers, receiving responses from them etc. It also handles exceptions related to these operations.</t>
        </is>
      </c>
      <c r="M573" t="n">
        <v>0.0036</v>
      </c>
      <c r="N573" t="n">
        <v>0.0317</v>
      </c>
      <c r="O573" t="n">
        <v>0.0407</v>
      </c>
    </row>
    <row r="574">
      <c r="A574" t="inlineStr">
        <is>
          <t>jabref</t>
        </is>
      </c>
      <c r="B574" t="inlineStr">
        <is>
          <t>jabsrv/src/main/java/org/jabref/http/manager/HttpServerThread.java</t>
        </is>
      </c>
      <c r="C574">
        <f>HYPERLINK("https://github.com/JabRef/jabref/blob/master/jabsrv/src/main/java/org/jabref/http/manager/HttpServerThread.java")</f>
        <v/>
      </c>
      <c r="D574" t="inlineStr">
        <is>
          <t>The provided code is a Java class named `HttpServerThread` that extends the Thread class and serves as a wrapper for an HTTP server instance of JabRef application. The purpose of this class seems to be to manage the lifecycle of the HttpServer and SrvStateManager instances related to it. It also provides functionality to handle UI messages if any are present. However, without seeing the</t>
        </is>
      </c>
      <c r="E574" t="n">
        <v>0.0034</v>
      </c>
      <c r="F574" t="n">
        <v>0.0556</v>
      </c>
      <c r="G574" t="n">
        <v>0.1103</v>
      </c>
      <c r="H574" t="inlineStr">
        <is>
          <t>The code you provided is a Java class that extends the Thread class and manages an HTTP server thread along with its state manager and UI message handler. The complexity of this function is O(N), where N refers to the number of servers managed by the HttpServerThread instance. It also contains comments explaining what each part does in detail.
In summary, this code represents a multi-</t>
        </is>
      </c>
      <c r="I574" t="n">
        <v>0.0028</v>
      </c>
      <c r="J574" t="n">
        <v>0.0533</v>
      </c>
      <c r="K574" t="n">
        <v>0.1087</v>
      </c>
      <c r="L574" t="inlineStr">
        <is>
          <t>ThegivenJavacoderesidesinapackagecalled"org.jabref.http.manager".Itdefinesafourmainsclasses:"Server","SrvStateManager", "Uri", and "UiMessageHandler". It also defines a thread wrapper class called "HttpServerThread" that extends the Thread class from Grizzly HTTP Server library. The purpose of this code</t>
        </is>
      </c>
      <c r="M574" t="n">
        <v>0.0067</v>
      </c>
      <c r="N574" t="n">
        <v>0.0465</v>
      </c>
      <c r="O574" t="n">
        <v>0.1</v>
      </c>
    </row>
    <row r="575">
      <c r="A575" t="inlineStr">
        <is>
          <t>jabref</t>
        </is>
      </c>
      <c r="B575" t="inlineStr">
        <is>
          <t>jabsrv/src/main/java/org/jabref/http/manager/HttpServerManager.java</t>
        </is>
      </c>
      <c r="C575">
        <f>HYPERLINK("https://github.com/JabRef/jabref/blob/master/jabsrv/src/main/java/org/jabref/http/manager/HttpServerManager.java")</f>
        <v/>
      </c>
      <c r="D575" t="inlineStr">
        <is>
          <t>The code provided is a Java class named `HttpServerManager` that manages the HTTP server thread through typical life cycle methods. It observes if the server is open or not before starting it. The manager uses SLF4J for logging and JSpecify annotations to mark nullability in some of its fields. This class implements AutoCloseable interface which allows closing resources when done with them</t>
        </is>
      </c>
      <c r="E575" t="n">
        <v>0.0039</v>
      </c>
      <c r="F575" t="n">
        <v>0.0571</v>
      </c>
      <c r="G575" t="n">
        <v>0.1493</v>
      </c>
      <c r="H575" t="inlineStr">
        <is>
          <t>The code provided is a Java class named HttpServerManager that manages the HTTP server thread through typical life cycle methods. The manager starts and stops the server based on user preferences and server state. It also logs messages to an instance of Logger for debugging purposes.
In summary, this code provides functionality related to starting up and shutting down an HTTP server, managing its lifec</t>
        </is>
      </c>
      <c r="I575" t="n">
        <v>0.0033</v>
      </c>
      <c r="J575" t="n">
        <v>0.0822</v>
      </c>
      <c r="K575" t="n">
        <v>0.1095</v>
      </c>
      <c r="L575" t="inlineStr">
        <is>
          <t>The provided code is a Java class named `HttpServerManager` which manages the HTTP server thread through typical lifecycle methods. The purpose of this class is to start and control an HttpServerThread object. It uses CliPreferences for command line preferences, SrvStateManager for managing server state, UiMessageHandler for handling UI messages, and URI for specifying resources. This</t>
        </is>
      </c>
      <c r="M575" t="n">
        <v>0.004</v>
      </c>
      <c r="N575" t="n">
        <v>0.0635</v>
      </c>
      <c r="O575" t="n">
        <v>0.1181</v>
      </c>
    </row>
    <row r="576">
      <c r="A576" t="inlineStr">
        <is>
          <t>jabref</t>
        </is>
      </c>
      <c r="B576" t="inlineStr">
        <is>
          <t>jabsrv/src/main/java/org/jabref/http/server/Server.java</t>
        </is>
      </c>
      <c r="C576">
        <f>HYPERLINK("https://github.com/JabRef/jabref/blob/master/jabsrv/src/main/java/org/jabref/http/server/Server.java")</f>
        <v/>
      </c>
      <c r="D576" t="inlineStr">
        <is>
          <t>The code provided is a Java package that contains classes for setting up and managing an HTTP server related to JabRef software. It includes various resources such as EntriesResource (for handling entries), EntryResource (for individual entry operations), LibrariesResource (for library-related operations), etc., along with some services like FilesToServe (for serving files). The complexity of the code seems to</t>
        </is>
      </c>
      <c r="E576" t="n">
        <v>0.0031</v>
      </c>
      <c r="F576" t="n">
        <v>0.0299</v>
      </c>
      <c r="G576" t="n">
        <v>0.0385</v>
      </c>
      <c r="H576" t="inlineStr">
        <is>
          <t>The provided code is a Java program that imports various packages and classes from the org.jabref package. It also contains some comments explaining what each part of the code does. The complexity of this piece of code appears to be O(N), where N represents the number of imported or utilized components in the software system. This could vary depending on how many different packages are used by the application</t>
        </is>
      </c>
      <c r="I576" t="n">
        <v>0.0035</v>
      </c>
      <c r="J576" t="n">
        <v>0.0506</v>
      </c>
      <c r="K576" t="n">
        <v>0.1418</v>
      </c>
      <c r="L576" t="inlineStr">
        <is>
          <t>The code provided is a Java application that serves as the backend for JabRef, an open-source bibliography management tool. It's designed to handle HTTP requests and responses using various resources such as EntriesResource (handling entries in the database), LibrariesResource (managing libraries of entries), EntryResource (individual entry manipulation), etc. The main purpose of this software</t>
        </is>
      </c>
      <c r="M576" t="n">
        <v>0.004</v>
      </c>
      <c r="N576" t="n">
        <v>0.0625</v>
      </c>
      <c r="O576" t="n">
        <v>0.2505</v>
      </c>
    </row>
    <row r="577">
      <c r="A577" t="inlineStr">
        <is>
          <t>jabref</t>
        </is>
      </c>
      <c r="B577" t="inlineStr">
        <is>
          <t>jabsrv/src/main/java/org/jabref/http/server/CORSFilter.java</t>
        </is>
      </c>
      <c r="C577">
        <f>HYPERLINK("https://github.com/JabRef/jabref/blob/master/jabsrv/src/main/java/org/jabref/http/server/CORSFilter.java")</f>
        <v/>
      </c>
      <c r="D577" t="inlineStr">
        <is>
          <t>ThegivenJava code is a RESTful API filter that adds CORS headers to the response context of any incoming request. The 'Access-Control-Allow-Origin' header value is set as "*" which means it allows requests from all origins. The 'Access-Control-Allow-Methods' specifies allowed HTTP methods for cross domain requests. Similarly, other headers such as 'Content-</t>
        </is>
      </c>
      <c r="E577" t="n">
        <v>0</v>
      </c>
      <c r="F577" t="n">
        <v>0</v>
      </c>
      <c r="G577" t="n">
        <v>0</v>
      </c>
      <c r="H577" t="inlineStr">
        <is>
          <t>ThegivenJava code is a JAX-RS (Jakarta API for RESTful Web Services) filter implementation to handle Cross-Origin Resource Sharing (CORS). The CORS policy allows any origin ("*") to make requests with GET, POST, PUT, DELETE and OPTIONS methods on the server's resources. It also permits certain headers like "origin</t>
        </is>
      </c>
      <c r="I577" t="n">
        <v>0.0038</v>
      </c>
      <c r="J577" t="n">
        <v>0.06900000000000001</v>
      </c>
      <c r="K577" t="n">
        <v>0.0833</v>
      </c>
      <c r="L577" t="inlineStr">
        <is>
          <t>The provided code is a Java class named CORSFilter that implements the ContainerResponseFilter interface from JAX-RS (Java API for RESTful Web Services). This filter adds specific headers to HTTP responses in order to enable Cross-Origin Resource Sharing (CORS) on a server. 
    It does this by overriding the `filter` method which</t>
        </is>
      </c>
      <c r="M577" t="n">
        <v>0.0044</v>
      </c>
      <c r="N577" t="n">
        <v>0.0333</v>
      </c>
      <c r="O577" t="n">
        <v>0.082</v>
      </c>
    </row>
    <row r="578">
      <c r="A578" t="inlineStr">
        <is>
          <t>jabref</t>
        </is>
      </c>
      <c r="B578" t="inlineStr">
        <is>
          <t>jabsrv/src/main/java/org/jabref/http/server/command/FocusCommand.java</t>
        </is>
      </c>
      <c r="C578">
        <f>HYPERLINK("https://github.com/JabRef/jabref/blob/master/jabsrv/src/main/java/org/jabref/http/server/command/FocusCommand.java")</f>
        <v/>
      </c>
      <c r="D578" t="inlineStr">
        <is>
          <t>ThegivenJava code is a part of the backend software components in JabRef (a bibliography management tool). It defines a `focus` command which extends from the base Command class and overrides its execute method to return a response with UiCommand set as 'Focus'. This indicates that when this command is executed by an HTTP server, it will focus on some UI element or component.</t>
        </is>
      </c>
      <c r="E578" t="n">
        <v>0.0038</v>
      </c>
      <c r="F578" t="n">
        <v>0.0563</v>
      </c>
      <c r="G578" t="n">
        <v>0.1481</v>
      </c>
      <c r="H578" t="inlineStr">
        <is>
          <t>```java
// This Java class represents a command to focus on an item in the JabRef database management tool. 
// The execute method returns a response by executing a UI Command of type Focus.
package org.jabref.http.server.command;
import org.jabref.logic.UiCommand;
import com.f</t>
        </is>
      </c>
      <c r="I578" t="n">
        <v>0.0046</v>
      </c>
      <c r="J578" t="n">
        <v>0.0741</v>
      </c>
      <c r="K578" t="n">
        <v>0.0446</v>
      </c>
      <c r="L578" t="inlineStr">
        <is>
          <t>The provided code is a Java class named `FocusCommand` that extends the abstract base class `Command` from JabRef library. This class represents an HTTP command to focus on a specific item in the user interface (UI). The purpose of this class is to execute the UI Command "Focus". It does so by overriding the `execute()` method which takes no arguments and returns a Response</t>
        </is>
      </c>
      <c r="M578" t="n">
        <v>0.0034</v>
      </c>
      <c r="N578" t="n">
        <v>0.0556</v>
      </c>
      <c r="O578" t="n">
        <v>0.0735</v>
      </c>
    </row>
    <row r="579">
      <c r="A579" t="inlineStr">
        <is>
          <t>jabref</t>
        </is>
      </c>
      <c r="B579" t="inlineStr">
        <is>
          <t>jabsrv/src/main/java/org/jabref/http/server/command/SelectEntriesCommand.java</t>
        </is>
      </c>
      <c r="C579">
        <f>HYPERLINK("https://github.com/JabRef/jabref/blob/master/jabsrv/src/main/java/org/jabref/http/server/command/SelectEntriesCommand.java")</f>
        <v/>
      </c>
      <c r="D579" t="inlineStr">
        <is>
          <t>ThegivenJava code is a class named "SelectEntriesCommand". This class extends the abstract Command class and has two private fields - serviceLocator (type ServiceLocator), citationKeys (type List of Strings). It also contains one public method for each HTTP request type it handles (GET, POST etc.). The Jackson library annotations indicate that these classes should be serialized/des</t>
        </is>
      </c>
      <c r="E579" t="n">
        <v>0.004</v>
      </c>
      <c r="F579" t="n">
        <v>0.0635</v>
      </c>
      <c r="G579" t="n">
        <v>0.07870000000000001</v>
      </c>
      <c r="H579" t="inlineStr">
        <is>
          <t>ThegivenJava code is a RESTful API command for selecting entries in a bibliography database using JabRef software library. It uses Jackson annotations to handle JSON serialization and deserialization of HTTP requests/responses. The complexity of the implementation appears to be O(n), where n represents the number of selected citation keys from the request body. Summary: Implementing</t>
        </is>
      </c>
      <c r="I579" t="n">
        <v>0.004</v>
      </c>
      <c r="J579" t="n">
        <v>0.0615</v>
      </c>
      <c r="K579" t="n">
        <v>0.1575</v>
      </c>
      <c r="L579" t="inlineStr">
        <is>
          <t>The code provided is a Java class named SelectEntriesCommand that extends the Command class from JabRef software library. This command is used to select entries in a database based on their citation keys and perform operations related to them such as moving or deleting these selected entries. The purpose of this operation can be summarized with the following sentence: "This command allows users to manage entries within a B</t>
        </is>
      </c>
      <c r="M579" t="n">
        <v>0.0035</v>
      </c>
      <c r="N579" t="n">
        <v>0.0519</v>
      </c>
      <c r="O579" t="n">
        <v>0.1418</v>
      </c>
    </row>
    <row r="580">
      <c r="A580" t="inlineStr">
        <is>
          <t>jabref</t>
        </is>
      </c>
      <c r="B580" t="inlineStr">
        <is>
          <t>jabsrv/src/main/java/org/jabref/http/server/command/OpenLibrariesCommand.java</t>
        </is>
      </c>
      <c r="C580">
        <f>HYPERLINK("https://github.com/JabRef/jabref/blob/master/jabsrv/src/main/java/org/jabref/http/server/command/OpenLibrariesCommand.java")</f>
        <v/>
      </c>
      <c r="D580" t="inlineStr">
        <is>
          <t>The code provided is a Java class named "OpenLibrariesCommand" that extends the abstract Command class from JabRef library management software. This class represents an HTTP server command to open one or more libraries specified by their paths. The list of file system paths are stored in 'paths' and they are converted into List of Path objects using java streams before being passed on to execute method of Ui</t>
        </is>
      </c>
      <c r="E580" t="n">
        <v>0.0032</v>
      </c>
      <c r="F580" t="n">
        <v>0.0526</v>
      </c>
      <c r="G580" t="n">
        <v>0.1071</v>
      </c>
      <c r="H580" t="inlineStr">
        <is>
          <t>ThegivenJava-basedcodeisforrunningacommandtotoopenlibrariesinagivenlistoffilepathes.ItusesJacksonlibraryfortypeinformationandJAXRSlibraryfortheHTTPresponse. Thecomplexityofthisimplementationislinearwithrespecttonumberofelementsintheinputlistasititeratesoverthemonce.
âĢĭâĢĭ# âĢĭ
```python</t>
        </is>
      </c>
      <c r="I580" t="n">
        <v>0</v>
      </c>
      <c r="J580" t="n">
        <v>0</v>
      </c>
      <c r="K580" t="n">
        <v>0</v>
      </c>
      <c r="L580" t="inlineStr">
        <is>
          <t>The provided code is a Java class named `OpenLibrariesCommand` that extends the abstract base class `Command` from JabRef's HTTP server package. This command is used to open one or more libraries specified by their file paths in the system. 
It has a single property 'paths', which holds the list of library files (their path names) to be</t>
        </is>
      </c>
      <c r="M580" t="n">
        <v>0.0032</v>
      </c>
      <c r="N580" t="n">
        <v>0.0303</v>
      </c>
      <c r="O580" t="n">
        <v>0.0775</v>
      </c>
    </row>
    <row r="581">
      <c r="A581" t="inlineStr">
        <is>
          <t>jabref</t>
        </is>
      </c>
      <c r="B581" t="inlineStr">
        <is>
          <t>jabsrv/src/main/java/org/jabref/http/server/command/Command.java</t>
        </is>
      </c>
      <c r="C581">
        <f>HYPERLINK("https://github.com/JabRef/jabref/blob/master/jabsrv/src/main/java/org/jabref/http/server/command/Command.java")</f>
        <v/>
      </c>
      <c r="D581" t="inlineStr">
        <is>
          <t>The provided code is a Java class named `Command` that uses the Jackson library to handle JSON serialization and deserialization of different types of commands (like "selectentries", "open", or "focus"). The service locator pattern is used for dependency injection in this application. This class has an abstract method setServiceLocator() which sets the Service Locator instance variable with given input</t>
        </is>
      </c>
      <c r="E581" t="n">
        <v>0.0037</v>
      </c>
      <c r="F581" t="n">
        <v>0.0299</v>
      </c>
      <c r="G581" t="n">
        <v>0.1145</v>
      </c>
      <c r="H581" t="inlineStr">
        <is>
          <t>ThegivenJava code is a RESTful API command handler for handling different types of commands such as selecting entries, opening libraries and focusing on them. The complexity of the implementation can be considered O(N), where N represents the number of commands in total. It involves parsing JSON data to identify which type of command it is, then executing that specific command using HK2 service locator.</t>
        </is>
      </c>
      <c r="I581" t="n">
        <v>0.0028</v>
      </c>
      <c r="J581" t="n">
        <v>0.0274</v>
      </c>
      <c r="K581" t="n">
        <v>0.1103</v>
      </c>
      <c r="L581" t="inlineStr">
        <is>
          <t>The provided code is a Java class named `Command` that acts as an abstract base for other specific commands in the JabRef application. This class uses JSON serialization and deserialization to handle HTTP requests made by clients of the server.
It has two main properties: 
1) A Service Locator which provides access to services used throughout the application. It's</t>
        </is>
      </c>
      <c r="M581" t="n">
        <v>0.0037</v>
      </c>
      <c r="N581" t="n">
        <v>0.0588</v>
      </c>
      <c r="O581" t="n">
        <v>0.1145</v>
      </c>
    </row>
    <row r="582">
      <c r="A582" t="inlineStr">
        <is>
          <t>jabref</t>
        </is>
      </c>
      <c r="B582" t="inlineStr">
        <is>
          <t>jabsrv/src/main/java/org/jabref/http/server/command/CommandResource.java</t>
        </is>
      </c>
      <c r="C582">
        <f>HYPERLINK("https://github.com/JabRef/jabref/blob/master/jabsrv/src/main/java/org/jabref/http/server/command/CommandResource.java")</f>
        <v/>
      </c>
      <c r="D582" t="inlineStr">
        <is>
          <t>The code provided is a RESTful API resource class that handles HTTP POST requests at the "/commands" path. This class uses dependency injection to obtain an instance of ServiceLocator from its constructor and stores it in a private field for later use. The `dispatchCommand` method takes a JSON string as input, attempts to parse this into a Command object using Jackson's ObjectMapper (which</t>
        </is>
      </c>
      <c r="E582" t="n">
        <v>0.0034</v>
      </c>
      <c r="F582" t="n">
        <v>0.0556</v>
      </c>
      <c r="G582" t="n">
        <v>0.1111</v>
      </c>
      <c r="H582" t="inlineStr">
        <is>
          <t>ThegivenJava code is a REST API endpoint that accepts JSON data representing commands to be executed by the application. The command includes two parts - an operation (like addition or subtraction), and its parameters. When this POST request comes in, it uses Jackson library's ObjectMapper class to convert the incoming string into Command object which contains information about what operation needs to be performed along with any necessary</t>
        </is>
      </c>
      <c r="I582" t="n">
        <v>0.0027</v>
      </c>
      <c r="J582" t="n">
        <v>0.0263</v>
      </c>
      <c r="K582" t="n">
        <v>0.1071</v>
      </c>
      <c r="L582" t="inlineStr">
        <is>
          <t>The given code is a RESTful API resource class named `CommandResource` in the JabRef project. It uses dependency injection to inject a service locator into its instance variables and then handles HTTP POST requests at the "/commands" path with content type of application/json. The purpose of this class seems to be to dispatch commands from JSON input to an underlying command execution system using Jackson</t>
        </is>
      </c>
      <c r="M582" t="n">
        <v>0.0028</v>
      </c>
      <c r="N582" t="n">
        <v>0.027</v>
      </c>
      <c r="O582" t="n">
        <v>0.1095</v>
      </c>
    </row>
    <row r="583">
      <c r="A583" t="inlineStr">
        <is>
          <t>jabref</t>
        </is>
      </c>
      <c r="B583" t="inlineStr">
        <is>
          <t>jabsrv/src/main/java/org/jabref/http/server/cayw/CitationProperties.java</t>
        </is>
      </c>
      <c r="C583">
        <f>HYPERLINK("https://github.com/JabRef/jabref/blob/master/jabsrv/src/main/java/org/jabref/http/server/cayw/CitationProperties.java")</f>
        <v/>
      </c>
      <c r="D583" t="inlineStr">
        <is>
          <t>The code provided is a Java class named `CitationProperties` that represents citation properties such as locator type and value, prefix, suffix etc., with getters and setters for these properties. The complexity of the implementation appears to be O(N), but without more context it's hard to say exactly what this means in terms of time or space complexity. This could potentially refer to</t>
        </is>
      </c>
      <c r="E583" t="n">
        <v>0.0035</v>
      </c>
      <c r="F583" t="n">
        <v>0.0278</v>
      </c>
      <c r="G583" t="n">
        <v>0.1119</v>
      </c>
      <c r="H583" t="inlineStr">
        <is>
          <t>The code you provided is a Java class named CitationProperties with various methods for setting and getting properties related to citations such as locator type, value, prefix, suffix etc. The complexity of the getter and setter methods are O(1), which means they take constant time regardless of input size. However, if we consider the implementation of core algorithms used in these methods (like Optional</t>
        </is>
      </c>
      <c r="I583" t="n">
        <v>0.0034</v>
      </c>
      <c r="J583" t="n">
        <v>0.0548</v>
      </c>
      <c r="K583" t="n">
        <v>0.1471</v>
      </c>
      <c r="L583" t="inlineStr">
        <is>
          <t>The provided code is a Java class named `CitationProperties` that encapsulates properties related to citations in a bibliography like locators and prefixes/suffixes for citing resources. The main purpose of this class seems to be managing these properties with setters (for setting values) and getters (for retrieving values as Optional objects which may or may not contain the</t>
        </is>
      </c>
      <c r="M583" t="n">
        <v>0.0032</v>
      </c>
      <c r="N583" t="n">
        <v>0.0606</v>
      </c>
      <c r="O583" t="n">
        <v>0.0775</v>
      </c>
    </row>
    <row r="584">
      <c r="A584" t="inlineStr">
        <is>
          <t>jabref</t>
        </is>
      </c>
      <c r="B584" t="inlineStr">
        <is>
          <t>jabsrv/src/main/java/org/jabref/http/server/cayw/CAYWQueryParams.java</t>
        </is>
      </c>
      <c r="C584">
        <f>HYPERLINK("https://github.com/JabRef/jabref/blob/master/jabsrv/src/main/java/org/jabref/http/server/cayw/CAYWQueryParams.java")</f>
        <v/>
      </c>
      <c r="D584" t="inlineStr">
        <is>
          <t>The provided code is a Java class named CAYWQueryParams that uses JAX-RS (Java API for RESTful Web Services), which provides annotations to map HTTP request parameters to method or constructor parameters. The purpose of this class seems to be handling query parameters related to the Citation Anecdotes You Would Like (CAYW) application from Zotero's Better</t>
        </is>
      </c>
      <c r="E584" t="n">
        <v>0</v>
      </c>
      <c r="F584" t="n">
        <v>0.0308</v>
      </c>
      <c r="G584" t="n">
        <v>0.07870000000000001</v>
      </c>
      <c r="H584" t="inlineStr">
        <is>
          <t>The code you provided is a Java class named CAYWQueryParams that uses JAX-RS (Java API for RESTful Web Services) to define query parameters in the HTTP request URLs. The class has several private String fields annotated with @QueryParam and @DefaultValue annotations which map these fields to corresponding query parameter names in the incoming requests. For example, if there'</t>
        </is>
      </c>
      <c r="I584" t="n">
        <v>0.0031</v>
      </c>
      <c r="J584" t="n">
        <v>0.0299</v>
      </c>
      <c r="K584" t="n">
        <v>0.0769</v>
      </c>
      <c r="L584" t="inlineStr">
        <is>
          <t>The provided code is a Java class named `CAYWQueryParams` that uses JAX-RS annotations to define query parameters for a RESTful API endpoint. The purpose of this class seems to be to handle various types of queries related to the application "Cay W." 
It accepts several different kinds of inputs like probe, format, clipboard commands, minimize settings</t>
        </is>
      </c>
      <c r="M584" t="n">
        <v>0</v>
      </c>
      <c r="N584" t="n">
        <v>0.0308</v>
      </c>
      <c r="O584" t="n">
        <v>0.0781</v>
      </c>
    </row>
    <row r="585">
      <c r="A585" t="inlineStr">
        <is>
          <t>jabref</t>
        </is>
      </c>
      <c r="B585" t="inlineStr">
        <is>
          <t>jabsrv/src/main/java/org/jabref/http/server/cayw/CAYWResource.java</t>
        </is>
      </c>
      <c r="C585">
        <f>HYPERLINK("https://github.com/JabRef/jabref/blob/master/jabsrv/src/main/java/org/jabref/http/server/cayw/CAYWResource.java")</f>
        <v/>
      </c>
      <c r="D585" t="inlineStr">
        <is>
          <t>The provided code is a Java program that uses several libraries and frameworks to manage HTTP server operations related to JabRef software's backend components. It provides functionalities for handling clipboard actions (copying text), file I/O operations, string formatting using custom formats, GUI interactions with search dialogues, asynchronous programming, and more. The complexity of the code appears to be O</t>
        </is>
      </c>
      <c r="E585" t="n">
        <v>0.0031</v>
      </c>
      <c r="F585" t="n">
        <v>0.08699999999999999</v>
      </c>
      <c r="G585" t="n">
        <v>0.07630000000000001</v>
      </c>
      <c r="H585" t="inlineStr">
        <is>
          <t>The code you provided is a complex Java program that appears to be part of an application for managing references in the bibliography format. It includes imports from various packages and classes related to HTTP server operations, clipboard manipulation, GUI components, data formats, concurrency handling, etc. The main functionality seems to involve interaction with these different parts of the system. 
It also</t>
        </is>
      </c>
      <c r="I585" t="n">
        <v>0.0035</v>
      </c>
      <c r="J585" t="n">
        <v>0.0286</v>
      </c>
      <c r="K585" t="n">
        <v>0.0746</v>
      </c>
      <c r="L585" t="inlineStr">
        <is>
          <t>The provided code is a Java application that serves as an HTTP server for JabRef, a bibliography management tool. It provides functionalities related to clipboard operations and formatting of entries in the Citation Author Year (CAY) style. The main purpose of this software component seems to be managing state and handling requests from clients about how to format their data into the CAY style.</t>
        </is>
      </c>
      <c r="M585" t="n">
        <v>0.0034</v>
      </c>
      <c r="N585" t="n">
        <v>0.0833</v>
      </c>
      <c r="O585" t="n">
        <v>0.2321</v>
      </c>
    </row>
    <row r="586">
      <c r="A586" t="inlineStr">
        <is>
          <t>jabref</t>
        </is>
      </c>
      <c r="B586" t="inlineStr">
        <is>
          <t>jabsrv/src/main/java/org/jabref/http/server/cayw/LocatorType.java</t>
        </is>
      </c>
      <c r="C586">
        <f>HYPERLINK("https://github.com/JabRef/jabref/blob/master/jabsrv/src/main/java/org/jabref/http/server/cayw/LocatorType.java")</f>
        <v/>
      </c>
      <c r="D586" t="inlineStr">
        <is>
          <t>The provided code is an enumeration named LocatorType that represents different types of locators used in a reference management system such as JabRef (a bibliography manager). Each enum constant corresponds to a specific type of locator with its display name and abbreviation. The complexity of this implementation is O(N) where N refers to the number of constants defined by the enumeration. This</t>
        </is>
      </c>
      <c r="E586" t="n">
        <v>0.0035</v>
      </c>
      <c r="F586" t="n">
        <v>0.0563</v>
      </c>
      <c r="G586" t="n">
        <v>0.1493</v>
      </c>
      <c r="H586" t="inlineStr">
        <is>
          <t>The given code is an enumeration in Java named LocatorType that represents different types of locators used for referencing content within a document or book. Each type has a display name and abbreviation associated with it. The complexity of this implementation is O(N).
Here's the summary: 
- There are N number of enum constants (types of locators like Page</t>
        </is>
      </c>
      <c r="I586" t="n">
        <v>0.0031</v>
      </c>
      <c r="J586" t="n">
        <v>0.0588</v>
      </c>
      <c r="K586" t="n">
        <v>0.1527</v>
      </c>
      <c r="L586" t="inlineStr">
        <is>
          <t>The provided code is a Java enum named `LocatorType` that represents different types of locators used in bibliographic references such as page numbers (e.g., "p. 78"), act names ("act 1"), appendices ("app. A"), articles ("art. B"), books ("bk. Titanic"), canons ("can. IV</t>
        </is>
      </c>
      <c r="M586" t="n">
        <v>0</v>
      </c>
      <c r="N586" t="n">
        <v>0</v>
      </c>
      <c r="O586" t="n">
        <v>0.0439</v>
      </c>
    </row>
    <row r="587">
      <c r="A587" t="inlineStr">
        <is>
          <t>jabref</t>
        </is>
      </c>
      <c r="B587" t="inlineStr">
        <is>
          <t>jabsrv/src/main/java/org/jabref/http/server/cayw/format/FormatterService.java</t>
        </is>
      </c>
      <c r="C587">
        <f>HYPERLINK("https://github.com/JabRef/jabref/blob/master/jabsrv/src/main/java/org/jabref/http/server/cayw/format/FormatterService.java")</f>
        <v/>
      </c>
      <c r="D587" t="inlineStr">
        <is>
          <t>The provided code is a Java class called FormatterService that uses the HK2 framework to provide various citation formatters based on query parameters from CAYW (Cite As You Write). The service provides different types of formatters such as NatbibFormatter, MMDFormatter, PandocFormatter, SimpleJsonFormatter and TypstFormatter. It takes in an</t>
        </is>
      </c>
      <c r="E587" t="n">
        <v>0.0038</v>
      </c>
      <c r="F587" t="n">
        <v>0.0357</v>
      </c>
      <c r="G587" t="n">
        <v>0.0833</v>
      </c>
      <c r="H587" t="inlineStr">
        <is>
          <t>The function provided is a service class for formatting citations in different styles such as "natbib", "latex", etc., based on the query parameters passed to it. The complexity of this code seems to be O(n), where n represents the number of possible formats that can be handled by the switch statement. This means that with an increase in the number of supported formats, the time</t>
        </is>
      </c>
      <c r="I587" t="n">
        <v>0.0028</v>
      </c>
      <c r="J587" t="n">
        <v>0.027</v>
      </c>
      <c r="K587" t="n">
        <v>0.073</v>
      </c>
      <c r="L587" t="inlineStr">
        <is>
          <t>The provided code is a Java service class named `FormatterService` which serves as an entry point for various formatters related to the CAYW (Citation and Attribute Your Way) system in JabRef. The main purpose of this class is to provide different formatting options based on user input via query parameters. 
It uses several switch cases to determine what formatter</t>
        </is>
      </c>
      <c r="M587" t="n">
        <v>0.0031</v>
      </c>
      <c r="N587" t="n">
        <v>0.0299</v>
      </c>
      <c r="O587" t="n">
        <v>0.1145</v>
      </c>
    </row>
    <row r="588">
      <c r="A588" t="inlineStr">
        <is>
          <t>jabref</t>
        </is>
      </c>
      <c r="B588" t="inlineStr">
        <is>
          <t>jabsrv/src/main/java/org/jabref/http/server/cayw/format/MMDFormatter.java</t>
        </is>
      </c>
      <c r="C588">
        <f>HYPERLINK("https://github.com/JabRef/jabref/blob/master/jabsrv/src/main/java/org/jabref/http/server/cayw/format/MMDFormatter.java")</f>
        <v/>
      </c>
      <c r="D588" t="inlineStr">
        <is>
          <t>The provided code is a Java implementation of the MMD (Mixed Message Delivery) formatter for JabRef's CAYW server. It implements an interface called `CAYWFormatter` and overrides two methods from it - `getMediaType()` and `format()`. The method `getMediaType()` returns MediaType.TEXT_PLAIN</t>
        </is>
      </c>
      <c r="E588" t="n">
        <v>0.0056</v>
      </c>
      <c r="F588" t="n">
        <v>0.08160000000000001</v>
      </c>
      <c r="G588" t="n">
        <v>0.0901</v>
      </c>
      <c r="H588" t="inlineStr">
        <is>
          <t>The provided code is a Java implementation of the MMD (Merge Message Delivery) formatter for JabRef's CAYW (Computer Assisted Yet Untested) system. The function `format` takes in two parameters - query params and list of entries. It processes each entry by calling formatEntry method which returns an Optional String. If present, these strings are joined</t>
        </is>
      </c>
      <c r="I588" t="n">
        <v>0.0033</v>
      </c>
      <c r="J588" t="n">
        <v>0.09520000000000001</v>
      </c>
      <c r="K588" t="n">
        <v>0.1181</v>
      </c>
      <c r="L588" t="inlineStr">
        <is>
          <t>The provided code is a Java class named `MMDFormatter` that implements the interface `CAYWFormatter` from JabRef library for formatting entries in Citation APA style using Markdown (MD) syntax.
It has two methods - 
1. The method `getMediaType()` returns MediaType.TEXT_PLAIN_TYPE</t>
        </is>
      </c>
      <c r="M588" t="n">
        <v>0.0047</v>
      </c>
      <c r="N588" t="n">
        <v>0.0408</v>
      </c>
      <c r="O588" t="n">
        <v>0.0901</v>
      </c>
    </row>
    <row r="589">
      <c r="A589" t="inlineStr">
        <is>
          <t>jabref</t>
        </is>
      </c>
      <c r="B589" t="inlineStr">
        <is>
          <t>jabsrv/src/main/java/org/jabref/http/server/cayw/format/SimpleJsonFormatter.java</t>
        </is>
      </c>
      <c r="C589">
        <f>HYPERLINK("https://github.com/JabRef/jabref/blob/master/jabsrv/src/main/java/org/jabref/http/server/cayw/format/SimpleJsonFormatter.java")</f>
        <v/>
      </c>
      <c r="D589" t="inlineStr">
        <is>
          <t>The provided code is a Java class named SimpleJsonFormatter that implements the CAYWFormatter interface from jabref library for HTTP server operations related to Citation Aggregation, Analysis and Visualization (CAYW). The formatter uses Google's GSON library for JSON serialization/deserialization. It defines methods for getting media type as APPLICATION_JSON_</t>
        </is>
      </c>
      <c r="E589" t="n">
        <v>0.0046</v>
      </c>
      <c r="F589" t="n">
        <v>0.06900000000000001</v>
      </c>
      <c r="G589" t="n">
        <v>0.1261</v>
      </c>
      <c r="H589" t="inlineStr">
        <is>
          <t>The provided code is a Java service class that implements the CAYWFormatter interface from JabRef library for formatting entries into JSON using GSON (Google's Java JSON parser). The complexity of this function appears to be O(n), where n represents the number of entries in caywEntries list as it iterates over each entry and performs operations on them. It conver</t>
        </is>
      </c>
      <c r="I589" t="n">
        <v>0.0037</v>
      </c>
      <c r="J589" t="n">
        <v>0.08699999999999999</v>
      </c>
      <c r="K589" t="n">
        <v>0.1527</v>
      </c>
      <c r="L589" t="inlineStr">
        <is>
          <t>The provided code is a Java class named `SimpleJsonFormatter` that implements an interface called `CAYWFormatter` from the package `org.jabref.http.server.cayw.format`. This class has one field of type Gson for JSON serialization and deserialization purposes. The main functionality of this class revolves around formatting entries in a</t>
        </is>
      </c>
      <c r="M589" t="n">
        <v>0.0058</v>
      </c>
      <c r="N589" t="n">
        <v>0.06900000000000001</v>
      </c>
      <c r="O589" t="n">
        <v>0.1709</v>
      </c>
    </row>
    <row r="590">
      <c r="A590" t="inlineStr">
        <is>
          <t>jabref</t>
        </is>
      </c>
      <c r="B590" t="inlineStr">
        <is>
          <t>jabsrv/src/main/java/org/jabref/http/server/cayw/format/BibLatexFormatter.java</t>
        </is>
      </c>
      <c r="C590">
        <f>HYPERLINK("https://github.com/JabRef/jabref/blob/master/jabsrv/src/main/java/org/jabref/http/server/cayw/format/BibLatexFormatter.java")</f>
        <v/>
      </c>
      <c r="D590" t="inlineStr">
        <is>
          <t>The code provided is a Java class named `BibLatexFormatter` that implements the interface `CAYWFormatter` from JabRef library for formatting bibliography entries into BibLaTeX style. It uses several parameters and methods to do this. The main functionality of this class includes setting default commands (like "cite", "autocite" or "</t>
        </is>
      </c>
      <c r="E590" t="n">
        <v>0.005</v>
      </c>
      <c r="F590" t="n">
        <v>0.0727</v>
      </c>
      <c r="G590" t="n">
        <v>0.1667</v>
      </c>
      <c r="H590" t="inlineStr">
        <is>
          <t>The provided code is a Java service class that implements the CAYWFormatter interface from JabRef software library for formatting bibliography entries into BibLaTeX format based on query parameters and list of citation entries. The complexity here is O(n), where n represents the number of citations in the input list. This implementation uses stream operations to process each entry in the</t>
        </is>
      </c>
      <c r="I590" t="n">
        <v>0.0043</v>
      </c>
      <c r="J590" t="n">
        <v>0.058</v>
      </c>
      <c r="K590" t="n">
        <v>0.1894</v>
      </c>
      <c r="L590" t="inlineStr">
        <is>
          <t>The provided code is a Java class named `BibLatexFormatter` that implements the interface `CAYWFormatter` from JabRef software library. This class has been annotated with @Service to indicate it's a service for dependency injection in HK2 framework of Jersey (JAX-RS reference implementation). 
The main purpose of this</t>
        </is>
      </c>
      <c r="M590" t="n">
        <v>0.0053</v>
      </c>
      <c r="N590" t="n">
        <v>0.07140000000000001</v>
      </c>
      <c r="O590" t="n">
        <v>0.1271</v>
      </c>
    </row>
    <row r="591">
      <c r="A591" t="inlineStr">
        <is>
          <t>jabref</t>
        </is>
      </c>
      <c r="B591" t="inlineStr">
        <is>
          <t>jabsrv/src/main/java/org/jabref/http/server/cayw/format/PandocFormatter.java</t>
        </is>
      </c>
      <c r="C591">
        <f>HYPERLINK("https://github.com/JabRef/jabref/blob/master/jabsrv/src/main/java/org/jabref/http/server/cayw/format/PandocFormatter.java")</f>
        <v/>
      </c>
      <c r="D591" t="inlineStr">
        <is>
          <t>The provided code is a Java class named PandocFormatter that implements the CAYWFormatter interface from org.jabref.http.server.cayw package. This formatter converts a list of entries into a string format using Pandoc's plain text media type (text/plain), and separates each entry with a semicolon (;). The conversion</t>
        </is>
      </c>
      <c r="E591" t="n">
        <v>0.0054</v>
      </c>
      <c r="F591" t="n">
        <v>0.06900000000000001</v>
      </c>
      <c r="G591" t="n">
        <v>0.1709</v>
      </c>
      <c r="H591" t="inlineStr">
        <is>
          <t>The provided code is a Java class named PandocFormatter that implements an interface called CAYWFormatter. This class has two methods - getMediaType() and format(), both of which are overridden from their respective interfaces. The method getMediaType returns the media type as TEXT_PLAIN_TYPE. The format method takes in query parameters and list of entries (</t>
        </is>
      </c>
      <c r="I591" t="n">
        <v>0.0045</v>
      </c>
      <c r="J591" t="n">
        <v>0.0645</v>
      </c>
      <c r="K591" t="n">
        <v>0.119</v>
      </c>
      <c r="L591" t="inlineStr">
        <is>
          <t>The provided code is a Java class named `PandocFormatter` that implements the interface `CAYWFormatter` from JabRef library for formatting entries in Cite Aid You Write (CAYW) software. The main purpose of this class is to convert list of CAYW Entries into formatted string using Pandoc syntax.
The function `</t>
        </is>
      </c>
      <c r="M591" t="n">
        <v>0.0037</v>
      </c>
      <c r="N591" t="n">
        <v>0.07140000000000001</v>
      </c>
      <c r="O591" t="n">
        <v>0.124</v>
      </c>
    </row>
    <row r="592">
      <c r="A592" t="inlineStr">
        <is>
          <t>jabref</t>
        </is>
      </c>
      <c r="B592" t="inlineStr">
        <is>
          <t>jabsrv/src/main/java/org/jabref/http/server/cayw/format/CAYWFormatter.java</t>
        </is>
      </c>
      <c r="C592">
        <f>HYPERLINK("https://github.com/JabRef/jabref/blob/master/jabsrv/src/main/java/org/jabref/http/server/cayw/format/CAYWFormatter.java")</f>
        <v/>
      </c>
      <c r="D592" t="inlineStr">
        <is>
          <t>The provided code is an interface named "CAYWFormatter". It defines two methods - getMediaType() and format(). The method getMediaType() returns a MediaType object representing the media type of the formatter. The format() method takes in CAYWQueryParams (which represents query parameters for Citation Anecdotes Year-wise), List of CAYWEntry objects</t>
        </is>
      </c>
      <c r="E592" t="n">
        <v>0.0038</v>
      </c>
      <c r="F592" t="n">
        <v>0.0357</v>
      </c>
      <c r="G592" t="n">
        <v>0.0417</v>
      </c>
      <c r="H592" t="inlineStr">
        <is>
          <t>The provided code is a Java interface named `CAYWFormatter` that defines two methods:
- The method `getMediaType()` returns the media type of the formatter as a string. This could be "application/json", for example. 
   - Complexity: O(1), because it simply retrieves and returns a value from an object'</t>
        </is>
      </c>
      <c r="I592" t="n">
        <v>0.0046</v>
      </c>
      <c r="J592" t="n">
        <v>0.0727</v>
      </c>
      <c r="K592" t="n">
        <v>0.08400000000000001</v>
      </c>
      <c r="L592" t="inlineStr">
        <is>
          <t>The provided code is a Java interface named `CAYWFormatter` that defines the functionality of an object responsible for formatting data in accordance with CAYW (Cite As You Write) specifications. The main purpose of this class is to provide a media type and method to convert query parameters and list of entries into a formatted string representation. 
Inputs include instance</t>
        </is>
      </c>
      <c r="M592" t="n">
        <v>0.0037</v>
      </c>
      <c r="N592" t="n">
        <v>0.0597</v>
      </c>
      <c r="O592" t="n">
        <v>0.1145</v>
      </c>
    </row>
    <row r="593">
      <c r="A593" t="inlineStr">
        <is>
          <t>jabref</t>
        </is>
      </c>
      <c r="B593" t="inlineStr">
        <is>
          <t>jabsrv/src/main/java/org/jabref/http/server/cayw/format/NatbibFormatter.java</t>
        </is>
      </c>
      <c r="C593">
        <f>HYPERLINK("https://github.com/JabRef/jabref/blob/master/jabsrv/src/main/java/org/jabref/http/server/cayw/format/NatbibFormatter.java")</f>
        <v/>
      </c>
      <c r="D593" t="inlineStr">
        <is>
          <t>The code provided is a Java class named NatbibFormatter that implements the CAYWFormatter interface from JabRef's HTTP server module for citation formatting using NATBIB style. The formatter uses an optional command parameter to determine which citation style should be used (if no specific command is given, it defaults to defaultCommand). It formats entries in plain text and</t>
        </is>
      </c>
      <c r="E593" t="n">
        <v>0.0042</v>
      </c>
      <c r="F593" t="n">
        <v>0.0606</v>
      </c>
      <c r="G593" t="n">
        <v>0.155</v>
      </c>
      <c r="H593" t="inlineStr">
        <is>
          <t>The code you provided is a Java service class that implements the CAYW (Citation AYet Work) Formatter interface from JabRef library for formatting citation entries in different styles according to user's preference or default style if no specific command was given. The complexity of this implementation is O(n), where n represents the number of citation entries being processed by the function `</t>
        </is>
      </c>
      <c r="I593" t="n">
        <v>0.0029</v>
      </c>
      <c r="J593" t="n">
        <v>0.08450000000000001</v>
      </c>
      <c r="K593" t="n">
        <v>0.1119</v>
      </c>
      <c r="L593" t="inlineStr">
        <is>
          <t>The provided code is a Java class named `NatbibFormatter` that implements the interface `CAYWFormatter` from JabRef software library. This class has one main purpose which is to format citations according to specific commands given in query parameters and entries of CAYW (Controlled Access to Your Web) database. 
It takes as input two</t>
        </is>
      </c>
      <c r="M593" t="n">
        <v>0.005</v>
      </c>
      <c r="N593" t="n">
        <v>0.0667</v>
      </c>
      <c r="O593" t="n">
        <v>0.1613</v>
      </c>
    </row>
    <row r="594">
      <c r="A594" t="inlineStr">
        <is>
          <t>jabref</t>
        </is>
      </c>
      <c r="B594" t="inlineStr">
        <is>
          <t>jabsrv/src/main/java/org/jabref/http/server/cayw/format/TypstFormatter.java</t>
        </is>
      </c>
      <c r="C594">
        <f>HYPERLINK("https://github.com/JabRef/jabref/blob/master/jabsrv/src/main/java/org/jabref/http/server/cayw/format/TypstFormatter.java")</f>
        <v/>
      </c>
      <c r="D594" t="inlineStr">
        <is>
          <t>The provided code is a Java class named TypstFormatter that implements the CAYWFormatter interface from JabRef's http server package for citation formatting. The getMediaType method returns MediaType.TEXT_PLAIN_TYPE indicating it produces plain text output. The format method takes in query parameters and a list of entries (each represented by an instance of CAY</t>
        </is>
      </c>
      <c r="E594" t="n">
        <v>0.0042</v>
      </c>
      <c r="F594" t="n">
        <v>0.0625</v>
      </c>
      <c r="G594" t="n">
        <v>0.0806</v>
      </c>
      <c r="H594" t="inlineStr">
        <is>
          <t>The provided code is a Java implementation of the CAYW (Cross-Author Year with Works Cited) formatting algorithm for bibliographic references in JabRef, an open-source BibTeX reference manager. The complexity of this function appears to be O(n), where n represents the number of entries being processed by the stream pipeline. This suggests that as more data is added</t>
        </is>
      </c>
      <c r="I594" t="n">
        <v>0.0032</v>
      </c>
      <c r="J594" t="n">
        <v>0.0588</v>
      </c>
      <c r="K594" t="n">
        <v>0.1163</v>
      </c>
      <c r="L594" t="inlineStr">
        <is>
          <t>The provided code is a Java class named `TypstFormatter` that implements an interface called `CAYWFormatter`. This class overrides two methods from the interface and provides their implementations. 
The main purpose of this class seems to be formatting entries in Cite Anything You Want (CAYW) style. The method `getMediaType()`</t>
        </is>
      </c>
      <c r="M594" t="n">
        <v>0.005</v>
      </c>
      <c r="N594" t="n">
        <v>0.07140000000000001</v>
      </c>
      <c r="O594" t="n">
        <v>0.125</v>
      </c>
    </row>
    <row r="595">
      <c r="A595" t="inlineStr">
        <is>
          <t>jabref</t>
        </is>
      </c>
      <c r="B595" t="inlineStr">
        <is>
          <t>jabsrv/src/main/java/org/jabref/http/server/cayw/gui/SelectedItemsContainer.java</t>
        </is>
      </c>
      <c r="C595">
        <f>HYPERLINK("https://github.com/JabRef/jabref/blob/master/jabsrv/src/main/java/org/jabref/http/server/cayw/gui/SelectedItemsContainer.java")</f>
        <v/>
      </c>
      <c r="D595" t="inlineStr">
        <is>
          <t>The provided code is a JavaFX GUI component that displays selected items in a FlowPane (a layout container). The `selectedItems` are represented by chips and each chip contains information about an object of type CAYWEntry. 
When the list of `items` changes, this class adds or removes chips to reflect these changes. It uses ListChangeListeners to listen for</t>
        </is>
      </c>
      <c r="E595" t="n">
        <v>0.0032</v>
      </c>
      <c r="F595" t="n">
        <v>0.0308</v>
      </c>
      <c r="G595" t="n">
        <v>0.1163</v>
      </c>
      <c r="H595" t="inlineStr">
        <is>
          <t>The code you provided is a JavaFX GUI component for displaying selected items from an Observable list of CAYWEntries. The complexity of the `setup` method appears to be O(n), where n represents the number of elements in the observable list. This occurs because it iterates over each element in the list and calls the addChip method on them. If new entries are</t>
        </is>
      </c>
      <c r="I595" t="n">
        <v>0.0035</v>
      </c>
      <c r="J595" t="n">
        <v>0.0563</v>
      </c>
      <c r="K595" t="n">
        <v>0.0746</v>
      </c>
      <c r="L595" t="inlineStr">
        <is>
          <t>The provided code is a JavaFX GUI component named 'SelectedItemsContainer'. This class extends the FlowPane and provides functionality to display and manage a list of CAYWEntries (custom objects). The purpose of this class seems to be to represent selected items in an organized manner within a graphical user interface.
Here's what it does step by step: 
1</t>
        </is>
      </c>
      <c r="M595" t="n">
        <v>0.0042</v>
      </c>
      <c r="N595" t="n">
        <v>0.09089999999999999</v>
      </c>
      <c r="O595" t="n">
        <v>0.1163</v>
      </c>
    </row>
    <row r="596">
      <c r="A596" t="inlineStr">
        <is>
          <t>jabref</t>
        </is>
      </c>
      <c r="B596" t="inlineStr">
        <is>
          <t>jabsrv/src/main/java/org/jabref/http/server/cayw/gui/SearchDialog.java</t>
        </is>
      </c>
      <c r="C596">
        <f>HYPERLINK("https://github.com/JabRef/jabref/blob/master/jabsrv/src/main/java/org/jabref/http/server/cayw/gui/SearchDialog.java")</f>
        <v/>
      </c>
      <c r="D596" t="inlineStr">
        <is>
          <t>The code provided is a Java class named `SearchDialog` which serves as the dialog for searching in JabRef software application. It uses JavaFX library to create GUI components and implements logging functionality using SLF4J logger factory. The search operation has an expected time complexity of O(N), where N represents number of elements being searched through.
It includes several import statements including</t>
        </is>
      </c>
      <c r="E596" t="n">
        <v>0.0042</v>
      </c>
      <c r="F596" t="n">
        <v>0.0857</v>
      </c>
      <c r="G596" t="n">
        <v>0.1504</v>
      </c>
      <c r="H596" t="inlineStr">
        <is>
          <t>The provided code is a Java class named SearchDialog that contains several static final variables and methods related to logging and GUI dialog for searching in the JabRef software application. The complexity of this code can be considered as O(N), where N represents the number of lines of code. It includes import statements for various libraries used by the program such as java.io, java.util, java.</t>
        </is>
      </c>
      <c r="I596" t="n">
        <v>0.0033</v>
      </c>
      <c r="J596" t="n">
        <v>0.0263</v>
      </c>
      <c r="K596" t="n">
        <v>0.146</v>
      </c>
      <c r="L596" t="inlineStr">
        <is>
          <t>The provided code is a JavaFX implementation of the Search Dialog feature in JabRef (a bibliography management tool). The main purpose of this class seems to be creating and managing an interactive search dialog box for users to input their search queries. 
It uses several import statements including java.io, java.util, java.util.function, javafx.col</t>
        </is>
      </c>
      <c r="M596" t="n">
        <v>0.0035</v>
      </c>
      <c r="N596" t="n">
        <v>0.0615</v>
      </c>
      <c r="O596" t="n">
        <v>0.1613</v>
      </c>
    </row>
    <row r="597">
      <c r="A597" t="inlineStr">
        <is>
          <t>jabref</t>
        </is>
      </c>
      <c r="B597" t="inlineStr">
        <is>
          <t>jabsrv/src/main/java/org/jabref/http/server/cayw/gui/SearchResultContainer.java</t>
        </is>
      </c>
      <c r="C597">
        <f>HYPERLINK("https://github.com/JabRef/jabref/blob/master/jabsrv/src/main/java/org/jabref/http/server/cayw/gui/SearchResultContainer.java")</f>
        <v/>
      </c>
      <c r="D597" t="inlineStr">
        <is>
          <t>The provided code is a JavaFX-based GUI component for displaying search results from the CAYW (Citation Analysis in Your Web Browser). This class extends `ListView` and represents a container that holds CAYW entries. The maximum number of lines displayed per entry is set to 3 with an estimated character limit per line being 80 characters. The tooltip width is</t>
        </is>
      </c>
      <c r="E597" t="n">
        <v>0.0037</v>
      </c>
      <c r="F597" t="n">
        <v>0.0588</v>
      </c>
      <c r="G597" t="n">
        <v>0.07630000000000001</v>
      </c>
      <c r="H597" t="inlineStr">
        <is>
          <t>The code you provided is a JavaFX ListView implementation for displaying search results from the CAYW (Citation and Attachment Workflow). It sets up a list view with given entries and binds it to selected entries observable list. The complexity of this operation is O(n), where n represents the number of items in the input data set. This means that as more elements are added</t>
        </is>
      </c>
      <c r="I597" t="n">
        <v>0.0034</v>
      </c>
      <c r="J597" t="n">
        <v>0.0548</v>
      </c>
      <c r="K597" t="n">
        <v>0.1103</v>
      </c>
      <c r="L597" t="inlineStr">
        <is>
          <t>The code provided is a Java class named SearchResultContainer that extends ListView and represents the UI component for displaying search results in JabRef application. It manages the selection of multiple CAYW (Citation Analysis Using Web) entries from a list view. The purpose of this class is to provide an interactive interface for users to select and manage their chosen entries. This class also sets up the</t>
        </is>
      </c>
      <c r="M597" t="n">
        <v>0.0033</v>
      </c>
      <c r="N597" t="n">
        <v>0.0541</v>
      </c>
      <c r="O597" t="n">
        <v>0.1087</v>
      </c>
    </row>
    <row r="598">
      <c r="A598" t="inlineStr">
        <is>
          <t>jabref</t>
        </is>
      </c>
      <c r="B598" t="inlineStr">
        <is>
          <t>jabsrv/src/main/java/org/jabref/http/server/cayw/gui/CAYWEntry.java</t>
        </is>
      </c>
      <c r="C598">
        <f>HYPERLINK("https://github.com/JabRef/jabref/blob/master/jabsrv/src/main/java/org/jabref/http/server/cayw/gui/CAYWEntry.java")</f>
        <v/>
      </c>
      <c r="D598" t="inlineStr">
        <is>
          <t>The provided code is a Java class named `CAYWEntry` which represents an entry in the system with properties such as Bibliography Entry (`bibEntry`), Label (`label`), Short Label (`shortLabel`), Description (`description`), and Citation Properties (`citationProperties`). The class overrides the equals method to compare two instances of CAY</t>
        </is>
      </c>
      <c r="E598" t="n">
        <v>0.004</v>
      </c>
      <c r="F598" t="n">
        <v>0.037</v>
      </c>
      <c r="G598" t="n">
        <v>0.0424</v>
      </c>
      <c r="H598" t="inlineStr">
        <is>
          <t>The provided code is a Java class named "CAYWEntry" that represents an entry in the system with various properties such as BibEntry (which could be any type of citation), label, shortLabel, description and CitationProperties. The equals method compares two instances based on their bibliographic entries while hashCode generates a unique identifier for each instance.
In terms</t>
        </is>
      </c>
      <c r="I598" t="n">
        <v>0.0033</v>
      </c>
      <c r="J598" t="n">
        <v>0.0312</v>
      </c>
      <c r="K598" t="n">
        <v>0.0391</v>
      </c>
      <c r="L598" t="inlineStr">
        <is>
          <t>The provided code is a Java class named `CAYWEntry` that represents an entry in the Citation Aid You Will (CAYW). This class encapsulates information about a Bibliography Entry and provides methods for comparison based on this entry's bibliographic data. The main purpose of this class seems to be managing citation properties related to CAYW such as label</t>
        </is>
      </c>
      <c r="M598" t="n">
        <v>0.0038</v>
      </c>
      <c r="N598" t="n">
        <v>0.0606</v>
      </c>
      <c r="O598" t="n">
        <v>0.0775</v>
      </c>
    </row>
    <row r="599">
      <c r="A599" t="inlineStr">
        <is>
          <t>jabref</t>
        </is>
      </c>
      <c r="B599" t="inlineStr">
        <is>
          <t>jabsrv/src/main/java/org/jabref/http/server/cayw/gui/SearchField.java</t>
        </is>
      </c>
      <c r="C599">
        <f>HYPERLINK("https://github.com/JabRef/jabref/blob/master/jabsrv/src/main/java/org/jabref/http/server/cayw/gui/SearchField.java")</f>
        <v/>
      </c>
      <c r="D599" t="inlineStr">
        <is>
          <t>The provided code is a Java class named SearchField that extends the TextField class from javafx. It's used to filter a list of objects (in this case CAYWEntry instances) based on user input in a text field. The filtering operation occurs after a delay specified by DELAY_IN_MS constant and it uses a Function object for applying custom filters. This implementation does not</t>
        </is>
      </c>
      <c r="E599" t="n">
        <v>0.0035</v>
      </c>
      <c r="F599" t="n">
        <v>0.0548</v>
      </c>
      <c r="G599" t="n">
        <v>0.1493</v>
      </c>
      <c r="H599" t="inlineStr">
        <is>
          <t>The provided code is a Java class named SearchField that extends TextField from the javafx library. This class implements an autocomplete feature for search fields in software applications using filtering and delay functionality to provide real time suggestions as users type into text fields. The complexity of this implementation is O(n), where n represents the number of entries in the list being filtered based on user input.</t>
        </is>
      </c>
      <c r="I599" t="n">
        <v>0.0041</v>
      </c>
      <c r="J599" t="n">
        <v>0.0789</v>
      </c>
      <c r="K599" t="n">
        <v>0.1799</v>
      </c>
      <c r="L599" t="inlineStr">
        <is>
          <t>The provided code is a custom JavaFX TextField subclass named SearchField that filters a list of CAYWEntry objects based on user input. This class accomplishes this by adding an event listener to the text property of the TextField which waits for a certain delay (specified as DELAY_IN_MS) before applying a filter function to the new value of</t>
        </is>
      </c>
      <c r="M599" t="n">
        <v>0.0032</v>
      </c>
      <c r="N599" t="n">
        <v>0.0597</v>
      </c>
      <c r="O599" t="n">
        <v>0.0775</v>
      </c>
    </row>
    <row r="600">
      <c r="A600" t="inlineStr">
        <is>
          <t>jabref</t>
        </is>
      </c>
      <c r="B600" t="inlineStr">
        <is>
          <t>jabsrv/src/main/java/org/jabref/http/server/cayw/gui/CitationPropertiesPopup.java</t>
        </is>
      </c>
      <c r="C600">
        <f>HYPERLINK("https://github.com/JabRef/jabref/blob/master/jabsrv/src/main/java/org/jabref/http/server/cayw/gui/CitationPropertiesPopup.java")</f>
        <v/>
      </c>
      <c r="D600" t="inlineStr">
        <is>
          <t>The provided code is a JavaFX GUI popup for displaying citation properties of an entry in the JabRef software library. It creates labels and checkboxes to display information about the title, author, year, etc., based on data from the CitationProperties object associated with the given CAYW Entry. The complexity of this function appears to be O(N), where N represents</t>
        </is>
      </c>
      <c r="E600" t="n">
        <v>0.0037</v>
      </c>
      <c r="F600" t="n">
        <v>0.0588</v>
      </c>
      <c r="G600" t="n">
        <v>0.1527</v>
      </c>
      <c r="H600" t="inlineStr">
        <is>
          <t>The code you provided is a JavaFX GUI popup for displaying citation properties of an entry in a bibliography management system named JabRef. The functionality includes showing the title and author labels of the entry along with other related information such as abstract, keywords etc., based on user's selection from dropdown menu.
It has two main components - Citation Properties Pop</t>
        </is>
      </c>
      <c r="I600" t="n">
        <v>0.0036</v>
      </c>
      <c r="J600" t="n">
        <v>0.058</v>
      </c>
      <c r="K600" t="n">
        <v>0.0752</v>
      </c>
      <c r="L600" t="inlineStr">
        <is>
          <t>The provided code is a JavaFX GUI component for displaying and editing citation properties of an entry in the CAYW (Continuous Abstract Yeti Web) system. The main purpose of this class extends from Popup which allows users to view or edit information about citations. 
It initializes with two labels - one showing the title of the entry and another</t>
        </is>
      </c>
      <c r="M600" t="n">
        <v>0.0031</v>
      </c>
      <c r="N600" t="n">
        <v>0.0606</v>
      </c>
      <c r="O600" t="n">
        <v>0.07630000000000001</v>
      </c>
    </row>
    <row r="601">
      <c r="A601" t="inlineStr">
        <is>
          <t>jabref</t>
        </is>
      </c>
      <c r="B601" t="inlineStr">
        <is>
          <t>jabsrv/src/main/java/org/jabref/http/server/services/ServerUtils.java</t>
        </is>
      </c>
      <c r="C601">
        <f>HYPERLINK("https://github.com/JabRef/jabref/blob/master/jabsrv/src/main/java/org/jabref/http/server/services/ServerUtils.java")</f>
        <v/>
      </c>
      <c r="D601" t="inlineStr">
        <is>
          <t>The provided code is a utility class named ServerUtils that provides static methods for handling server-related tasks such as logging and file path manipulation. The complexity of the getLibraryPath method appears to be O(N), indicating linear time complexity due to its implementation involving iteration over an array or list with N elements. It reads from a README file located in the repository containing backend software components about the</t>
        </is>
      </c>
      <c r="E601" t="n">
        <v>0.0032</v>
      </c>
      <c r="F601" t="n">
        <v>0.0256</v>
      </c>
      <c r="G601" t="n">
        <v>0.1071</v>
      </c>
      <c r="H601" t="inlineStr">
        <is>
          <t>The provided code is a Java class named `ServerUtils` that contains several utility methods for handling server operations such as logging and getting the library path of a given README file. The complexity of these functions are O(N), where N represents the number of characters in the README file. They perform different tasks like reading from an input stream to get the content of the README file or creating</t>
        </is>
      </c>
      <c r="I601" t="n">
        <v>0.0026</v>
      </c>
      <c r="J601" t="n">
        <v>0.0256</v>
      </c>
      <c r="K601" t="n">
        <v>0.0709</v>
      </c>
      <c r="L601" t="inlineStr">
        <is>
          <t>```plaintext
The provided code is a Java class named "ServerUtils" that provides utility functions for handling server operations related to managing and importing BibTeX files into the JabRef database system. 
It uses several libraries such as jakarta.ws.rs (Java API for RESTful Web Services) and org.jspecify (</t>
        </is>
      </c>
      <c r="M601" t="n">
        <v>0.004</v>
      </c>
      <c r="N601" t="n">
        <v>0.07140000000000001</v>
      </c>
      <c r="O601" t="n">
        <v>0.0847</v>
      </c>
    </row>
    <row r="602">
      <c r="A602" t="inlineStr">
        <is>
          <t>jabref</t>
        </is>
      </c>
      <c r="B602" t="inlineStr">
        <is>
          <t>jabsrv/src/main/java/org/jabref/http/server/services/FilesToServe.java</t>
        </is>
      </c>
      <c r="C602">
        <f>HYPERLINK("https://github.com/JabRef/jabref/blob/master/jabsrv/src/main/java/org/jabref/http/server/services/FilesToServe.java")</f>
        <v/>
      </c>
      <c r="D602" t="inlineStr">
        <is>
          <t>The provided code is a Java class named `FilesToServe` that acts as a service for serving files to the JabRef application. This class has been annotated with `@Singleton` which means it's designed to be instantiated only once per JVM and can provide global access points throughout the system. The class contains methods related to setting and getting file paths (represented</t>
        </is>
      </c>
      <c r="E602" t="n">
        <v>0.0036</v>
      </c>
      <c r="F602" t="n">
        <v>0.058</v>
      </c>
      <c r="G602" t="n">
        <v>0.07580000000000001</v>
      </c>
      <c r="H602" t="inlineStr">
        <is>
          <t>The provided code is a Java class named "FilesToServe". This class has three methods - `setFilesToServe` to set the list of files that need to be served, `getFilesToServe` to get the current list of files being served and `isEmpty` which checks if the file list is empty or null. The complexity of these operations are O(1)</t>
        </is>
      </c>
      <c r="I602" t="n">
        <v>0.0039</v>
      </c>
      <c r="J602" t="n">
        <v>0.0625</v>
      </c>
      <c r="K602" t="n">
        <v>0.0781</v>
      </c>
      <c r="L602" t="inlineStr">
        <is>
          <t>The provided code is a Java class named FilesToServe that serves as a service for managing files to be served in an application. The purpose of this class is to hold and manage the list of file paths (represented by Path objects) which are intended for serving. It provides methods to set and get these file paths, as well as check if they're empty or not</t>
        </is>
      </c>
      <c r="M602" t="n">
        <v>0.0028</v>
      </c>
      <c r="N602" t="n">
        <v>0.0533</v>
      </c>
      <c r="O602" t="n">
        <v>0.0725</v>
      </c>
    </row>
    <row r="603">
      <c r="A603" t="inlineStr">
        <is>
          <t>jabref</t>
        </is>
      </c>
      <c r="B603" t="inlineStr">
        <is>
          <t>jabsrv/src/main/java/org/jabref/http/server/resources/LibraryResource.java</t>
        </is>
      </c>
      <c r="C603">
        <f>HYPERLINK("https://github.com/JabRef/jabref/blob/master/jabsrv/src/main/java/org/jabref/http/server/resources/LibraryResource.java")</f>
        <v/>
      </c>
      <c r="D603" t="inlineStr">
        <is>
          <t>ThegivenJava code is a RESTful API endpoint for serving files and data related to Bibliography Entries (BibEntries). It uses JAX-RS annotations (@GET, @POST etc.) for defining HTTP methods that the server can respond to. The endpoints are defined under different paths (@Path("/entries")), each of which corresponds to specific functionality like fetching</t>
        </is>
      </c>
      <c r="E603" t="n">
        <v>0.0043</v>
      </c>
      <c r="F603" t="n">
        <v>0.0328</v>
      </c>
      <c r="G603" t="n">
        <v>0.0813</v>
      </c>
      <c r="H603" t="inlineStr">
        <is>
          <t>The code you provided is a Java class that defines an HTTP server resource for handling requests related to the JabRef bibliography management software. The resource provides methods for different operations like GET and POST on specific paths ("/", "/{id}"). It also uses GSON library for JSON serialization/deserialization of BibEntryDTO objects.
The complexity of this</t>
        </is>
      </c>
      <c r="I603" t="n">
        <v>0.0033</v>
      </c>
      <c r="J603" t="n">
        <v>0.0635</v>
      </c>
      <c r="K603" t="n">
        <v>0.1181</v>
      </c>
      <c r="L603" t="inlineStr">
        <is>
          <t>ThegivenJava code is a RESTful API endpoint that serves bibliographic data in JSON format over HTTP using JAX-RS (Java API for RESTful Web Services). It's part of the larger JabRef project and uses dependency injection via Afterburner to manage resources. The purpose of this class seems to be to handle GET requests at the "/entries/{id}"</t>
        </is>
      </c>
      <c r="M603" t="n">
        <v>0.0033</v>
      </c>
      <c r="N603" t="n">
        <v>0.0303</v>
      </c>
      <c r="O603" t="n">
        <v>0.1181</v>
      </c>
    </row>
    <row r="604">
      <c r="A604" t="inlineStr">
        <is>
          <t>jabref</t>
        </is>
      </c>
      <c r="B604" t="inlineStr">
        <is>
          <t>jabsrv/src/main/java/org/jabref/http/server/resources/MapResource.java</t>
        </is>
      </c>
      <c r="C604">
        <f>HYPERLINK("https://github.com/JabRef/jabref/blob/master/jabsrv/src/main/java/org/jabref/http/server/resources/MapResource.java")</f>
        <v/>
      </c>
      <c r="D604" t="inlineStr">
        <is>
          <t>This code defines a RESTful resource class named `MapResource` that handles HTTP GET and PUT requests for the "/libraries/{id}/map" path in JabRef's server application. The resource is annotated with `@Path("libraries/{id}/map")` to indicate its URL pattern. It uses dependency injection via Jakarta EE (Java E</t>
        </is>
      </c>
      <c r="E604" t="n">
        <v>0.005</v>
      </c>
      <c r="F604" t="n">
        <v>0.06900000000000001</v>
      </c>
      <c r="G604" t="n">
        <v>0.1293</v>
      </c>
      <c r="H604" t="inlineStr">
        <is>
          <t>This repository contains backend software components that implement core algorithms. The MapResource class is a RESTful resource for managing the mapping of libraries and their associated .jmp files to corresponding .bib files. It provides endpoints for getting (GET), updating (PUT), and deleting (.jmp file mappings).
# Complexity Analysis 
- Time complexity: O(N</t>
        </is>
      </c>
      <c r="I604" t="n">
        <v>0.005</v>
      </c>
      <c r="J604" t="n">
        <v>0.1695</v>
      </c>
      <c r="K604" t="n">
        <v>0.3439</v>
      </c>
      <c r="L604" t="inlineStr">
        <is>
          <t>```Java
package org.jabref.http.server.resources;
import java.io.IOException;
import java.nio.file.Files;
import org.jabref.http.SrvStateManager;
import org.jabref.http.server.services.FilesToServe;
import org.jabref</t>
        </is>
      </c>
      <c r="M604" t="n">
        <v>0</v>
      </c>
      <c r="N604" t="n">
        <v>0</v>
      </c>
      <c r="O604" t="n">
        <v>0</v>
      </c>
    </row>
    <row r="605">
      <c r="A605" t="inlineStr">
        <is>
          <t>jabref</t>
        </is>
      </c>
      <c r="B605" t="inlineStr">
        <is>
          <t>jabsrv/src/main/java/org/jabref/http/server/resources/EntriesResource.java</t>
        </is>
      </c>
      <c r="C605">
        <f>HYPERLINK("https://github.com/JabRef/jabref/blob/master/jabsrv/src/main/java/org/jabref/http/server/resources/EntriesResource.java")</f>
        <v/>
      </c>
      <c r="D605" t="inlineStr">
        <is>
          <t>ThegivenJava code is a RESTful API resource class that handles HTTP requests related to serving PDF files linked with BibTeX entries in the JabRef reference management software. It uses GSON for JSON serialization/deserialization and Java's built-in NIO (New Input/Output) package for file handling. The main functionalities include GETting a list of all</t>
        </is>
      </c>
      <c r="E605" t="n">
        <v>0.0035</v>
      </c>
      <c r="F605" t="n">
        <v>0.0625</v>
      </c>
      <c r="G605" t="n">
        <v>0.0806</v>
      </c>
      <c r="H605" t="inlineStr">
        <is>
          <t>The provided code is a Java-based web server application that handles HTTP requests and responses for various operations related to the management of references in a Bibliography Database (BibDatabase). It uses RESTful principles where GET and POST methods are used for different actions like fetching entries or adding new ones respectively. The complexity of this implementation can be considered as O(N), with N representing the</t>
        </is>
      </c>
      <c r="I605" t="n">
        <v>0.0028</v>
      </c>
      <c r="J605" t="n">
        <v>0.0533</v>
      </c>
      <c r="K605" t="n">
        <v>0.146</v>
      </c>
      <c r="L605" t="inlineStr">
        <is>
          <t>ThegivenJava code is a RESTful API endpoint for handling HTTP requests related to serving files in JabRef, an open-source bibliography reference manager. It provides two main functionalities - GET and POST methods. The GET method retrieves information about linked PDF files associated with specific entries in the database while the POST method adds new links or updates existing ones.
It takes</t>
        </is>
      </c>
      <c r="M605" t="n">
        <v>0.003</v>
      </c>
      <c r="N605" t="n">
        <v>0.058</v>
      </c>
      <c r="O605" t="n">
        <v>0.0752</v>
      </c>
    </row>
    <row r="606">
      <c r="A606" t="inlineStr">
        <is>
          <t>jabref</t>
        </is>
      </c>
      <c r="B606" t="inlineStr">
        <is>
          <t>jabsrv/src/main/java/org/jabref/http/server/resources/LibrariesResource.java</t>
        </is>
      </c>
      <c r="C606">
        <f>HYPERLINK("https://github.com/JabRef/jabref/blob/master/jabsrv/src/main/java/org/jabref/http/server/resources/LibrariesResource.java")</f>
        <v/>
      </c>
      <c r="D606" t="inlineStr">
        <is>
          <t>The provided code is a RESTful API resource class for managing and serving libraries in the JabRef application. It uses dependency injection to inject instances of SrvStateManager (manages server state), FilesToServe (handles files that need to be served), and Gson (for JSON serialization/deserialization). The get method retrieves all open databases or files to serve</t>
        </is>
      </c>
      <c r="E606" t="n">
        <v>0.0034</v>
      </c>
      <c r="F606" t="n">
        <v>0.0317</v>
      </c>
      <c r="G606" t="n">
        <v>0.0794</v>
      </c>
      <c r="H606" t="inlineStr">
        <is>
          <t>The provided code is a Java RESTful API endpoint that serves library information in JSON format from an injected FilesToServe object (which contains the list of files to serve). It uses GSON for serialization/deserialization and JAX-RS for handling HTTP requests and responses. The complexity is O(N), where N represents the number of open databases as fetched by s</t>
        </is>
      </c>
      <c r="I606" t="n">
        <v>0.0031</v>
      </c>
      <c r="J606" t="n">
        <v>0.029</v>
      </c>
      <c r="K606" t="n">
        <v>0.0769</v>
      </c>
      <c r="L606" t="inlineStr">
        <is>
          <t>The provided code defines a RESTful resource class `LibrariesResource` in the JabRef application that serves as an interface for handling HTTP GET requests related to library files. The main purpose of this class is to provide JSON data representing the paths of all open databases or specific files specified by users through the 'filesToServe' object when available. If not, it defaults to providing information</t>
        </is>
      </c>
      <c r="M606" t="n">
        <v>0</v>
      </c>
      <c r="N606" t="n">
        <v>0.0278</v>
      </c>
      <c r="O606" t="n">
        <v>0.0368</v>
      </c>
    </row>
    <row r="607">
      <c r="A607" t="inlineStr">
        <is>
          <t>jabref</t>
        </is>
      </c>
      <c r="B607" t="inlineStr">
        <is>
          <t>jabsrv/src/main/java/org/jabref/http/server/resources/RootResource.java</t>
        </is>
      </c>
      <c r="C607">
        <f>HYPERLINK("https://github.com/JabRef/jabref/blob/master/jabsrv/src/main/java/org/jabref/http/server/resources/RootResource.java")</f>
        <v/>
      </c>
      <c r="D607" t="inlineStr">
        <is>
          <t>The code provided is a simple RESTful API resource class in Java using the JAX-RS (Java API for RESTful Web Services) framework from Jakarta EE. The RootResource class has one method get() which returns an HTML string when accessed via HTTP GET request at "/". This page displays a message indicating that the JabRef http API runs and provides links to</t>
        </is>
      </c>
      <c r="E607" t="n">
        <v>0.0036</v>
      </c>
      <c r="F607" t="n">
        <v>0.058</v>
      </c>
      <c r="G607" t="n">
        <v>0.1921</v>
      </c>
      <c r="H607" t="inlineStr">
        <is>
          <t>ThegivenJava code is a simple RESTful API service using JAX-RS (Jakarta). This service provides an HTML page when accessed via GET request on the root path "/". The function `get()` returns a string containing html content which displays "JabRef http API runs. Please navigate to libraries.". It produces text/html media type and has O(N</t>
        </is>
      </c>
      <c r="I607" t="n">
        <v>0.004</v>
      </c>
      <c r="J607" t="n">
        <v>0.09379999999999999</v>
      </c>
      <c r="K607" t="n">
        <v>0.119</v>
      </c>
      <c r="L607" t="inlineStr">
        <is>
          <t>The given code is a Java RESTful API that serves as the root resource for JabRef http server application. It provides an HTML page with instructions on how to navigate to 'libraries'. The main functionality of this class revolves around handling HTTP GET requests and producing TEXT_HTML media type responses. This summary does not include details about other methods or classes in the provided source code file</t>
        </is>
      </c>
      <c r="M607" t="n">
        <v>0.0036</v>
      </c>
      <c r="N607" t="n">
        <v>0.0526</v>
      </c>
      <c r="O607" t="n">
        <v>0.1079</v>
      </c>
    </row>
    <row r="608">
      <c r="A608" t="inlineStr">
        <is>
          <t>jabref</t>
        </is>
      </c>
      <c r="B608" t="inlineStr">
        <is>
          <t>jabsrv/src/main/java/org/jabref/http/server/resources/EntryResource.java</t>
        </is>
      </c>
      <c r="C608">
        <f>HYPERLINK("https://github.com/JabRef/jabref/blob/master/jabsrv/src/main/java/org/jabref/http/server/resources/EntryResource.java")</f>
        <v/>
      </c>
      <c r="D608" t="inlineStr">
        <is>
          <t>ThegivenJava code is a RESTful API service that handles HTTP requests related to linked files in the JabRef application. It provides endpoints for uploading and retrieving these files using POST and GET methods respectively. The complexity of this implementation appears to be O(N), where N represents some form of data size or number of entries being processed. This could potentially represent time complexity as well</t>
        </is>
      </c>
      <c r="E608" t="n">
        <v>0.0033</v>
      </c>
      <c r="F608" t="n">
        <v>0.0541</v>
      </c>
      <c r="G608" t="n">
        <v>0.146</v>
      </c>
      <c r="H608" t="inlineStr">
        <is>
          <t>ThegivenJava codeisimplementingseveralHTTPmethodsforhandlingrequestsrelatedtofilesuploadanddownloadsinajavaapplication.ItusesvariousclassesfromJavaservletAPIincluding`@GET`, `@POST` and othersalongwithotherlibrarieslikeJabRef. The main functionality it implements is the addition of two numbers using a function named 'add'.</t>
        </is>
      </c>
      <c r="I608" t="n">
        <v>0.012</v>
      </c>
      <c r="J608" t="n">
        <v>0.129</v>
      </c>
      <c r="K608" t="n">
        <v>0.1613</v>
      </c>
      <c r="L608" t="inlineStr">
        <is>
          <t>The code provided is a Java class named `HttpResource` that serves as an HTTP resource for handling requests related to linked files in the JabRef application. It uses several dependencies from other packages such as java.io, java.nio.files, java.time and jakarta.ws.rs (JAX-RS).
Here's its main functionality summary</t>
        </is>
      </c>
      <c r="M608" t="n">
        <v>0.0048</v>
      </c>
      <c r="N608" t="n">
        <v>0.0323</v>
      </c>
      <c r="O608" t="n">
        <v>0.0847</v>
      </c>
    </row>
    <row r="609">
      <c r="A609" t="inlineStr">
        <is>
          <t>jabref</t>
        </is>
      </c>
      <c r="B609" t="inlineStr">
        <is>
          <t>jabsrv/src/main/java/org/jabref/http/dto/BibEntryDTO.java</t>
        </is>
      </c>
      <c r="C609">
        <f>HYPERLINK("https://github.com/JabRef/jabref/blob/master/jabsrv/src/main/java/org/jabref/http/dto/BibEntryDTO.java")</f>
        <v/>
      </c>
      <c r="D609" t="inlineStr">
        <is>
          <t>ThisisademoimplementationoffunctionalityrelatedtotransportingdataaboutabibliographicreferenceinBibTeXformat.ItusesomecomplexobjectslikeBibEntry,FieldPreferencesetc.,butdoesnotcontainmainprogramminglogics.
```java
package org.jabref.http.dto;
import java.util.*;
/**</t>
        </is>
      </c>
      <c r="E609" t="n">
        <v>0</v>
      </c>
      <c r="F609" t="n">
        <v>0</v>
      </c>
      <c r="G609" t="n">
        <v>0</v>
      </c>
      <c r="H609" t="inlineStr">
        <is>
          <t>This repository contains backend software components that implement core algorithms used in the application. The complexity of this code is O(N), where N represents the number of characters in a string. It includes DTOs for BibEntries and processes them as strings to ease processing by clients. This implementation doesn't use HashMaps or JSON due to ADR-0027 information.</t>
        </is>
      </c>
      <c r="I609" t="n">
        <v>0.0045</v>
      </c>
      <c r="J609" t="n">
        <v>0.1471</v>
      </c>
      <c r="K609" t="n">
        <v>0.2326</v>
      </c>
      <c r="L609" t="inlineStr">
        <is>
          <t>The provided code is a DTO (Data Transfer Object) for a BibEntry in JabRef software. The purpose of this class seems to be encapsulating the data related to a citation or reference entry into one object that can easily be transferred between different parts of an application without needing detailed knowledge about how these entries are stored internally.
It takes as parameters shared metadata</t>
        </is>
      </c>
      <c r="M609" t="n">
        <v>0</v>
      </c>
      <c r="N609" t="n">
        <v>0.0278</v>
      </c>
      <c r="O609" t="n">
        <v>0.0735</v>
      </c>
    </row>
    <row r="610">
      <c r="A610" t="inlineStr">
        <is>
          <t>jabref</t>
        </is>
      </c>
      <c r="B610" t="inlineStr">
        <is>
          <t>jabsrv/src/main/java/org/jabref/http/dto/LinkedPdfFileDTO.java</t>
        </is>
      </c>
      <c r="C610">
        <f>HYPERLINK("https://github.com/JabRef/jabref/blob/master/jabsrv/src/main/java/org/jabref/http/dto/LinkedPdfFileDTO.java")</f>
        <v/>
      </c>
      <c r="D610" t="inlineStr">
        <is>
          <t>The provided code is a Java class named `LinkedPdfFileDTO` that acts as a Data Transfer Object (DTO). This DTO encapsulates the properties of a linked PDF file in JabRef's database system. The Linked Pdf File includes its filename, parent citation key and path to it from the local filesystem. It also provides getter methods for these</t>
        </is>
      </c>
      <c r="E610" t="n">
        <v>0.0039</v>
      </c>
      <c r="F610" t="n">
        <v>0.0615</v>
      </c>
      <c r="G610" t="n">
        <v>0.0781</v>
      </c>
      <c r="H610" t="inlineStr">
        <is>
          <t>The provided code is a Java class named `LinkedPdfFileDTO` that represents a data transfer object for linked PDF files in the JabRef software system. It has three private fields to store file name, parent citation key and path of a file respectively. The constructor initializes these fields based on BibEntry (which contains metadata about an entry in a bibliography database</t>
        </is>
      </c>
      <c r="I610" t="n">
        <v>0.0036</v>
      </c>
      <c r="J610" t="n">
        <v>0.0588</v>
      </c>
      <c r="K610" t="n">
        <v>0.07580000000000001</v>
      </c>
      <c r="L610" t="inlineStr">
        <is>
          <t>```java
The provided code is a Java class named LinkedPdfFileDTO that encapsulates the functionality of linking and managing PDF files with their corresponding BibTeX entries in JabRef software. 
It has four private attributes namely fileName, parentCitationKey, path which are final as they cannot be changed once initialized. The constructor takes two parameters - an</t>
        </is>
      </c>
      <c r="M610" t="n">
        <v>0.004</v>
      </c>
      <c r="N610" t="n">
        <v>0.06560000000000001</v>
      </c>
      <c r="O610" t="n">
        <v>0.0794</v>
      </c>
    </row>
    <row r="611">
      <c r="A611" t="inlineStr">
        <is>
          <t>jabref</t>
        </is>
      </c>
      <c r="B611" t="inlineStr">
        <is>
          <t>jabsrv/src/main/java/org/jabref/http/dto/GlobalExceptionMapper.java</t>
        </is>
      </c>
      <c r="C611">
        <f>HYPERLINK("https://github.com/JabRef/jabref/blob/master/jabsrv/src/main/java/org/jabref/http/dto/GlobalExceptionMapper.java")</f>
        <v/>
      </c>
      <c r="D611" t="inlineStr">
        <is>
          <t>The code provided is a JAX-RS (Java API for RESTful Web Services) exception mapper that handles exceptions globally in the application and provides responses to clients accordingly. The GlobalExceptionMapper class implements ExceptionMapper interface with Throwable as generic type parameter which means it can handle any kind of throwable objects. If an instance of WebApplicationException is thrown, its response will be returned</t>
        </is>
      </c>
      <c r="E611" t="n">
        <v>0.0036</v>
      </c>
      <c r="F611" t="n">
        <v>0.0286</v>
      </c>
      <c r="G611" t="n">
        <v>0.0752</v>
      </c>
      <c r="H611" t="inlineStr">
        <is>
          <t>ThisisacodeforajavaprojectthatusesJAX-RSframeworktoserveRESTfulAPIs.TheprojectalsoutilizesSlf4jlibraryfortogglerlogging.Itincludesamapperproviderforglobalexceptionswhichlogsanyunhandledexceptionsoccurredinrequestprocessing.IncaseofWebApplicationExceptionitreturnsresponsedefinedby</t>
        </is>
      </c>
      <c r="I611" t="n">
        <v>0</v>
      </c>
      <c r="J611" t="n">
        <v>0</v>
      </c>
      <c r="K611" t="n">
        <v>0</v>
      </c>
      <c r="L611" t="inlineStr">
        <is>
          <t>The provided code is a Java class that implements an ExceptionMapper for JAX-RS (Java API for RESTful Web Services). The purpose of this class is to handle exceptions globally in the application and provide appropriate responses based on different types of exceptions. 
It uses SLF4J as its logging framework to log any uncaught exceptions during server execution. If it</t>
        </is>
      </c>
      <c r="M611" t="n">
        <v>0.0037</v>
      </c>
      <c r="N611" t="n">
        <v>0.0588</v>
      </c>
      <c r="O611" t="n">
        <v>0.1527</v>
      </c>
    </row>
    <row r="612">
      <c r="A612" t="inlineStr">
        <is>
          <t>jabref</t>
        </is>
      </c>
      <c r="B612" t="inlineStr">
        <is>
          <t>jabsrv/src/main/java/org/jabref/http/dto/GsonFactory.java</t>
        </is>
      </c>
      <c r="C612">
        <f>HYPERLINK("https://github.com/JabRef/jabref/blob/master/jabsrv/src/main/java/org/jabref/http/dto/GsonFactory.java")</f>
        <v/>
      </c>
      <c r="D612" t="inlineStr">
        <is>
          <t>The provided code is a Java class named `GsonFactory` that implements the Factory interface from HK2 API of GlassFish framework for creating instances of GSON (Google's JSON library). The factory provides an instance of GSON with pretty printing enabled and disposes of it when not in use to manage resources efficiently. 
It uses Google's GSON</t>
        </is>
      </c>
      <c r="E612" t="n">
        <v>0.004</v>
      </c>
      <c r="F612" t="n">
        <v>0.0615</v>
      </c>
      <c r="G612" t="n">
        <v>0.1181</v>
      </c>
      <c r="H612" t="inlineStr">
        <is>
          <t>The code provided is a Java implementation of the Factory design pattern using Google's GSON library for JSON serialization and deserialization. The factory creates instances of the `Gson` class with pretty-printing enabled. It also provides methods to dispose (clean up or close resources) of these created `Gson` objects.
In summary, this repository contains backend software</t>
        </is>
      </c>
      <c r="I612" t="n">
        <v>0.004</v>
      </c>
      <c r="J612" t="n">
        <v>0.0615</v>
      </c>
      <c r="K612" t="n">
        <v>0.1969</v>
      </c>
      <c r="L612" t="inlineStr">
        <is>
          <t>The provided code is a Java class named `GsonFactory` that implements the Factory interface from HK2 API in Java. This factory creates instances of Gson object with pretty printing enabled for JSON serialization and deserialization purposes. The main purpose of this class is to provide an instance of Gson configured for pretty print formatting. 
Inputs are not explicitly</t>
        </is>
      </c>
      <c r="M612" t="n">
        <v>0.0041</v>
      </c>
      <c r="N612" t="n">
        <v>0.0606</v>
      </c>
      <c r="O612" t="n">
        <v>0.1154</v>
      </c>
    </row>
    <row r="613">
      <c r="A613" t="inlineStr">
        <is>
          <t>jabref</t>
        </is>
      </c>
      <c r="B613" t="inlineStr">
        <is>
          <t>jabsrv/src/main/java/org/jabref/http/dto/cayw/SimpleJson.java</t>
        </is>
      </c>
      <c r="C613">
        <f>HYPERLINK("https://github.com/JabRef/jabref/blob/master/jabsrv/src/main/java/org/jabref/http/dto/cayw/SimpleJson.java")</f>
        <v/>
      </c>
      <c r="D613" t="inlineStr">
        <is>
          <t>The provided code is a Java class named `SimpleJson` that represents a simple JSON object with fields for an ID, citation key, locator, prefix, suffix and whether to suppress the author in a Bibliography Entry (BibEntry). The class also has a static method called fromBibEntry which takes a BibEntry along with Citation Properties as parameters and returns a Simple</t>
        </is>
      </c>
      <c r="E613" t="n">
        <v>0.0031</v>
      </c>
      <c r="F613" t="n">
        <v>0.0299</v>
      </c>
      <c r="G613" t="n">
        <v>0.0382</v>
      </c>
      <c r="H613" t="inlineStr">
        <is>
          <t>The code provided is a Java class named `SimpleJson` that represents a simple JSON object with several fields such as id (representing the shared ID of BibEntry), citation key, locator, prefix, suffix and whether to suppress author information. The complexity of this function appears to be O(1). It has a static method fromBibEntry which takes in a BibEntry</t>
        </is>
      </c>
      <c r="I613" t="n">
        <v>0.0031</v>
      </c>
      <c r="J613" t="n">
        <v>0.0597</v>
      </c>
      <c r="K613" t="n">
        <v>0.1154</v>
      </c>
      <c r="L613" t="inlineStr">
        <is>
          <t>The provided code is a Java class named `SimpleJson` that serves as a data transfer object (DTO) for HTTP requests in the JabRef application's backend components. The purpose of this class is to encapsulate and format Bibliography Entry (BibEntry) objects into JSON format with additional information like citation key and formatted summary from Citation Properties.</t>
        </is>
      </c>
      <c r="M613" t="n">
        <v>0.0033</v>
      </c>
      <c r="N613" t="n">
        <v>0.0625</v>
      </c>
      <c r="O613" t="n">
        <v>0.07870000000000001</v>
      </c>
    </row>
    <row r="614">
      <c r="A614" t="inlineStr">
        <is>
          <t>jabref</t>
        </is>
      </c>
      <c r="B614" t="inlineStr">
        <is>
          <t>jabsrv/src/test/java/org/jabref/http/server/ServerTest.java</t>
        </is>
      </c>
      <c r="C614">
        <f>HYPERLINK("https://github.com/JabRef/jabref/blob/master/jabsrv/src/test/java/org/jabref/http/server/ServerTest.java")</f>
        <v/>
      </c>
      <c r="D614" t="inlineStr">
        <is>
          <t>ThegivenJava-basedwebapplicationusesdifferentlibrariesforHTTPrequesthandling,JSONserialization/deserializationusingGoogle'sGSONlibrary,dependencyinjectionframeworkHK2utilityclassesfortesting,etc.ItalsousesEnumerationsetclassfromJavaUtilPackage,FXCollectionsclassfromJavaFXPackage,ListsclassfromJavaUtilPackage,among</t>
        </is>
      </c>
      <c r="E614" t="n">
        <v>0</v>
      </c>
      <c r="F614" t="n">
        <v>0</v>
      </c>
      <c r="G614" t="n">
        <v>0</v>
      </c>
      <c r="H614" t="inlineStr">
        <is>
          <t>ThegivenJava code is a part of the JabRef software's backend implementation. It includes import statements for various Java libraries and classes used in the project. The main class extends ResourceConfig from Jersey Test which sets up configuration for testing RESTful services using Jersey framework. There are also several bindings set up with AbstractBinders to manage dependencies for different parts of the application. This setup</t>
        </is>
      </c>
      <c r="I614" t="n">
        <v>0.0034</v>
      </c>
      <c r="J614" t="n">
        <v>0.0822</v>
      </c>
      <c r="K614" t="n">
        <v>0.1103</v>
      </c>
      <c r="L614" t="inlineStr">
        <is>
          <t>ThegivenJava8sourcecodefilerepresentstheservercomponentsoftheJabRefreferencemanagementtool.ItinitializesaRESTfulAPIusingJerseyservletcontainerthathandlesHTTPrequestsmultithreadedenvironment. TheAPIsincludeGETandPOSTmethodsforfetchingandupdatingentriesinabibliographydatabase. Italsoofferssupportforthe</t>
        </is>
      </c>
      <c r="M614" t="n">
        <v>0</v>
      </c>
      <c r="N614" t="n">
        <v>0</v>
      </c>
      <c r="O614" t="n">
        <v>0</v>
      </c>
    </row>
    <row r="615">
      <c r="A615" t="inlineStr">
        <is>
          <t>jabref</t>
        </is>
      </c>
      <c r="B615" t="inlineStr">
        <is>
          <t>jabsrv/src/test/java/org/jabref/http/server/LibrariesResourceTest.java</t>
        </is>
      </c>
      <c r="C615">
        <f>HYPERLINK("https://github.com/JabRef/jabref/blob/master/jabsrv/src/test/java/org/jabref/http/server/LibrariesResourceTest.java")</f>
        <v/>
      </c>
      <c r="D615" t="inlineStr">
        <is>
          <t>The code provided is a JUnit test for the LibrariesResource class in the org.jabref.http.server package of an application. The purpose of this test is to verify that the default library returned by the `oneTestLibrary` method matches the expected output. 
In the setup phase, it configures and returns a Jersey ResourceConfig object with several resources (including</t>
        </is>
      </c>
      <c r="E615" t="n">
        <v>0.0033</v>
      </c>
      <c r="F615" t="n">
        <v>0.0606</v>
      </c>
      <c r="G615" t="n">
        <v>0.07870000000000001</v>
      </c>
      <c r="H615" t="inlineStr">
        <is>
          <t>The provided code is a Jersey server configuration for an application that serves library resources related to testing the default one test library in JUnit 5. The `add` function adds two numbers together and returns their sum which has a time complexity of O(1). In this context, it's used within another piece of code where the expected result string contains placeholders (`"%s"`</t>
        </is>
      </c>
      <c r="I615" t="n">
        <v>0.0029</v>
      </c>
      <c r="J615" t="n">
        <v>0.0556</v>
      </c>
      <c r="K615" t="n">
        <v>0.1493</v>
      </c>
      <c r="L615" t="inlineStr">
        <is>
          <t>The provided code is a JUnit test for the `LibrariesResource` class in a Java application using Jersey framework for RESTful services. The purpose of this test is to verify if the default library (named 'demo') can be retrieved correctly from the server and compared with an expected result. 
The input to the function is not explicitly stated as it's hard</t>
        </is>
      </c>
      <c r="M615" t="n">
        <v>0.003</v>
      </c>
      <c r="N615" t="n">
        <v>0.058</v>
      </c>
      <c r="O615" t="n">
        <v>0.1136</v>
      </c>
    </row>
    <row r="616">
      <c r="A616" t="inlineStr">
        <is>
          <t>jabref</t>
        </is>
      </c>
      <c r="B616" t="inlineStr">
        <is>
          <t>jabsrv/src/test/java/org/jabref/http/server/TestBibFile.java</t>
        </is>
      </c>
      <c r="C616">
        <f>HYPERLINK("https://github.com/JabRef/jabref/blob/master/jabsrv/src/test/java/org/jabref/http/server/TestBibFile.java")</f>
        <v/>
      </c>
      <c r="D616" t="inlineStr">
        <is>
          <t>The provided code is an enumeration named `TestBibFile` that holds information about test .bib files in the JabRef project. The enum has two instances representing general server tests and chocolate bib files respectively. Each instance contains a path to the file (which dynamically changes based on OS), and an ID generated from the filename with a unique prefix for backup purposes. This dynamic nature</t>
        </is>
      </c>
      <c r="E616" t="n">
        <v>0.0034</v>
      </c>
      <c r="F616" t="n">
        <v>0.0278</v>
      </c>
      <c r="G616" t="n">
        <v>0.0735</v>
      </c>
      <c r="H616" t="inlineStr">
        <is>
          <t>The code you provided is a Java enum named TestBibFile that represents test files related to BibTeX entries for JabRef, a bibliography editor. The class has two fields - path and id. The path field holds the absolute file path of each .bib file while the id is dynamically generated by appending "-" followed by a unique prefix derived from BackupFile</t>
        </is>
      </c>
      <c r="I616" t="n">
        <v>0.003</v>
      </c>
      <c r="J616" t="n">
        <v>0.0299</v>
      </c>
      <c r="K616" t="n">
        <v>0.0376</v>
      </c>
      <c r="L616" t="inlineStr">
        <is>
          <t>The provided code is part of a Java application that deals with the management and backup of BibTeX files for testing purposes in JabRef software suite. The main purpose of this class `TestBibFile` is to hold information about test .bib files. These files are dynamically created based on their location within the source directory structure. This class uses enums to represent different types of</t>
        </is>
      </c>
      <c r="M616" t="n">
        <v>0.0037</v>
      </c>
      <c r="N616" t="n">
        <v>0.0278</v>
      </c>
      <c r="O616" t="n">
        <v>0.1471</v>
      </c>
    </row>
    <row r="617">
      <c r="A617" t="inlineStr">
        <is>
          <t>jabref</t>
        </is>
      </c>
      <c r="B617" t="inlineStr">
        <is>
          <t>jabsrv/src/test/java/org/jabref/http/server/LibraryResourceTest.java</t>
        </is>
      </c>
      <c r="C617">
        <f>HYPERLINK("https://github.com/JabRef/jabref/blob/master/jabsrv/src/test/java/org/jabref/http/server/LibraryResourceTest.java")</f>
        <v/>
      </c>
      <c r="D617" t="inlineStr">
        <is>
          <t>The provided code is a JUnit test for the `LibraryResource` class in the jabref project (https://github.com/JabRef/jabref). The purpose of this test is to verify that the JSON representation of the library resource can be correctly retrieved from the server. It does so by making an HTTP GET request and comparing the response with an expected result using assertEquals</t>
        </is>
      </c>
      <c r="E617" t="n">
        <v>0.0031</v>
      </c>
      <c r="F617" t="n">
        <v>0.0571</v>
      </c>
      <c r="G617" t="n">
        <v>0.1154</v>
      </c>
      <c r="H617" t="inlineStr">
        <is>
          <t>The code provided is a simple addition function in Java named add that takes two integers as input and returns their sum. The time complexity of this operation is O(1), meaning it always executes the same number of operations regardless of the size of the inputs. This means its performance does not increase with larger inputs.
```python
# Code:
def add(a, b):</t>
        </is>
      </c>
      <c r="I617" t="n">
        <v>0.0035</v>
      </c>
      <c r="J617" t="n">
        <v>0.0563</v>
      </c>
      <c r="K617" t="n">
        <v>0.1119</v>
      </c>
      <c r="L617" t="inlineStr">
        <is>
          <t>The given code is a test case for the Library Resource in Jabref application. It configures and sets up resources to be served by Jersey server framework which includes LibraryResource and LibrariesResource classes. The purpose of this class seems to be testing if these configured resources are working correctly or not.
It starts with setting up an instance of `ResourceConfig` that takes care of all</t>
        </is>
      </c>
      <c r="M617" t="n">
        <v>0.0028</v>
      </c>
      <c r="N617" t="n">
        <v>0.0274</v>
      </c>
      <c r="O617" t="n">
        <v>0.1095</v>
      </c>
    </row>
    <row r="618">
      <c r="A618" t="inlineStr">
        <is>
          <t>jabref</t>
        </is>
      </c>
      <c r="B618" t="inlineStr">
        <is>
          <t>jabsrv/src/test/java/org/jabref/http/server/command/FocusCommandTest.java</t>
        </is>
      </c>
      <c r="C618">
        <f>HYPERLINK("https://github.com/JabRef/jabref/blob/master/jabsrv/src/test/java/org/jabref/http/server/command/FocusCommandTest.java")</f>
        <v/>
      </c>
      <c r="D618" t="inlineStr">
        <is>
          <t>Thegivencodeisintendedtobeatestforafocuscommandinajavarestfulwebservice.Itconfiguresaresourceconfigurationwithneededresourcesincludingacommandresourceandagui bridge and gson configurations.Thenitperformstestsbyissuingapostrequesttosubmitacommandnamed"focus".Ifsuccessful,thiswillassertthatthestatuscode</t>
        </is>
      </c>
      <c r="E618" t="n">
        <v>0.0295</v>
      </c>
      <c r="F618" t="n">
        <v>0.1111</v>
      </c>
      <c r="G618" t="n">
        <v>0.0649</v>
      </c>
      <c r="H618" t="inlineStr">
        <is>
          <t>&lt;!---
    This is a markdown file that describes the functionality of this code repository. 
    The complexity of the implementation can be considered as O(n), where n represents the number of files in this directory and its subdirectories (not including hidden ones). Each file's content is read once to count lines of code, which contributes to the</t>
        </is>
      </c>
      <c r="I618" t="n">
        <v>0.0043</v>
      </c>
      <c r="J618" t="n">
        <v>0.09229999999999999</v>
      </c>
      <c r="K618" t="n">
        <v>0.1563</v>
      </c>
      <c r="L618" t="inlineStr">
        <is>
          <t>The provided code is a JUnit test for an HTTP server command in Java. The main purpose of the code is to verify if the `/commands` endpoint returns a 500 Internal Server Error when sending a POST request with JSON payload containing {"command": "focus"}.
Here's the summary without repeating any part of the original code or comments:
The</t>
        </is>
      </c>
      <c r="M618" t="n">
        <v>0</v>
      </c>
      <c r="N618" t="n">
        <v>0</v>
      </c>
      <c r="O618" t="n">
        <v>0.0385</v>
      </c>
    </row>
    <row r="619">
      <c r="A619" t="inlineStr">
        <is>
          <t>jabref</t>
        </is>
      </c>
      <c r="B619" t="inlineStr">
        <is>
          <t>jabsrv/src/test/java/org/jabref/http/server/cayw/CAYWResourceTest.java</t>
        </is>
      </c>
      <c r="C619">
        <f>HYPERLINK("https://github.com/JabRef/jabref/blob/master/jabsrv/src/test/java/org/jabref/http/server/cayw/CAYWResourceTest.java")</f>
        <v/>
      </c>
      <c r="D619" t="inlineStr">
        <is>
          <t>The provided code is a JUnit test for the CAYWResource class in an application using Java's Jersey framework and Mockito library to mock dependencies. The test creates instances of ResourceConfig with various configurations including GSON formatter service and preferences added. It also tests whether certain files can be served by checking their status codes returned from HTTP GET requests. Finally, it asserts that the expected</t>
        </is>
      </c>
      <c r="E619" t="n">
        <v>0.0028</v>
      </c>
      <c r="F619" t="n">
        <v>0.027</v>
      </c>
      <c r="G619" t="n">
        <v>0.073</v>
      </c>
      <c r="H619" t="inlineStr">
        <is>
          <t>The code you provided is a Java class named `CAYWResource` that extends the `ServerTest` class from JUnit 5 for testing purposes and configures Jersey (JAX-RS reference implementation). It also uses Mockito for mocking objects in unit tests. The complexity of this code seems to be O(N), where N represents some number of operations or resources being managed by</t>
        </is>
      </c>
      <c r="I619" t="n">
        <v>0.0031</v>
      </c>
      <c r="J619" t="n">
        <v>0.0294</v>
      </c>
      <c r="K619" t="n">
        <v>0.1154</v>
      </c>
      <c r="L619" t="inlineStr">
        <is>
          <t>package org.jabref.http.server.cayw;
The code provided is a JUnit test case for the CAYWResource class in Java. The purpose of this class appears to be to configure and set up an HTTP server that handles requests related to Citation Aid Yet Worthwhile (CAYW) functionality. 
It does so by</t>
        </is>
      </c>
      <c r="M619" t="n">
        <v>0.0039</v>
      </c>
      <c r="N619" t="n">
        <v>0.0678</v>
      </c>
      <c r="O619" t="n">
        <v>0.08400000000000001</v>
      </c>
    </row>
    <row r="620">
      <c r="A620" t="inlineStr">
        <is>
          <t>jabref</t>
        </is>
      </c>
      <c r="B620" t="inlineStr">
        <is>
          <t>jabsrv/src/test/java/org/jabref/http/server/cayw/CitationPropertiesTest.java</t>
        </is>
      </c>
      <c r="C620">
        <f>HYPERLINK("https://github.com/JabRef/jabref/blob/master/jabsrv/src/test/java/org/jabref/http/server/cayw/CitationPropertiesTest.java")</f>
        <v/>
      </c>
      <c r="D620" t="inlineStr">
        <is>
          <t>The provided code is a JUnit test for the `CitationProperties` class in Java. This class seems to be used to manage and format locators related to citations (like page numbers or chapter numbers). The tests are nested within another class named `FormattedLocatorTest`. There are two separate tests defined - one with type set as 'page' and value "42",</t>
        </is>
      </c>
      <c r="E620" t="n">
        <v>0.0037</v>
      </c>
      <c r="F620" t="n">
        <v>0.0615</v>
      </c>
      <c r="G620" t="n">
        <v>0.1154</v>
      </c>
      <c r="H620" t="inlineStr">
        <is>
          <t>The provided code is a JUnit test class for the `CitationProperties` class in Java. This class contains nested tests under the `FormattedLocatorTest` class. The complexity of this code is O(N), where N represents the number of tests defined within each method. 
Inside these methods, there are several assertions that compare expected and actual results to validate</t>
        </is>
      </c>
      <c r="I620" t="n">
        <v>0.0039</v>
      </c>
      <c r="J620" t="n">
        <v>0.0615</v>
      </c>
      <c r="K620" t="n">
        <v>0.0781</v>
      </c>
      <c r="L620" t="inlineStr">
        <is>
          <t>The provided code is a JUnit test for the `CitationProperties` class in Java. The main purpose of this code is to validate and test the functionality of different methods within the `CitationProperties` class such as `setLocatorType()`, `setLocatorValue()`, and `getFormattedLocator()`.
Here's an overview of</t>
        </is>
      </c>
      <c r="M620" t="n">
        <v>0.0051</v>
      </c>
      <c r="N620" t="n">
        <v>0.1154</v>
      </c>
      <c r="O620" t="n">
        <v>0.1304</v>
      </c>
    </row>
    <row r="621">
      <c r="A621" t="inlineStr">
        <is>
          <t>jabref</t>
        </is>
      </c>
      <c r="B621" t="inlineStr">
        <is>
          <t>jabsrv/src/test/java/org/jabref/http/server/cayw/format/CAYWFormattersTest.java</t>
        </is>
      </c>
      <c r="C621">
        <f>HYPERLINK("https://github.com/JabRef/jabref/blob/master/jabsrv/src/test/java/org/jabref/http/server/cayw/format/CAYWFormattersTest.java")</f>
        <v/>
      </c>
      <c r="D621" t="inlineStr">
        <is>
          <t>The code provided is a JUnit test class for testing the functionality of CAYW formatters in an application named "JabRef". It tests various methods related to citation and bibliography generation based on different input parameters. The main goal seems to be ensuring that the generated citations are correctly formatted according to specific rules defined by the `CitationProperties` object.
The</t>
        </is>
      </c>
      <c r="E621" t="n">
        <v>0.0037</v>
      </c>
      <c r="F621" t="n">
        <v>0.0597</v>
      </c>
      <c r="G621" t="n">
        <v>0.07630000000000001</v>
      </c>
      <c r="H621" t="inlineStr">
        <is>
          <t>The code provided is a Java class `CAYWFormattersTest` that contains several tests for the functionality of backend software components related to citation formatting and key generation in JabRef (Java Advanced Bibliography Reference Editor). The complexity of this test suite appears to be O(N), where N represents the number of keys passed into the method `caywEntries()`</t>
        </is>
      </c>
      <c r="I621" t="n">
        <v>0.0044</v>
      </c>
      <c r="J621" t="n">
        <v>0.0625</v>
      </c>
      <c r="K621" t="n">
        <v>0.1575</v>
      </c>
      <c r="L621" t="inlineStr">
        <is>
          <t>ThegivenJava code is a test class for the `CAYWFormatters` class in JabRef software library. It tests various functionalities of this class using JUnit 5 and Mockito framework. The main purpose of this class seems to be formatting citation entries according to specific rules defined by CAYW (Cite As You Write) standard.
Here are</t>
        </is>
      </c>
      <c r="M621" t="n">
        <v>0.0041</v>
      </c>
      <c r="N621" t="n">
        <v>0.0984</v>
      </c>
      <c r="O621" t="n">
        <v>0.16</v>
      </c>
    </row>
    <row r="622">
      <c r="A622" t="inlineStr">
        <is>
          <t>jabref</t>
        </is>
      </c>
      <c r="B622" t="inlineStr">
        <is>
          <t>jabsrv-cli/src/main/java/module-info.java</t>
        </is>
      </c>
      <c r="C622">
        <f>HYPERLINK("https://github.com/JabRef/jabref/blob/master/jabsrv-cli/src/main/java/module-info.java")</f>
        <v/>
      </c>
      <c r="D622" t="inlineStr">
        <is>
          <t>The provided code is a module named org.jabref.jabsrv.cli that requires several other modules such as jablib and http server components of JabRef library. It uses PicoCLI for command line interface implementation which also needs JavaFX base, Grizzly HTTP Server, Picocli and JSPECIFY libraries. The main</t>
        </is>
      </c>
      <c r="E622" t="n">
        <v>0.0049</v>
      </c>
      <c r="F622" t="n">
        <v>0.1071</v>
      </c>
      <c r="G622" t="n">
        <v>0.1709</v>
      </c>
      <c r="H622" t="inlineStr">
        <is>
          <t>The provided code is a Java module that provides functionality for resource locating in the context of JabRef (Java Advanced Bibliography Reference). It requires several dependencies such as Picocli and JSpecify libraries to function properly. The main class or entry point might be located somewhere within this package structure but it's not visible from here due to its complexity. This repository contains backend software components</t>
        </is>
      </c>
      <c r="I622" t="n">
        <v>0.0042</v>
      </c>
      <c r="J622" t="n">
        <v>0.08110000000000001</v>
      </c>
      <c r="K622" t="n">
        <v>0.1825</v>
      </c>
      <c r="L622" t="inlineStr">
        <is>
          <t>The provided code file is a module named 'org.jabref.jabsrv.cli' that provides command line interface functionality for JabRef application. It requires various libraries such as org.jabref.jablib, org.jabref.jabsrv, slf4j and jspecify to function correctly. The main purpose of this module seems to be</t>
        </is>
      </c>
      <c r="M622" t="n">
        <v>0.0059</v>
      </c>
      <c r="N622" t="n">
        <v>0.1071</v>
      </c>
      <c r="O622" t="n">
        <v>0.177</v>
      </c>
    </row>
    <row r="623">
      <c r="A623" t="inlineStr">
        <is>
          <t>jabref</t>
        </is>
      </c>
      <c r="B623" t="inlineStr">
        <is>
          <t>jabsrv-cli/src/main/java/org/jabref/http/cli/JabRefResourceLocator.java</t>
        </is>
      </c>
      <c r="C623">
        <f>HYPERLINK("https://github.com/JabRef/jabref/blob/master/jabsrv-cli/src/main/java/org/jabref/http/cli/JabRefResourceLocator.java")</f>
        <v/>
      </c>
      <c r="D623" t="inlineStr">
        <is>
          <t>```plaintext
This code is part of a Java application that deals with HTTP requests and CLI (Command Line Interface). It provides functionality to get ResourceBundles for localizing messages in the GUI. The implementation uses Afterburner library which allows navigation between views without changing URL or reloading page. 
It has been designed keeping performance considerations in mind as complexity is O</t>
        </is>
      </c>
      <c r="E623" t="n">
        <v>0.004</v>
      </c>
      <c r="F623" t="n">
        <v>0.0588</v>
      </c>
      <c r="G623" t="n">
        <v>0.1515</v>
      </c>
      <c r="H623" t="inlineStr">
        <is>
          <t>ThisJava code is a resource locator for localized messages in JabRef software. It implements the ResourceLocator interface and uses Localization class to get bundles of localised strings. The complexity of this implementation is O(N), where N represents the number of requested resources (strings). This means that each time we request a bundle, it takes linear amount of operations proportional to the size of</t>
        </is>
      </c>
      <c r="I623" t="n">
        <v>0.0038</v>
      </c>
      <c r="J623" t="n">
        <v>0.0833</v>
      </c>
      <c r="K623" t="n">
        <v>0.1481</v>
      </c>
      <c r="L623" t="inlineStr">
        <is>
          <t>```plaintext
This code is part of a backend software component that provides resource bundles for localization in JabRef application. It implements the ResourceLocator interface and overrides its getResourceBundle method to return localized messages based on input strings. The purpose of this class is to provide an abstraction layer over the Localization class which handles actual message loading from properties files.</t>
        </is>
      </c>
      <c r="M623" t="n">
        <v>0.0043</v>
      </c>
      <c r="N623" t="n">
        <v>0.1176</v>
      </c>
      <c r="O623" t="n">
        <v>0.1894</v>
      </c>
    </row>
    <row r="624">
      <c r="A624" t="inlineStr">
        <is>
          <t>jabref</t>
        </is>
      </c>
      <c r="B624" t="inlineStr">
        <is>
          <t>jabsrv-cli/src/main/java/org/jabref/http/server/cli/ServerCli.java</t>
        </is>
      </c>
      <c r="C624">
        <f>HYPERLINK("https://github.com/JabRef/jabref/blob/master/jabsrv-cli/src/main/java/org/jabref/http/server/cli/ServerCli.java")</f>
        <v/>
      </c>
      <c r="D624" t="inlineStr">
        <is>
          <t>The provided code is a Java command line interface (CLI) application named "jabsrv". It's designed to serve as an HTTP server for the JabRef software library. The application uses PicoCLI framework for parsing and handling command line options/arguments. It also utilizes Grizzly HTTP Server from Glassfish project for its implementation of HTTP protocol on top of</t>
        </is>
      </c>
      <c r="E624" t="n">
        <v>0.0039</v>
      </c>
      <c r="F624" t="n">
        <v>0.0606</v>
      </c>
      <c r="G624" t="n">
        <v>0.1563</v>
      </c>
      <c r="H624" t="inlineStr">
        <is>
          <t>The provided code is a Java command line interface (CLI) application for JabRef HTTP server management. It allows starting and stopping of the server with options to display help information. The complexity of this program is O(N), where N represents the number of lines in the source code. This CLI application uses PicoCLI library for parsing the command line arguments and executing corresponding commands</t>
        </is>
      </c>
      <c r="I624" t="n">
        <v>0.0034</v>
      </c>
      <c r="J624" t="n">
        <v>0.0548</v>
      </c>
      <c r="K624" t="n">
        <v>0.1103</v>
      </c>
      <c r="L624" t="inlineStr">
        <is>
          <t>The given code is a command line interface (CLI) application for JabRef HTTP server management. It's named "jabsrv". The purpose of this program is to start and stop the JabRef HTTP server based on user input from the command line. 
Inputs are provided through command line arguments which specify options like port number or database location. Output would be</t>
        </is>
      </c>
      <c r="M624" t="n">
        <v>0.0031</v>
      </c>
      <c r="N624" t="n">
        <v>0.0588</v>
      </c>
      <c r="O624" t="n">
        <v>0.07630000000000001</v>
      </c>
    </row>
    <row r="625">
      <c r="A625" t="inlineStr">
        <is>
          <t>jabref</t>
        </is>
      </c>
      <c r="B625" t="inlineStr">
        <is>
          <t>jabls-cli/src/main/java/module-info.java</t>
        </is>
      </c>
      <c r="C625">
        <f>HYPERLINK("https://github.com/JabRef/jabref/blob/master/jabls-cli/src/main/java/module-info.java")</f>
        <v/>
      </c>
      <c r="D625" t="inlineStr">
        <is>
          <t>The code provided is a module declaration for the org.jabref.jabls package in Java. It specifies dependencies on various libraries and tools used by JabRef, an open-source bibliography reference manager. The complexity of this piece of code appears to be O(N), as it seems to iterate over some data structure with size N (where N could represent any number</t>
        </is>
      </c>
      <c r="E625" t="n">
        <v>0.0037</v>
      </c>
      <c r="F625" t="n">
        <v>0.0571</v>
      </c>
      <c r="G625" t="n">
        <v>0.1538</v>
      </c>
      <c r="H625" t="inlineStr">
        <is>
          <t>The provided code is a Java module named org.jabref.jabls.cli that uses PicoCLI for command line argument parsing and depends on several other libraries such as jabref-jablib, jabref-jabls, afterburner.fx (for UI), SLF4J logging framework, TinyLog library for logging, Apache Log</t>
        </is>
      </c>
      <c r="I625" t="n">
        <v>0.0056</v>
      </c>
      <c r="J625" t="n">
        <v>0.0755</v>
      </c>
      <c r="K625" t="n">
        <v>0.1351</v>
      </c>
      <c r="L625" t="inlineStr">
        <is>
          <t>The provided code file is a Java module named org.jabref.jabls.cli which acts as the command line interface for JabRef, an open source bibliography software. The purpose of this module is to handle user inputs and execute corresponding actions based on these inputs using core algorithms from other modules (like jablib or jabls). This includes tasks like parsing</t>
        </is>
      </c>
      <c r="M625" t="n">
        <v>0.0045</v>
      </c>
      <c r="N625" t="n">
        <v>0.0882</v>
      </c>
      <c r="O625" t="n">
        <v>0.1938</v>
      </c>
    </row>
    <row r="626">
      <c r="A626" t="inlineStr">
        <is>
          <t>jabref</t>
        </is>
      </c>
      <c r="B626" t="inlineStr">
        <is>
          <t>jabls-cli/src/main/java/org/jabref/languageserver/cli/ServerCli.java</t>
        </is>
      </c>
      <c r="C626">
        <f>HYPERLINK("https://github.com/JabRef/jabref/blob/master/jabls-cli/src/main/java/org/jabref/languageserver/cli/ServerCli.java")</f>
        <v/>
      </c>
      <c r="D626" t="inlineStr">
        <is>
          <t>The provided code is a Java command line interface (CLI) application for the JabRef Language Server. It uses Pico CLI to parse and handle command line options. The server listens on port 2087 by default but can be configured with the `-p` or `--port` option. There are no methods implemented in this class yet as they</t>
        </is>
      </c>
      <c r="E626" t="n">
        <v>0.0033</v>
      </c>
      <c r="F626" t="n">
        <v>0.0312</v>
      </c>
      <c r="G626" t="n">
        <v>0.1563</v>
      </c>
      <c r="H626" t="inlineStr">
        <is>
          <t>The code provided is a Java class that implements the Callable interface from java.util.concurrent package and serves as a command line interface (CLI) for JabRef Language Server. It has an option to set port number (-p or --port), which defaults to 2087 if not specified by user input. The logger instance LOGGER is used for logging purposes in this</t>
        </is>
      </c>
      <c r="I626" t="n">
        <v>0.0037</v>
      </c>
      <c r="J626" t="n">
        <v>0.058</v>
      </c>
      <c r="K626" t="n">
        <v>0.1527</v>
      </c>
      <c r="L626" t="inlineStr">
        <is>
          <t>The provided code is a command line interface (CLI) application for JabRef Language Server named "languageserver". It serves as the entry point to start and manage the language server functionality of JabRef. The main purpose of this CLI is to set up and configure various settings related to the operation of the language server such as port number on which it should listen.</t>
        </is>
      </c>
      <c r="M626" t="n">
        <v>0.0034</v>
      </c>
      <c r="N626" t="n">
        <v>0.0563</v>
      </c>
      <c r="O626" t="n">
        <v>0.1111</v>
      </c>
    </row>
    <row r="627">
      <c r="A627" t="inlineStr">
        <is>
          <t>jabref</t>
        </is>
      </c>
      <c r="B627" t="inlineStr">
        <is>
          <t>jabls-cli/src/main/java/org/jabref/languageserver/cli/JabRefResourceLocator.java</t>
        </is>
      </c>
      <c r="C627">
        <f>HYPERLINK("https://github.com/JabRef/jabref/blob/master/jabls-cli/src/main/java/org/jabref/languageserver/cli/JabRefResourceLocator.java")</f>
        <v/>
      </c>
      <c r="D627" t="inlineStr">
        <is>
          <t>&lt;!-- This is a summary of the provided code --&gt;
```java
package org.jabref.languageserver.cli;
import java.util.ResourceBundle;
import org.jabref.logic.l10n.Localization;
import com.airhacks.afterburner.views.ResourceLocator;
import</t>
        </is>
      </c>
      <c r="E627" t="n">
        <v>0.009599999999999999</v>
      </c>
      <c r="F627" t="n">
        <v>0.1026</v>
      </c>
      <c r="G627" t="n">
        <v>0.0543</v>
      </c>
      <c r="H627" t="inlineStr">
        <is>
          <t>The provided code is a Java class that implements the ResourceLocator interface from AfterBurner framework for resource bundle management in JabRef application. The getResourceBundle method returns localized messages using Localization utility of JabRef. It uses SLF4J as logging facade to log debug information about requested bundles. This implementation does not depend on GUI module and can be used directly by</t>
        </is>
      </c>
      <c r="I627" t="n">
        <v>0.0043</v>
      </c>
      <c r="J627" t="n">
        <v>0.0882</v>
      </c>
      <c r="K627" t="n">
        <v>0.1894</v>
      </c>
      <c r="L627" t="inlineStr">
        <is>
          <t>```
The provided code is a Java class named `JabRefResourceLocator` that implements the `ResourceLocator` interface from AfterBurner library. This class provides resource bundles for localizing JabRef application based on user preferences and system settings. The main purpose of this class is to retrieve localized messages using Localization utility class. 
Inputs</t>
        </is>
      </c>
      <c r="M627" t="n">
        <v>0.0048</v>
      </c>
      <c r="N627" t="n">
        <v>0.0702</v>
      </c>
      <c r="O627" t="n">
        <v>0.1639</v>
      </c>
    </row>
    <row r="628">
      <c r="A628" t="inlineStr">
        <is>
          <t>jabref</t>
        </is>
      </c>
      <c r="B628" t="inlineStr">
        <is>
          <t>.jbang/CloneJabRef.java</t>
        </is>
      </c>
      <c r="C628">
        <f>HYPERLINK("https://github.com/JabRef/jabref/blob/master/.jbang/CloneJabRef.java")</f>
        <v/>
      </c>
      <c r="D628" t="inlineStr">
        <is>
          <t>The provided code is a Java program that clones the JabRef repository from GitHub using Eclipse's jgit library and stores it in a specified directory (or default temporary directory if no argument was given). If the target directory already exists, an error message will be printed to console before exiting. The time complexity of this function is O(N), where N represents</t>
        </is>
      </c>
      <c r="E628" t="n">
        <v>0.003</v>
      </c>
      <c r="F628" t="n">
        <v>0.0563</v>
      </c>
      <c r="G628" t="n">
        <v>0.1128</v>
      </c>
      <c r="H628" t="inlineStr">
        <is>
          <t>The provided code is a Java program that clones the JabRef Git repository into a specified directory using Eclipse's jgit library. The functionality of this code can be summarized as follows:
It takes one argument which specifies where to clone the repository (either by providing an absolute path or relative to the current working directory), and then it performs git operations on that location to</t>
        </is>
      </c>
      <c r="I628" t="n">
        <v>0.0033</v>
      </c>
      <c r="J628" t="n">
        <v>0.0541</v>
      </c>
      <c r="K628" t="n">
        <v>0.1095</v>
      </c>
      <c r="L628" t="inlineStr">
        <is>
          <t>ThegivenJava8sourcecodefileclonesaGithubrespositoryusingEclipse'sJGITlibraryintoadevelopmentenvironment.Itperformsbasicerrorcheckingbeforeproceedingtocloningprocess.Ifdirectoryforclonedfilesalreadyexistsexists,thenapropriatemessagewillbeshowninstead.Aftersuccessfulcompletion,userwillbeinformedabout</t>
        </is>
      </c>
      <c r="M628" t="n">
        <v>0</v>
      </c>
      <c r="N628" t="n">
        <v>0</v>
      </c>
      <c r="O628" t="n">
        <v>0</v>
      </c>
    </row>
    <row r="629">
      <c r="A629" t="inlineStr">
        <is>
          <t>jabref</t>
        </is>
      </c>
      <c r="B629" t="inlineStr">
        <is>
          <t>.jbang/JabKitLauncher.java</t>
        </is>
      </c>
      <c r="C629">
        <f>HYPERLINK("https://github.com/JabRef/jabref/blob/master/.jbang/JabKitLauncher.java")</f>
        <v/>
      </c>
      <c r="D629" t="inlineStr">
        <is>
          <t>The provided code is a Java program that manages BibTeX files using JabRef. It includes four classes for converting different types of data in the process of managing these files. 
These are: CaseInsensitiveEnumConverter (a converter to handle case insensitive enums), CitationFetcherTypeConverter (a converter to fetch citation information from various</t>
        </is>
      </c>
      <c r="E629" t="n">
        <v>0</v>
      </c>
      <c r="F629" t="n">
        <v>0</v>
      </c>
      <c r="G629" t="n">
        <v>0.0413</v>
      </c>
      <c r="H629" t="inlineStr">
        <is>
          <t>The provided code is a simple addition function in Python that takes two parameters and returns their sum. The time complexity of this operation is O(1), meaning it always executes the same number of steps regardless of input size.
Here's the summary:
```python
# Code:
def add(a, b):
    return a + b
```
In</t>
        </is>
      </c>
      <c r="I629" t="n">
        <v>0.0034</v>
      </c>
      <c r="J629" t="n">
        <v>0.0645</v>
      </c>
      <c r="K629" t="n">
        <v>0.119</v>
      </c>
      <c r="L629" t="inlineStr">
        <is>
          <t>The provided code is a collection of Java classes that are part of the JabRef project's toolkit module. The main purpose of these classes seems to be providing various converters for different types of data formats and file paths in the context of handling Bibliographic Data (BibTeX). 
These files include CaseInsensitiveEnumConverter, CitationFetc</t>
        </is>
      </c>
      <c r="M629" t="n">
        <v>0.0035</v>
      </c>
      <c r="N629" t="n">
        <v>0.06560000000000001</v>
      </c>
      <c r="O629" t="n">
        <v>0.0806</v>
      </c>
    </row>
    <row r="630">
      <c r="A630" t="inlineStr">
        <is>
          <t>jabref</t>
        </is>
      </c>
      <c r="B630" t="inlineStr">
        <is>
          <t>.jbang/JabSrvLauncher.java</t>
        </is>
      </c>
      <c r="C630">
        <f>HYPERLINK("https://github.com/JabRef/jabref/blob/master/.jbang/JabSrvLauncher.java")</f>
        <v/>
      </c>
      <c r="D630" t="inlineStr">
        <is>
          <t>ThegivencodeisintendedtobeaserveBibTeXfilesusingJabRef.ItusesmultipledependenciesincludingJacksonCoreAnnotations,Caffeinecachelibrary,Guavautilitylibrary,UniRestGSONmodule,CiteProcJava,PicoCLIcommandlinargenerator,ServletAPIandValidationAPI.Thecomplexityofthisim</t>
        </is>
      </c>
      <c r="E630" t="n">
        <v>0</v>
      </c>
      <c r="F630" t="n">
        <v>0</v>
      </c>
      <c r="G630" t="n">
        <v>0</v>
      </c>
      <c r="H630" t="inlineStr">
        <is>
          <t>Thegivencodeimplementsacustomhashmapclasswithlinearprobingascollisionhandlingtechnique.Ituseslinkedlistsinordertohandlemultiplekeyshavingthesamehashvalue.Eachnodeinthesingledlistconsistsofastelementscontainingsubelementsconsistingsofthedatafieldsandnextpointerfield.Ifasearchoperationistriedandsuchkeydoesnotexistsinth</t>
        </is>
      </c>
      <c r="I630" t="n">
        <v>0</v>
      </c>
      <c r="J630" t="n">
        <v>0</v>
      </c>
      <c r="K630" t="n">
        <v>0</v>
      </c>
      <c r="L630" t="inlineStr">
        <is>
          <t>ThegivenJavaapplicationusesvariousdependenciesincludingJabReflibrary,Picocliframeworkforthecommandlineinterface,JacksonannotationsofFasterXML,Caffeinecachemanagementtool,GuavautilitiesbyGoogle,UniRestAPIwrapper,citeproc-javalibraryforextractingcitationsinreferencemanager,AppDirsforportableuserdirectoryAB</t>
        </is>
      </c>
      <c r="M630" t="n">
        <v>0</v>
      </c>
      <c r="N630" t="n">
        <v>0</v>
      </c>
      <c r="O630" t="n">
        <v>0</v>
      </c>
    </row>
    <row r="631">
      <c r="A631" t="inlineStr">
        <is>
          <t>jabref</t>
        </is>
      </c>
      <c r="B631" t="inlineStr">
        <is>
          <t>.jbang/CheckoutPR.java</t>
        </is>
      </c>
      <c r="C631">
        <f>HYPERLINK("https://github.com/JabRef/jabref/blob/master/.jbang/CheckoutPR.java")</f>
        <v/>
      </c>
      <c r="D631" t="inlineStr">
        <is>
          <t>The provided code is a Java program that interacts with GitHub's API to fetch and manipulate data related to the "JabRef/jabref" repository. It fetches information about issues (pull requests), their state, comments, complexity, and commits in the repository. The main function of this class initiates an instance of `GitHub` which allows interaction with</t>
        </is>
      </c>
      <c r="E631" t="n">
        <v>0.0035</v>
      </c>
      <c r="F631" t="n">
        <v>0.0317</v>
      </c>
      <c r="G631" t="n">
        <v>0.12</v>
      </c>
      <c r="H631" t="inlineStr">
        <is>
          <t>The provided code is a Java program that interacts with the GitHub API to fetch and check out pull requests from a specific repository (in this case "JabRef/jabref"). The main function `main` fetches all open pull requests using the GitHub API's Pull Request endpoint, then checks each one for changes in README files. If it finds any, it</t>
        </is>
      </c>
      <c r="I631" t="n">
        <v>0.0031</v>
      </c>
      <c r="J631" t="n">
        <v>0.0588</v>
      </c>
      <c r="K631" t="n">
        <v>0.1154</v>
      </c>
      <c r="L631" t="inlineStr">
        <is>
          <t>The provided code is a simple Java program that checks out the latest commit from a specific GitHub repository (in this case "JabRef/jabref"). It does not perform any complex operations or logic but rather it sets up and configures the necessary objects to interact with the GitHub API for fetching information about pull requests in the specified repository. The main purpose of this code seems to</t>
        </is>
      </c>
      <c r="M631" t="n">
        <v>0.0028</v>
      </c>
      <c r="N631" t="n">
        <v>0.0533</v>
      </c>
      <c r="O631" t="n">
        <v>0.0725</v>
      </c>
    </row>
    <row r="632">
      <c r="A632" t="inlineStr">
        <is>
          <t>jabref</t>
        </is>
      </c>
      <c r="B632" t="inlineStr">
        <is>
          <t>.jbang/JabLsLauncher.java</t>
        </is>
      </c>
      <c r="C632">
        <f>HYPERLINK("https://github.com/JabRef/jabref/blob/master/.jbang/JabLsLauncher.java")</f>
        <v/>
      </c>
      <c r="D632" t="inlineStr">
        <is>
          <t>ThegivencodeimplementsaBibTeXtextdocumentservicewithcomplexityonorderN.Itusesvariousdependenciesincludingpicocli,JacksonAnnotations,ApacheCommonsLang3,Log4jToSlf4j,EclipseLSPEndpoints,SLF4JJulToslf4j,SLF4JApi,SLF</t>
        </is>
      </c>
      <c r="E632" t="n">
        <v>0</v>
      </c>
      <c r="F632" t="n">
        <v>0</v>
      </c>
      <c r="G632" t="n">
        <v>0</v>
      </c>
      <c r="H632" t="inlineStr">
        <is>
          <t>The function `add` takes two parameters (numbers), adds them together and returns the result. The time complexity of this operation is O(1).
```python
def add(a, b):
    return a + b
```
In summary, it performs addition on two numbers and provides the sum as output. It does not repeat any code or provide an explanation</t>
        </is>
      </c>
      <c r="I632" t="n">
        <v>0.0033</v>
      </c>
      <c r="J632" t="n">
        <v>0.0635</v>
      </c>
      <c r="K632" t="n">
        <v>0.1575</v>
      </c>
      <c r="L632" t="inlineStr">
        <is>
          <t>ThegivencodefileappearsstobeimplementingaBibTeXtextdocumentserviceinJavausingthejabreflibrary.ItseemsintendedtomanagebibtexdocumentswithinajavaapplicationbyofferinglanguagefeaturesrelatedtothesyntaxandsemanticsofBibTeXsuchastringparsingandsuggestionsbasedonthecurrentstateofdatabaserecords.However</t>
        </is>
      </c>
      <c r="M632" t="n">
        <v>0</v>
      </c>
      <c r="N632" t="n">
        <v>0</v>
      </c>
      <c r="O632" t="n">
        <v>0</v>
      </c>
    </row>
    <row r="633">
      <c r="A633" t="inlineStr">
        <is>
          <t>jabref</t>
        </is>
      </c>
      <c r="B633" t="inlineStr">
        <is>
          <t>jablib/src/jmh/java/org/jabref/benchmarks/Benchmarks.java</t>
        </is>
      </c>
      <c r="C633">
        <f>HYPERLINK("https://github.com/JabRef/jabref/blob/master/jablib/src/jmh/java/org/jabref/benchmarks/Benchmarks.java")</f>
        <v/>
      </c>
      <c r="D633" t="inlineStr">
        <is>
          <t>The provided code is a benchmarking suite for JABRef, an open-source bibliography manager and citation solution. It imports various classes from the org.jabref package which are used in handling BibTeX files. The main functionality of this code involves parsing BibTeX entries using the `BibtexParser` class, formatting fields</t>
        </is>
      </c>
      <c r="E633" t="n">
        <v>0.0046</v>
      </c>
      <c r="F633" t="n">
        <v>0.0351</v>
      </c>
      <c r="G633" t="n">
        <v>0.1261</v>
      </c>
      <c r="H633" t="inlineStr">
        <is>
          <t>The code you provided is a Java program that imports various classes from the JabRef library for handling and manipulating BibTeX files. It includes functionalities related to file preferences, field preferences, citation key pattern preferences, database writer, bibliography exporter/writer, HTML characters formatting, LaTeX to Unicode formatter, OS-related operations, command line</t>
        </is>
      </c>
      <c r="I633" t="n">
        <v>0.0037</v>
      </c>
      <c r="J633" t="n">
        <v>0.0333</v>
      </c>
      <c r="K633" t="n">
        <v>0.082</v>
      </c>
      <c r="L633" t="inlineStr">
        <is>
          <t>The provided code is a Java program that handles BibTeX file import and export functionalities. It uses various libraries such as JabRef's logic for handling BibTeX files (`org.jabref.logic.*`).
Here are the main operations performed by this code:
1. Parses BibTeX files using `Bib</t>
        </is>
      </c>
      <c r="M633" t="n">
        <v>0.0043</v>
      </c>
      <c r="N633" t="n">
        <v>0.0741</v>
      </c>
      <c r="O633" t="n">
        <v>0.1304</v>
      </c>
    </row>
    <row r="634">
      <c r="A634" t="inlineStr">
        <is>
          <t>jabref</t>
        </is>
      </c>
      <c r="B634" t="inlineStr">
        <is>
          <t>jablib/src/main/java/module-info.java</t>
        </is>
      </c>
      <c r="C634">
        <f>HYPERLINK("https://github.com/JabRef/jabref/blob/master/jablib/src/main/java/module-info.java")</f>
        <v/>
      </c>
      <c r="D634" t="inlineStr">
        <is>
          <t>The provided code is a module named "org.jabref.jablib" which exports various packages and classes related to the functionality of JabRef software. It includes modules for handling entries (like fields), searching in databases, managing preferences, importing/exporting bibtex files, generating citation keys, checking consistency, shared preferences management, IO operations, X</t>
        </is>
      </c>
      <c r="E634" t="n">
        <v>0.005</v>
      </c>
      <c r="F634" t="n">
        <v>0.0678</v>
      </c>
      <c r="G634" t="n">
        <v>0.125</v>
      </c>
      <c r="H634" t="inlineStr">
        <is>
          <t>ThegivenJAVAcodeisusedtoimportdatafromafileintobasicdatabasesystemusingBibTeXformattemplate.Italsohandleserrorsbythrowingexceptionsifanyencounterduringprocessing.Thecomplexityofthecodeissettothenumberofentriesinadatabasewhichisthereasonablebecauseitiscalledonceforeveryrecordindat</t>
        </is>
      </c>
      <c r="I634" t="n">
        <v>0</v>
      </c>
      <c r="J634" t="n">
        <v>0</v>
      </c>
      <c r="K634" t="n">
        <v>0</v>
      </c>
      <c r="L634" t="inlineStr">
        <is>
          <t>The provided code file is a module named "org.jabref.jablib". This module exports several packages and classes related to different functionalities in the JabRef application such as model, logic, search, importer, bibtex parsing, citation key pattern generation, exporter, file format handling, journals database, localization (i18n/l</t>
        </is>
      </c>
      <c r="M634" t="n">
        <v>0.0055</v>
      </c>
      <c r="N634" t="n">
        <v>0.1455</v>
      </c>
      <c r="O634" t="n">
        <v>0.1724</v>
      </c>
    </row>
    <row r="635">
      <c r="A635" t="inlineStr">
        <is>
          <t>jabref</t>
        </is>
      </c>
      <c r="B635" t="inlineStr">
        <is>
          <t>jablib/src/main/java/org/jabref/logic/FilePreferences.java</t>
        </is>
      </c>
      <c r="C635">
        <f>HYPERLINK("https://github.com/JabRef/jabref/blob/master/jablib/src/main/java/org/jabref/logic/FilePreferences.java")</f>
        <v/>
      </c>
      <c r="D635" t="inlineStr">
        <is>
          <t>The provided code is a Java class named `FilePreferences` that manages preferences related to linked files in the JabRef software application. It uses JavaFX properties for storing and managing user-specific settings like file name patterns, main file directory path, whether or not to store files relative to BIB file, auto rename of files on change status etc. The default</t>
        </is>
      </c>
      <c r="E635" t="n">
        <v>0.0037</v>
      </c>
      <c r="F635" t="n">
        <v>0.0588</v>
      </c>
      <c r="G635" t="n">
        <v>0.1145</v>
      </c>
      <c r="H635" t="inlineStr">
        <is>
          <t>The provided code is a Java class named FilePreferences that contains several properties related to file handling in the JabRef software application. The main purpose of this class seems to be managing preferences for linked files within the software. These preferences include default filename patterns and options such as whether or not to store files relative to BibTeX files, automatically renaming files when they are changed etc.</t>
        </is>
      </c>
      <c r="I635" t="n">
        <v>0.0032</v>
      </c>
      <c r="J635" t="n">
        <v>0.08</v>
      </c>
      <c r="K635" t="n">
        <v>0.1079</v>
      </c>
      <c r="L635" t="inlineStr">
        <is>
          <t>The provided code is part of a JavaFX application that manages file preferences for linked files in JabRef software. It provides the functionality to set and get various properties related to file handling such as user name, host information, main directory path, whether or not to store files relative to Bib file, auto rename settings, and filename patterns. The class uses JavaFX's</t>
        </is>
      </c>
      <c r="M635" t="n">
        <v>0.0035</v>
      </c>
      <c r="N635" t="n">
        <v>0.08450000000000001</v>
      </c>
      <c r="O635" t="n">
        <v>0.0746</v>
      </c>
    </row>
    <row r="636">
      <c r="A636" t="inlineStr">
        <is>
          <t>jabref</t>
        </is>
      </c>
      <c r="B636" t="inlineStr">
        <is>
          <t>jablib/src/main/java/org/jabref/logic/UiCommand.java</t>
        </is>
      </c>
      <c r="C636">
        <f>HYPERLINK("https://github.com/JabRef/jabref/blob/master/jablib/src/main/java/org/jabref/logic/UiCommand.java")</f>
        <v/>
      </c>
      <c r="D636" t="inlineStr">
        <is>
          <t>The provided code defines a functional interface named `UiCommand` with seven methods each representing different user interactions in the JabRef application. The functionalities include blanking out workspaces, selecting entry keys for citation, opening libraries from specified paths, appending files to current library (supported both BibTeX and non-BibTeX formats), appending streams of data to current</t>
        </is>
      </c>
      <c r="E636" t="n">
        <v>0.0034</v>
      </c>
      <c r="F636" t="n">
        <v>0.0635</v>
      </c>
      <c r="G636" t="n">
        <v>0.0794</v>
      </c>
      <c r="H636" t="inlineStr">
        <is>
          <t>The provided code is a Java interface named UiCommand that defines several record methods for different user interactions with the JabRef application. Each method represents an action performed by the user and takes specific parameters depending on its purpose. For example, `recordBlankWorkspace` does not take any arguments but creates a new workspace in JabRef. The `recordSelectEntryKeys` selects</t>
        </is>
      </c>
      <c r="I636" t="n">
        <v>0.0032</v>
      </c>
      <c r="J636" t="n">
        <v>0.0308</v>
      </c>
      <c r="K636" t="n">
        <v>0.0388</v>
      </c>
      <c r="L636" t="inlineStr">
        <is>
          <t>The provided code is a Java interface named `UiCommand` that represents various user interactions with the application's UI. It has seven methods each implementing different types of commands to be executed by the user interface. 
These include creating a blank workspace, selecting entry keys from the citation key list, opening libraries based on their paths, appending files or streams to</t>
        </is>
      </c>
      <c r="M636" t="n">
        <v>0</v>
      </c>
      <c r="N636" t="n">
        <v>0.029</v>
      </c>
      <c r="O636" t="n">
        <v>0.0379</v>
      </c>
    </row>
    <row r="637">
      <c r="A637" t="inlineStr">
        <is>
          <t>jabref</t>
        </is>
      </c>
      <c r="B637" t="inlineStr">
        <is>
          <t>jablib/src/main/java/org/jabref/logic/JabRefException.java</t>
        </is>
      </c>
      <c r="C637">
        <f>HYPERLINK("https://github.com/JabRef/jabref/blob/master/jablib/src/main/java/org/jabref/logic/JabRefException.java")</f>
        <v/>
      </c>
      <c r="D637" t="inlineStr">
        <is>
          <t>The code provided is a custom exception class for the JabRef application. This class extends from Java's built-in Exception class and uses SLF4J (Simple Logging Facade for Java), which provides a facade pattern around various logging frameworks such as log4j.
It includes fields to store localized messages along with standard error message. The constructor of this class</t>
        </is>
      </c>
      <c r="E637" t="n">
        <v>0.0038</v>
      </c>
      <c r="F637" t="n">
        <v>0.0597</v>
      </c>
      <c r="G637" t="n">
        <v>0.1163</v>
      </c>
      <c r="H637" t="inlineStr">
        <is>
          <t>The repository contains backend software components that implement core algorithms such as sorting and searching. The complexity of the code is O(N), where N represents the number of elements in a list or array. It's also worth noting that there are 2 commits to this code base commit, with an initial size of 1000 lines of code.
In terms of functionality</t>
        </is>
      </c>
      <c r="I637" t="n">
        <v>0.0042</v>
      </c>
      <c r="J637" t="n">
        <v>0.1127</v>
      </c>
      <c r="K637" t="n">
        <v>0.3206</v>
      </c>
      <c r="L637" t="inlineStr">
        <is>
          <t>The provided code is a Java class named `JabRefException` that extends the built-in Exception class in Java. This class provides custom exception handling for JabRef software application. It uses SLF4J (Simple Logging Facade for Java) to log exceptions and debug messages. The main purpose of this class seems to be to encapsulate error information with localized message support.</t>
        </is>
      </c>
      <c r="M637" t="n">
        <v>0.0041</v>
      </c>
      <c r="N637" t="n">
        <v>0.0896</v>
      </c>
      <c r="O637" t="n">
        <v>0.1538</v>
      </c>
    </row>
    <row r="638">
      <c r="A638" t="inlineStr">
        <is>
          <t>jabref</t>
        </is>
      </c>
      <c r="B638" t="inlineStr">
        <is>
          <t>jablib/src/main/java/org/jabref/logic/InternalPreferences.java</t>
        </is>
      </c>
      <c r="C638">
        <f>HYPERLINK("https://github.com/JabRef/jabref/blob/master/jablib/src/main/java/org/jabref/logic/InternalPreferences.java")</f>
        <v/>
      </c>
      <c r="D638" t="inlineStr">
        <is>
          <t>The provided code is a Java class named `InternalPreferences` that manages user preferences for an application like JabRef (a bibliography management tool). It uses JavaFX properties to hold the values of different preference settings such as ignored version, whether or not version checking is enabled, last export path, user and host info, and if memory stick mode is active. The complexity of</t>
        </is>
      </c>
      <c r="E638" t="n">
        <v>0.0029</v>
      </c>
      <c r="F638" t="n">
        <v>0.0286</v>
      </c>
      <c r="G638" t="n">
        <v>0.0746</v>
      </c>
      <c r="H638" t="inlineStr">
        <is>
          <t>The code provided is a Java class named `InternalPreferences` that manages user preferences for an application. It includes properties to store the ignored version of software, whether or not version checking should be enabled, path to last exported preference file, username and host information, as well as if memory stick mode is active. The complexity here would be O(1), assuming all property getters are</t>
        </is>
      </c>
      <c r="I638" t="n">
        <v>0.0028</v>
      </c>
      <c r="J638" t="n">
        <v>0.0548</v>
      </c>
      <c r="K638" t="n">
        <v>0.0368</v>
      </c>
      <c r="L638" t="inlineStr">
        <is>
          <t>The provided code is a Java class named `InternalPreferences` that manages the preferences of an application. It has five private properties and their corresponding getters and setters are also defined in this class. The purpose of this class seems to be to manage user's version settings, enable/disable checking for updates, last exported preference path, username and host info, as</t>
        </is>
      </c>
      <c r="M638" t="n">
        <v>0.0031</v>
      </c>
      <c r="N638" t="n">
        <v>0.058</v>
      </c>
      <c r="O638" t="n">
        <v>0.07630000000000001</v>
      </c>
    </row>
    <row r="639">
      <c r="A639" t="inlineStr">
        <is>
          <t>jabref</t>
        </is>
      </c>
      <c r="B639" t="inlineStr">
        <is>
          <t>jablib/src/main/java/org/jabref/logic/LibraryPreferences.java</t>
        </is>
      </c>
      <c r="C639">
        <f>HYPERLINK("https://github.com/JabRef/jabref/blob/master/jablib/src/main/java/org/jabref/logic/LibraryPreferences.java")</f>
        <v/>
      </c>
      <c r="D639" t="inlineStr">
        <is>
          <t>The provided code is a Java class named LibraryPreferences that holds library preferences for different settings related to BibTeX databases like default database mode and various boolean properties representing whether certain actions should be performed automatically or not (like auto-save). The String property 'addImportedEntriesGroupName' stores the name of a group where imported entries are added. This class seems to serve as an abst</t>
        </is>
      </c>
      <c r="E639" t="n">
        <v>0.0034</v>
      </c>
      <c r="F639" t="n">
        <v>0.0278</v>
      </c>
      <c r="G639" t="n">
        <v>0.0741</v>
      </c>
      <c r="H639" t="inlineStr">
        <is>
          <t>The provided code is a Java class named LibraryPreferences that holds preferences for a library application such as the default BibDatabase mode and whether certain operations should be performed automatically (like auto-save or adding imported entries). The complexity of this implementation can be considered O(N), where N represents the number of properties in the object. This could potentially increase if more properties were added to the class over</t>
        </is>
      </c>
      <c r="I639" t="n">
        <v>0.0032</v>
      </c>
      <c r="J639" t="n">
        <v>0.0513</v>
      </c>
      <c r="K639" t="n">
        <v>0.1071</v>
      </c>
      <c r="L639" t="inlineStr">
        <is>
          <t>The provided code is a Java class named `LibraryPreferences` that holds the preferences for a library application such as default Bibliography Database Mode (BDBM), whether to always reformat on save (AROS), auto save feature status (ASF), and add imported entries flag with its group name (AIENG). The purpose of this class seems to be managing these</t>
        </is>
      </c>
      <c r="M639" t="n">
        <v>0.0033</v>
      </c>
      <c r="N639" t="n">
        <v>0.0312</v>
      </c>
      <c r="O639" t="n">
        <v>0.0781</v>
      </c>
    </row>
    <row r="640">
      <c r="A640" t="inlineStr">
        <is>
          <t>jabref</t>
        </is>
      </c>
      <c r="B640" t="inlineStr">
        <is>
          <t>jablib/src/main/java/org/jabref/logic/UiMessageHandler.java</t>
        </is>
      </c>
      <c r="C640">
        <f>HYPERLINK("https://github.com/JabRef/jabref/blob/master/jablib/src/main/java/org/jabref/logic/UiMessageHandler.java")</f>
        <v/>
      </c>
      <c r="D640" t="inlineStr">
        <is>
          <t>The provided code is a Java interface named `UiMessageHandler` that specifies an operation to handle UI commands. The method takes in a list of `UiCommand` objects and processes them either locally or remotely based on the implementation. This process can be further customized by extending this class with different command handling logic as per requirements.
```java
package org.jabref</t>
        </is>
      </c>
      <c r="E640" t="n">
        <v>0.0037</v>
      </c>
      <c r="F640" t="n">
        <v>0.0597</v>
      </c>
      <c r="G640" t="n">
        <v>0.0769</v>
      </c>
      <c r="H640" t="inlineStr">
        <is>
          <t>The given code is an interface named `UiMessageHandler` that has a method called `handleUiCommands()` which takes in a list of UI commands and processes them accordingly. The complexity of this operation is O(n), where n represents the number of elements in the input List. This means it iterates through each element once to process it.
In summary,</t>
        </is>
      </c>
      <c r="I640" t="n">
        <v>0.0038</v>
      </c>
      <c r="J640" t="n">
        <v>0.0303</v>
      </c>
      <c r="K640" t="n">
        <v>0.0775</v>
      </c>
      <c r="L640" t="inlineStr">
        <is>
          <t>The provided code is a Java interface named UiMessageHandler that handles UI commands using an input of List type. The purpose of this class is to process either CLI or remote commands and pass them onto the user interface for display. This functionality can be summarized as follows: "Handles incoming commands from either CLI or remote sources, processes these commands, and passes them on to the user</t>
        </is>
      </c>
      <c r="M640" t="n">
        <v>0.0036</v>
      </c>
      <c r="N640" t="n">
        <v>0.08</v>
      </c>
      <c r="O640" t="n">
        <v>0.1079</v>
      </c>
    </row>
    <row r="641">
      <c r="A641" t="inlineStr">
        <is>
          <t>jabref</t>
        </is>
      </c>
      <c r="B641" t="inlineStr">
        <is>
          <t>jablib/src/main/java/org/jabref/logic/WatchServiceUnavailableException.java</t>
        </is>
      </c>
      <c r="C641">
        <f>HYPERLINK("https://github.com/JabRef/jabref/blob/master/jablib/src/main/java/org/jabref/logic/WatchServiceUnavailableException.java")</f>
        <v/>
      </c>
      <c r="D641" t="inlineStr">
        <is>
          <t>The provided code is a Java class named WatchServiceUnavailableException that extends the JabRefException. This exception is thrown when there's an issue with the watch service in the backend software components of this repository. The complexity of the function is O(N), indicating linear time complexity as it involves traversing through N elements to handle exceptions. The size of the code base is 2</t>
        </is>
      </c>
      <c r="E641" t="n">
        <v>0.0035</v>
      </c>
      <c r="F641" t="n">
        <v>0.0833</v>
      </c>
      <c r="G641" t="n">
        <v>0.1119</v>
      </c>
      <c r="H641" t="inlineStr">
        <is>
          <t>The provided code is a Java class that extends the JabRefException and includes three parameters in its constructor for error handling purposes. The complexity of this function appears to be O(n), as it iterates over each character of the input strings (assuming they are not null or empty). However, without more context about how these strings are used within the method, we can't definitively</t>
        </is>
      </c>
      <c r="I641" t="n">
        <v>0.0028</v>
      </c>
      <c r="J641" t="n">
        <v>0.0541</v>
      </c>
      <c r="K641" t="n">
        <v>0.1103</v>
      </c>
      <c r="L641" t="inlineStr">
        <is>
          <t>The provided code snippet is a Java class named `WatchServiceUnavailableException` that extends the JabRef exception class. This class represents an exceptional condition where a Watch Service becomes unavailable for some reason. 
It takes three parameters in its constructor - 'message', 'localizedMessage' and 'cause'. The superclass (JabRef Exception) then</t>
        </is>
      </c>
      <c r="M641" t="n">
        <v>0.0045</v>
      </c>
      <c r="N641" t="n">
        <v>0.0727</v>
      </c>
      <c r="O641" t="n">
        <v>0.0833</v>
      </c>
    </row>
    <row r="642">
      <c r="A642" t="inlineStr">
        <is>
          <t>jabref</t>
        </is>
      </c>
      <c r="B642" t="inlineStr">
        <is>
          <t>jablib/src/main/java/org/jabref/logic/citation/SearchCitationsRelationsService.java</t>
        </is>
      </c>
      <c r="C642">
        <f>HYPERLINK("https://github.com/JabRef/jabref/blob/master/jablib/src/main/java/org/jabref/logic/citation/SearchCitationsRelationsService.java")</f>
        <v/>
      </c>
      <c r="D642" t="inlineStr">
        <is>
          <t>The provided code is a Java package that contains the logic for citing references in BibTeX entries. It includes functionalities such as fetching citations and references from external databases using different fetchers (like CitationCountFetcher), managing preferences related to import formatting and field ordering, generating AI-based suggestions based on user's past usage patterns etc. The complexity of</t>
        </is>
      </c>
      <c r="E642" t="n">
        <v>0.0033</v>
      </c>
      <c r="F642" t="n">
        <v>0.0606</v>
      </c>
      <c r="G642" t="n">
        <v>0.0781</v>
      </c>
      <c r="H642" t="inlineStr">
        <is>
          <t>The provided code is a Java class that contains several import statements for various packages and classes used in the JabRef software project. The main purpose of this package seems to be handling citation-related tasks within the context of BibTeX entries (`org.jabref.logic.citation`). It also includes functionalities related to AI services (`org.jabref</t>
        </is>
      </c>
      <c r="I642" t="n">
        <v>0.0043</v>
      </c>
      <c r="J642" t="n">
        <v>0.0625</v>
      </c>
      <c r="K642" t="n">
        <v>0.1626</v>
      </c>
      <c r="L642" t="inlineStr">
        <is>
          <t>The provided code is a Java class that handles the logic for citation generation in JabRef software. It uses various algorithms and services to fetch citations from different sources based on user preferences. The main purpose of this class seems to be managing references and their associated citations within a bibliography database.
Specifically, it appears to use AI services for generating citation keys based</t>
        </is>
      </c>
      <c r="M642" t="n">
        <v>0.0028</v>
      </c>
      <c r="N642" t="n">
        <v>0.0556</v>
      </c>
      <c r="O642" t="n">
        <v>0.1103</v>
      </c>
    </row>
    <row r="643">
      <c r="A643" t="inlineStr">
        <is>
          <t>jabref</t>
        </is>
      </c>
      <c r="B643" t="inlineStr">
        <is>
          <t>jablib/src/main/java/org/jabref/logic/citation/repository/MVStoreBibEntryRelationRepository.java</t>
        </is>
      </c>
      <c r="C643">
        <f>HYPERLINK("https://github.com/JabRef/jabref/blob/master/jablib/src/main/java/org/jabref/logic/citation/repository/MVStoreBibEntryRelationRepository.java")</f>
        <v/>
      </c>
      <c r="D643" t="inlineStr">
        <is>
          <t>The provided code is a Java class named `MVStoreBibEntryRelationRepository` which implements the interface `BibEntryRelationRepository`. This class uses an in-memory database (H2 MVStore), to store and retrieve relations between BibEntry objects. The complexity of this implementation appears to be O(n). It contains comments explaining its core algorithms and it seems</t>
        </is>
      </c>
      <c r="E643" t="n">
        <v>0.0053</v>
      </c>
      <c r="F643" t="n">
        <v>0.1356</v>
      </c>
      <c r="G643" t="n">
        <v>0.2066</v>
      </c>
      <c r="H643" t="inlineStr">
        <is>
          <t>The code provided is a Java implementation of a repository that stores and retrieves relations between BibEntry objects using an MVStore (H2 database). The complexity of this class seems to be O(n), as it appears to iterate over the entries in a list or set once when initializing the store. This could potentially lead to performance issues if there are many entries. It's</t>
        </is>
      </c>
      <c r="I643" t="n">
        <v>0.0034</v>
      </c>
      <c r="J643" t="n">
        <v>0.0548</v>
      </c>
      <c r="K643" t="n">
        <v>0.1481</v>
      </c>
      <c r="L643" t="inlineStr">
        <is>
          <t>The provided code is a Java class named `MVStoreBibEntryRelationRepository` that implements the interface `BibEntryRelationRepository`. This class uses an in-memory database (H2 MVStore) to store and retrieve relations between BibEntry objects. 
Here's what it does in general steps:
1. It creates</t>
        </is>
      </c>
      <c r="M643" t="n">
        <v>0.0061</v>
      </c>
      <c r="N643" t="n">
        <v>0.08</v>
      </c>
      <c r="O643" t="n">
        <v>0.1786</v>
      </c>
    </row>
    <row r="644">
      <c r="A644" t="inlineStr">
        <is>
          <t>jabref</t>
        </is>
      </c>
      <c r="B644" t="inlineStr">
        <is>
          <t>jablib/src/main/java/org/jabref/logic/citation/repository/BibEntryCitationsAndReferencesRepository.java</t>
        </is>
      </c>
      <c r="C644">
        <f>HYPERLINK("https://github.com/JabRef/jabref/blob/master/jablib/src/main/java/org/jabref/logic/citation/repository/BibEntryCitationsAndReferencesRepository.java")</f>
        <v/>
      </c>
      <c r="D644" t="inlineStr">
        <is>
          <t>The provided code is a Java interface named `BibEntryCitationsAndReferencesRepository` that defines methods for managing and retrieving citations and references related to BibEntries (entries in the bibliography). It uses an O(N) complexity as it involves operations on lists of entries which could potentially be large depending upon the number of items stored. The repository</t>
        </is>
      </c>
      <c r="E644" t="n">
        <v>0.0035</v>
      </c>
      <c r="F644" t="n">
        <v>0.0323</v>
      </c>
      <c r="G644" t="n">
        <v>0.08</v>
      </c>
      <c r="H644" t="inlineStr">
        <is>
          <t>The provided code is an interface named `BibEntryCitationsAndReferencesRepository` that defines several methods related to managing citations and references for BibEntries (which are entries in a bibliography). The complexity of these operations can be considered O(N), where N represents the number of elements being operated on.
Here's a brief summary of its functionality:</t>
        </is>
      </c>
      <c r="I644" t="n">
        <v>0.0035</v>
      </c>
      <c r="J644" t="n">
        <v>0.0323</v>
      </c>
      <c r="K644" t="n">
        <v>0.0403</v>
      </c>
      <c r="L644" t="inlineStr">
        <is>
          <t>The provided code is a Java interface named BibEntryCitationsAndReferencesRepository that provides methods for managing and retrieving citations and references related to entries in the bibliography database of JabRef software. The main purpose of this class seems to be handling citation relationships between different types of bibliographic items (entries). It includes operations such as adding citations or references,</t>
        </is>
      </c>
      <c r="M644" t="n">
        <v>0.0032</v>
      </c>
      <c r="N644" t="n">
        <v>0.0308</v>
      </c>
      <c r="O644" t="n">
        <v>0.0775</v>
      </c>
    </row>
    <row r="645">
      <c r="A645" t="inlineStr">
        <is>
          <t>jabref</t>
        </is>
      </c>
      <c r="B645" t="inlineStr">
        <is>
          <t>jablib/src/main/java/org/jabref/logic/citation/repository/BibEntryHashSetSerializer.java</t>
        </is>
      </c>
      <c r="C645">
        <f>HYPERLINK("https://github.com/JabRef/jabref/blob/master/jablib/src/main/java/org/jabref/logic/citation/repository/BibEntryHashSetSerializer.java")</f>
        <v/>
      </c>
      <c r="D645" t="inlineStr">
        <is>
          <t>The code provided is a custom serializer for a `LinkedHashSet` of `BibEntry` objects in Java using the H2 database engine's data types and storage system. The class extends from `BasicDataType` to provide specific methods for handling BibEntry object serialization/deserialization. It uses an instance of another `BasicDataType` (named bib</t>
        </is>
      </c>
      <c r="E645" t="n">
        <v>0.0038</v>
      </c>
      <c r="F645" t="n">
        <v>0.0345</v>
      </c>
      <c r="G645" t="n">
        <v>0.0833</v>
      </c>
      <c r="H645" t="inlineStr">
        <is>
          <t>The provided code is a custom serializer for LinkedHashSets of BibEntries in Java. The class `BibEntryHashSetSerializer` extends the basic data type from H2 database (which provides functionality to store and retrieve complex objects).
It has two constructors - one with parameters for managing entry types and import format preferences, another that takes an existing BasicDataType</t>
        </is>
      </c>
      <c r="I645" t="n">
        <v>0.004</v>
      </c>
      <c r="J645" t="n">
        <v>0.0645</v>
      </c>
      <c r="K645" t="n">
        <v>0.07870000000000001</v>
      </c>
      <c r="L645" t="inlineStr">
        <is>
          <t>The provided code is a custom serializer for the LinkedHashSet of BibEntries in Java using H2's MVStore library. The main purpose of this class seems to be to convert between instances of LinkedHashSets and their binary representations (ByteBuffers). 
It does so by defining how to write these sets into ByteBuffers and vice versa.</t>
        </is>
      </c>
      <c r="M645" t="n">
        <v>0.0035</v>
      </c>
      <c r="N645" t="n">
        <v>0.0645</v>
      </c>
      <c r="O645" t="n">
        <v>0.12</v>
      </c>
    </row>
    <row r="646">
      <c r="A646" t="inlineStr">
        <is>
          <t>jabref</t>
        </is>
      </c>
      <c r="B646" t="inlineStr">
        <is>
          <t>jablib/src/main/java/org/jabref/logic/citation/repository/BibEntryCitationsAndReferencesRepositoryShell.java</t>
        </is>
      </c>
      <c r="C646">
        <f>HYPERLINK("https://github.com/JabRef/jabref/blob/master/jablib/src/main/java/org/jabref/logic/citation/repository/BibEntryCitationsAndReferencesRepositoryShell.java")</f>
        <v/>
      </c>
      <c r="D646" t="inlineStr">
        <is>
          <t>The code you provided is a Java class named `BibEntryCitationsAndReferencesRepositoryShell` that extends the abstract base class `MVStoreBase` and implements an interface called `BibEntryCitationsAndReferencesRepository`. This class seems to be part of JabRef software's backend component which manages Bibliography Entries (BibEntries). It</t>
        </is>
      </c>
      <c r="E646" t="n">
        <v>0.0061</v>
      </c>
      <c r="F646" t="n">
        <v>0.08160000000000001</v>
      </c>
      <c r="G646" t="n">
        <v>0.1786</v>
      </c>
      <c r="H646" t="inlineStr">
        <is>
          <t>The provided code is a Java class named `BibEntryCitationsAndReferencesRepositoryShell` that extends the abstract base class `MVStoreBase` and implements an interface called `BibEntryCitationsAndReferencesRepository`. This class contains various methods for handling Bibliographic Entry (BibEntry) objects in terms of citations and references. It also uses several external libraries</t>
        </is>
      </c>
      <c r="I646" t="n">
        <v>0.0054</v>
      </c>
      <c r="J646" t="n">
        <v>0.0755</v>
      </c>
      <c r="K646" t="n">
        <v>0.1709</v>
      </c>
      <c r="L646" t="inlineStr">
        <is>
          <t>The code provided is a Java class named `BibEntryCitationsAndReferencesRepositoryShell` that extends the abstract base class `MVStoreBase` and implements an interface called `BibEntryCitationsAndReferencesRepository`. This class appears to be part of JabRef's backend software components for managing Bibliography Entries (BibEntries).</t>
        </is>
      </c>
      <c r="M646" t="n">
        <v>0.0069</v>
      </c>
      <c r="N646" t="n">
        <v>0.0851</v>
      </c>
      <c r="O646" t="n">
        <v>0.2273</v>
      </c>
    </row>
    <row r="647">
      <c r="A647" t="inlineStr">
        <is>
          <t>jabref</t>
        </is>
      </c>
      <c r="B647" t="inlineStr">
        <is>
          <t>jablib/src/main/java/org/jabref/logic/citation/repository/BibEntrySerializer.java</t>
        </is>
      </c>
      <c r="C647">
        <f>HYPERLINK("https://github.com/JabRef/jabref/blob/master/jablib/src/main/java/org/jabref/logic/citation/repository/BibEntrySerializer.java")</f>
        <v/>
      </c>
      <c r="D647" t="inlineStr">
        <is>
          <t>The code you provided is a custom implementation of the `BasicDataType` class from H2 database for serializing and deserializing instances of the BibEntry class in JabRef software. The functionality of this class revolves around converting between binary data (represented by ByteBuffers) and BibEntry objects. 
It uses Java's NIO library</t>
        </is>
      </c>
      <c r="E647" t="n">
        <v>0.0045</v>
      </c>
      <c r="F647" t="n">
        <v>0.1034</v>
      </c>
      <c r="G647" t="n">
        <v>0.1653</v>
      </c>
      <c r="H647" t="inlineStr">
        <is>
          <t>The code you provided is a Java class named BibEntrySerializer that extends the BasicDataType class from H2 database library and it's used to serialize/deserialize instances of the BibEntry object for storage in an H2 database. The functionality includes reading entries from a file using BibtexParser and writing them back out as bibtex formatted strings. It also provides</t>
        </is>
      </c>
      <c r="I647" t="n">
        <v>0.0038</v>
      </c>
      <c r="J647" t="n">
        <v>0.0597</v>
      </c>
      <c r="K647" t="n">
        <v>0.0775</v>
      </c>
      <c r="L647" t="inlineStr">
        <is>
          <t>The code you provided appears to be a custom implementation of the H2 database engine's `BasicDataType` for serializing and deserializing BibTeX entries (`BibEntry` objects). 
Here is a concise summary: This class provides functionality for converting between Java objects representing BibTeX entries and their binary representation in an efficient manner using the H</t>
        </is>
      </c>
      <c r="M647" t="n">
        <v>0.0046</v>
      </c>
      <c r="N647" t="n">
        <v>0.0984</v>
      </c>
      <c r="O647" t="n">
        <v>0.1613</v>
      </c>
    </row>
    <row r="648">
      <c r="A648" t="inlineStr">
        <is>
          <t>jabref</t>
        </is>
      </c>
      <c r="B648" t="inlineStr">
        <is>
          <t>jablib/src/main/java/org/jabref/logic/citation/repository/BibEntryRelationRepository.java</t>
        </is>
      </c>
      <c r="C648">
        <f>HYPERLINK("https://github.com/JabRef/jabref/blob/master/jablib/src/main/java/org/jabref/logic/citation/repository/BibEntryRelationRepository.java")</f>
        <v/>
      </c>
      <c r="D648" t="inlineStr">
        <is>
          <t>The provided code is a Java interface for a repository that stores relations between BibEntries (entities in the bibliography). It provides methods to get and add these relations. The complexity of this implementation is O(N), where N represents the number of entries in the database. This means it could potentially have performance issues if there are too many entries or relationships being managed at once.</t>
        </is>
      </c>
      <c r="E648" t="n">
        <v>0.0033</v>
      </c>
      <c r="F648" t="n">
        <v>0.0541</v>
      </c>
      <c r="G648" t="n">
        <v>0.1095</v>
      </c>
      <c r="H648" t="inlineStr">
        <is>
          <t>The provided code is a Java interface for a repository that stores relations between BibEntries (which are entries in the bibliography). The methods defined include getting and adding relationships to an entry. It also checks if a key exists and decides whether it should update or not based on default boolean return true.
The complexity of this implementation is O(n), as containsKey method</t>
        </is>
      </c>
      <c r="I648" t="n">
        <v>0.0029</v>
      </c>
      <c r="J648" t="n">
        <v>0.0556</v>
      </c>
      <c r="K648" t="n">
        <v>0.1111</v>
      </c>
      <c r="L648" t="inlineStr">
        <is>
          <t>The provided code is a Java interface named `BibEntryRelationRepository` which acts as a repository for storing relations between Bib Entries (a data structure used in citation management systems). The functionality of this code includes adding new relationships to an existing entry and checking if the given key already exists in the repository. It also provides default behavior for updating entries based on their keys. This implementation</t>
        </is>
      </c>
      <c r="M648" t="n">
        <v>0.0036</v>
      </c>
      <c r="N648" t="n">
        <v>0.0541</v>
      </c>
      <c r="O648" t="n">
        <v>0.1449</v>
      </c>
    </row>
    <row r="649">
      <c r="A649" t="inlineStr">
        <is>
          <t>jabref</t>
        </is>
      </c>
      <c r="B649" t="inlineStr">
        <is>
          <t>jablib/src/main/java/org/jabref/logic/l10n/LocalizationKey.java</t>
        </is>
      </c>
      <c r="C649">
        <f>HYPERLINK("https://github.com/JabRef/jabref/blob/master/jablib/src/main/java/org/jabref/logic/l10n/LocalizationKey.java")</f>
        <v/>
      </c>
      <c r="D649" t="inlineStr">
        <is>
          <t>```java
/* The code is a model for localization in Java application which translates the English text into other languages. 
 * Each Localization Key object has two properties - key and escapedPropertyKey. 
 * The 'key' property holds the original untranslated string (e.g., "Copy \cite {key}", "New line follows \n</t>
        </is>
      </c>
      <c r="E649" t="n">
        <v>0.0037</v>
      </c>
      <c r="F649" t="n">
        <v>0.037</v>
      </c>
      <c r="G649" t="n">
        <v>0.0413</v>
      </c>
      <c r="H649" t="inlineStr">
        <is>
          <t>The provided code is a simple model for localization keys in Java. It represents an object that holds two properties - the plain key and its escaped version suitable for property files. The constructor takes a string as input which serves as both the plain key and the escaped one by replacing certain characters with their escape sequences (e.g., newlines are replaced with '\n', etc.). This operation has a</t>
        </is>
      </c>
      <c r="I649" t="n">
        <v>0.0031</v>
      </c>
      <c r="J649" t="n">
        <v>0.026</v>
      </c>
      <c r="K649" t="n">
        <v>0.0709</v>
      </c>
      <c r="L649" t="inlineStr">
        <is>
          <t>&lt;!-- The code provided is a model for localization in Java and it has the purpose of translating plain text into escaped property keys that are valid within properties files. It does this by replacing certain characters with their escape sequences such as "\n", "\"", "#", "\\", "\\#", "\\$", etc.  --&gt;
&lt;!-- This implementation uses core</t>
        </is>
      </c>
      <c r="M649" t="n">
        <v>0.0043</v>
      </c>
      <c r="N649" t="n">
        <v>0.1071</v>
      </c>
      <c r="O649" t="n">
        <v>0.1953</v>
      </c>
    </row>
    <row r="650">
      <c r="A650" t="inlineStr">
        <is>
          <t>jabref</t>
        </is>
      </c>
      <c r="B650" t="inlineStr">
        <is>
          <t>jablib/src/main/java/org/jabref/logic/l10n/LocalizationKeyParams.java</t>
        </is>
      </c>
      <c r="C650">
        <f>HYPERLINK("https://github.com/JabRef/jabref/blob/master/jablib/src/main/java/org/jabref/logic/l10n/LocalizationKeyParams.java")</f>
        <v/>
      </c>
      <c r="D650" t="inlineStr">
        <is>
          <t>The provided code is a Java class named `LocalizationKeyParams` which represents localized keys and their parameters for localization purposes in JabRef software. The class has two private fields - key (which holds the LocalizationKey object) and params (a list of strings representing parameters). 
It provides methods to set these values using constructor injection and replace placeholders with actual parameterized</t>
        </is>
      </c>
      <c r="E650" t="n">
        <v>0.0031</v>
      </c>
      <c r="F650" t="n">
        <v>0.0606</v>
      </c>
      <c r="G650" t="n">
        <v>0.07630000000000001</v>
      </c>
      <c r="H650" t="inlineStr">
        <is>
          <t>The provided code is a Java class named LocalizationKeyParams that represents localization keys with parameters for the JabRef software application. The functionality of this class includes storing and replacing placeholders in localized strings based on given parameters. This class has two fields - key (representing the localization key), and params (representing an array of parameters). It also provides methods to replace placeholders in</t>
        </is>
      </c>
      <c r="I650" t="n">
        <v>0.0041</v>
      </c>
      <c r="J650" t="n">
        <v>0.0857</v>
      </c>
      <c r="K650" t="n">
        <v>0.1481</v>
      </c>
      <c r="L650" t="inlineStr">
        <is>
          <t>```python
The provided code is a Java class named `LocalizationKeyParams` that handles localization of keys with placeholders and parameters in the form of Strings. 
It has two private fields - 'key' (a LocalizationKey object) and 'params' (a List of String objects). The constructor takes as input a key string along with any number</t>
        </is>
      </c>
      <c r="M650" t="n">
        <v>0.0035</v>
      </c>
      <c r="N650" t="n">
        <v>0.0333</v>
      </c>
      <c r="O650" t="n">
        <v>0.04</v>
      </c>
    </row>
    <row r="651">
      <c r="A651" t="inlineStr">
        <is>
          <t>jabref</t>
        </is>
      </c>
      <c r="B651" t="inlineStr">
        <is>
          <t>jablib/src/main/java/org/jabref/logic/l10n/Localization.java</t>
        </is>
      </c>
      <c r="C651">
        <f>HYPERLINK("https://github.com/JabRef/jabref/blob/master/jablib/src/main/java/org/jabref/logic/l10n/Localization.java")</f>
        <v/>
      </c>
      <c r="D651" t="inlineStr">
        <is>
          <t>The provided code is a Java class for localization in JabRef application. It handles the translation of messages and menu entries to the preferred language set by the user. Messages are stored as keys inside `l10n` properties files that hold translations for any number of languages. When a message is accessed, it needs to be unescaped and parameters (if present</t>
        </is>
      </c>
      <c r="E651" t="n">
        <v>0.003</v>
      </c>
      <c r="F651" t="n">
        <v>0.0294</v>
      </c>
      <c r="G651" t="n">
        <v>0.0379</v>
      </c>
      <c r="H651" t="inlineStr">
        <is>
          <t>The provided code appears to be a Java class that handles localization and internationalization of messages in JabRef software. The function `getLocalizedMessage()` is used for retrieving localized strings from the properties files based on user's locale settings. It takes two parameters - key (which represents the message identifier), and an optional parameter specifying default value if no corresponding translation can be found</t>
        </is>
      </c>
      <c r="I651" t="n">
        <v>0.0029</v>
      </c>
      <c r="J651" t="n">
        <v>0.0857</v>
      </c>
      <c r="K651" t="n">
        <v>0.0746</v>
      </c>
      <c r="L651" t="inlineStr">
        <is>
          <t>The provided code is a Java class that handles localization of messages and menu entries in the preferred language of the user. It uses ResourceBundles to store translations for any number of languages. The main purpose of this class seems to be providing an interface for accessing localized strings with optional parameters. Code complexity appears to be O(N) as it involves operations on collections like ArrayList and HashMap</t>
        </is>
      </c>
      <c r="M651" t="n">
        <v>0.0027</v>
      </c>
      <c r="N651" t="n">
        <v>0.0519</v>
      </c>
      <c r="O651" t="n">
        <v>0.1071</v>
      </c>
    </row>
    <row r="652">
      <c r="A652" t="inlineStr">
        <is>
          <t>jabref</t>
        </is>
      </c>
      <c r="B652" t="inlineStr">
        <is>
          <t>jablib/src/main/java/org/jabref/logic/l10n/Language.java</t>
        </is>
      </c>
      <c r="C652">
        <f>HYPERLINK("https://github.com/JabRef/jabref/blob/master/jablib/src/main/java/org/jabref/logic/l10n/Language.java")</f>
        <v/>
      </c>
      <c r="D652" t="inlineStr">
        <is>
          <t>The code provided is a Java enum named Language that represents all the supported languages in JabRef software. Each language has an associated display name and ISO 639-1 two letter locale code. The complexity of this code is O(N), where N refers to the number of different languages being represented by this enum. It's implemented as part of backend software components for managing localization</t>
        </is>
      </c>
      <c r="E652" t="n">
        <v>0.0034</v>
      </c>
      <c r="F652" t="n">
        <v>0.0533</v>
      </c>
      <c r="G652" t="n">
        <v>0.1838</v>
      </c>
      <c r="H652" t="inlineStr">
        <is>
          <t>The provided code is a Java program that contains an enumeration of supported languages and their corresponding locale codes. The language names are in different languages (like Arabic, Finnish etc.) while the locale codes correspond to standard ISO 639-1 two letter codes for these languages. This package seems to be part of a larger software system which might contain localization functionalities related to b</t>
        </is>
      </c>
      <c r="I652" t="n">
        <v>0.0037</v>
      </c>
      <c r="J652" t="n">
        <v>0.0822</v>
      </c>
      <c r="K652" t="n">
        <v>0.1471</v>
      </c>
      <c r="L652" t="inlineStr">
        <is>
          <t>The provided code file is a Java program that contains an enumeration named Language which represents different languages supported by the application. Each language has a name and corresponding locale identifier (e.g., "en" for English). The purpose of this enum is to provide a list of all supported languages in the application along with their respective locales. This information can be used to translate user interface elements or to</t>
        </is>
      </c>
      <c r="M652" t="n">
        <v>0.0031</v>
      </c>
      <c r="N652" t="n">
        <v>0.0256</v>
      </c>
      <c r="O652" t="n">
        <v>0.1064</v>
      </c>
    </row>
    <row r="653">
      <c r="A653" t="inlineStr">
        <is>
          <t>jabref</t>
        </is>
      </c>
      <c r="B653" t="inlineStr">
        <is>
          <t>jablib/src/main/java/org/jabref/logic/icore/ConferenceUtils.java</t>
        </is>
      </c>
      <c r="C653">
        <f>HYPERLINK("https://github.com/JabRef/jabref/blob/master/jablib/src/main/java/org/jabref/logic/icore/ConferenceUtils.java")</f>
        <v/>
      </c>
      <c r="D653" t="inlineStr">
        <is>
          <t>The provided code is a utility class for handling conference related tasks in the JabRef software application. It provides functionality to extract strings within parenthesis and match years of type 19XX or 20XX as well as ordinals formatted in LaTeX syntax (e.g., [number]\textsuperscript{[st|nd|rd|th]}). The</t>
        </is>
      </c>
      <c r="E653" t="n">
        <v>0.0055</v>
      </c>
      <c r="F653" t="n">
        <v>0.1034</v>
      </c>
      <c r="G653" t="n">
        <v>0.1293</v>
      </c>
      <c r="H653" t="inlineStr">
        <is>
          <t>The provided code is a Java class named ConferenceUtils that contains several utility methods for handling conference related tasks such as extracting the string within the first deepest set of parentheses in a given input String and matching all years of type 19XX or 20XX. The complexity of these operations are O(n), where n represents the length of the input String.</t>
        </is>
      </c>
      <c r="I653" t="n">
        <v>0.003</v>
      </c>
      <c r="J653" t="n">
        <v>0.0286</v>
      </c>
      <c r="K653" t="n">
        <v>0.0376</v>
      </c>
      <c r="L653" t="inlineStr">
        <is>
          <t>The provided code is a Java class named `ConferenceUtils` which contains several utility methods for handling conference related tasks such as extracting the string within the first deepest set of parentheses and matching years in formats like 19XX or 20XX along with ordinals that can be either in form [number][st|nd|rd|th]. This class</t>
        </is>
      </c>
      <c r="M653" t="n">
        <v>0.0042</v>
      </c>
      <c r="N653" t="n">
        <v>0.0312</v>
      </c>
      <c r="O653" t="n">
        <v>0.0806</v>
      </c>
    </row>
    <row r="654">
      <c r="A654" t="inlineStr">
        <is>
          <t>jabref</t>
        </is>
      </c>
      <c r="B654" t="inlineStr">
        <is>
          <t>jablib/src/main/java/org/jabref/logic/icore/ConferenceRepository.java</t>
        </is>
      </c>
      <c r="C654">
        <f>HYPERLINK("https://github.com/JabRef/jabref/blob/master/jablib/src/main/java/org/jabref/logic/icore/ConferenceRepository.java")</f>
        <v/>
      </c>
      <c r="D654" t="inlineStr">
        <is>
          <t>The provided code is a Java package named `org.jabref.logic.icore` that handles loading and storing the latest ICORE Conference Ranking Data from an external source (link to Core website). It also provides functionality for looking up conference data using either its acronym or full title. The ranking data comes from &lt;a href="https://portal.core.</t>
        </is>
      </c>
      <c r="E654" t="n">
        <v>0.0043</v>
      </c>
      <c r="F654" t="n">
        <v>0.0615</v>
      </c>
      <c r="G654" t="n">
        <v>0.122</v>
      </c>
      <c r="H654" t="inlineStr">
        <is>
          <t>ThegivenJava code is a part of an ICORE repository that contains backend software components for handling conference ranking data and providing lookups using the acronym or full title of a conference. The functionality includes loading and storing this latest data from &lt;a href="https://portal.core.edu.au/conf-ranks/"&gt;the ICORE Conference Ranking Portal</t>
        </is>
      </c>
      <c r="I654" t="n">
        <v>0.0051</v>
      </c>
      <c r="J654" t="n">
        <v>0.09520000000000001</v>
      </c>
      <c r="K654" t="n">
        <v>0.1681</v>
      </c>
      <c r="L654" t="inlineStr">
        <is>
          <t>The provided code is a Java program that loads and stores the latest ICORE Conference Ranking Data from an external source (link in README). The data includes conference rankings based on various metrics such as impact factor, publication density etc. It also allows lookups using either the acronym or full title of a conference. This functionality can be summarized as follows: "Loads and</t>
        </is>
      </c>
      <c r="M654" t="n">
        <v>0.0038</v>
      </c>
      <c r="N654" t="n">
        <v>0.08450000000000001</v>
      </c>
      <c r="O654" t="n">
        <v>0.1111</v>
      </c>
    </row>
    <row r="655">
      <c r="A655" t="inlineStr">
        <is>
          <t>jabref</t>
        </is>
      </c>
      <c r="B655" t="inlineStr">
        <is>
          <t>jablib/src/main/java/org/jabref/logic/texparser/TexBibEntriesResolver.java</t>
        </is>
      </c>
      <c r="C655">
        <f>HYPERLINK("https://github.com/JabRef/jabref/blob/master/jablib/src/main/java/org/jabref/logic/texparser/TexBibEntriesResolver.java")</f>
        <v/>
      </c>
      <c r="D655" t="inlineStr">
        <is>
          <t>The code provided is a Java class named TexBibEntriesResolver which resolves Bib entries from LaTeX files and integrates them into the JabRef database system. It uses several external libraries such as org.slf4j for logging purposes. The complexity of this class appears to be O(n), where n represents some aspect of the input data size (not specified</t>
        </is>
      </c>
      <c r="E655" t="n">
        <v>0.0033</v>
      </c>
      <c r="F655" t="n">
        <v>0.0303</v>
      </c>
      <c r="G655" t="n">
        <v>0.1172</v>
      </c>
      <c r="H655" t="inlineStr">
        <is>
          <t>The provided code is a Java class named TexBibEntriesResolver that handles the resolution of BibTeX entries in JabRef software. It uses several other classes and libraries to parse LaTeX files and extract references from them. The complexity can be considered as O(N), where N represents the number of lines or characters in the input file. This implies that for each line</t>
        </is>
      </c>
      <c r="I655" t="n">
        <v>0.0036</v>
      </c>
      <c r="J655" t="n">
        <v>0.0571</v>
      </c>
      <c r="K655" t="n">
        <v>0.1128</v>
      </c>
      <c r="L655" t="inlineStr">
        <is>
          <t>The provided code is a Java class named `TexBibEntriesResolver` that resolves BibTeX entries from LaTeX files and updates the master database accordingly. The main purpose of this class seems to be managing importing of new data into an existing bibliography management system based on user preferences for imported formats. It uses several external libraries including JabRef's core</t>
        </is>
      </c>
      <c r="M655" t="n">
        <v>0.0038</v>
      </c>
      <c r="N655" t="n">
        <v>0.0606</v>
      </c>
      <c r="O655" t="n">
        <v>0.155</v>
      </c>
    </row>
    <row r="656">
      <c r="A656" t="inlineStr">
        <is>
          <t>jabref</t>
        </is>
      </c>
      <c r="B656" t="inlineStr">
        <is>
          <t>jablib/src/main/java/org/jabref/logic/texparser/LatexParser.java</t>
        </is>
      </c>
      <c r="C656">
        <f>HYPERLINK("https://github.com/JabRef/jabref/blob/master/jablib/src/main/java/org/jabref/logic/texparser/LatexParser.java")</f>
        <v/>
      </c>
      <c r="D656" t="inlineStr">
        <is>
          <t>The provided code is a Java interface named `LatexParser` that provides two methods for parsing LaTeX files - one taking in a cite string (i.e., text containing citations), and the other takes in a path to a single LaTeX file. The parsed results are returned as instances of `LatexParserResult` or `Optional&lt;</t>
        </is>
      </c>
      <c r="E656" t="n">
        <v>0.0036</v>
      </c>
      <c r="F656" t="n">
        <v>0.0339</v>
      </c>
      <c r="G656" t="n">
        <v>0.0407</v>
      </c>
      <c r="H656" t="inlineStr">
        <is>
          <t>The provided code is a Java interface for parsing LaTeX files and extracts bibliography entries from them. The complexity of the parse method depends on how many lines are in the file being parsed (i.e., O(N)). It has two implementations - one that takes a cite string as input and returns a LatexParserResult where Path is an empty string and</t>
        </is>
      </c>
      <c r="I656" t="n">
        <v>0.003</v>
      </c>
      <c r="J656" t="n">
        <v>0.058</v>
      </c>
      <c r="K656" t="n">
        <v>0.07580000000000001</v>
      </c>
      <c r="L656" t="inlineStr">
        <is>
          <t>The provided code is a Java interface for parsing LaTeX files and extracting bibliography information from them. It has two methods parse(), one that takes in a cite string (e.g., "Smith et al. 2019") and returns a LatexParserResult object with the path as "" and line number as 1. The other method parse</t>
        </is>
      </c>
      <c r="M656" t="n">
        <v>0.0035</v>
      </c>
      <c r="N656" t="n">
        <v>0.0328</v>
      </c>
      <c r="O656" t="n">
        <v>0.04</v>
      </c>
    </row>
    <row r="657">
      <c r="A657" t="inlineStr">
        <is>
          <t>jabref</t>
        </is>
      </c>
      <c r="B657" t="inlineStr">
        <is>
          <t>jablib/src/main/java/org/jabref/logic/texparser/DefaultLatexParser.java</t>
        </is>
      </c>
      <c r="C657">
        <f>HYPERLINK("https://github.com/JabRef/jabref/blob/master/jablib/src/main/java/org/jabref/logic/texparser/DefaultLatexParser.java")</f>
        <v/>
      </c>
      <c r="D657" t="inlineStr">
        <is>
          <t>The code provided is a Java implementation of the DefaultLatexParser class which implements the LatexParser interface from JabRef library for parsing LaTeX files and extracting citation references in BibTex format. The parser reads .tex (LaTeX) file line by line using LineNumberReader to parse citations based on specific patterns defined in regular expressions. It</t>
        </is>
      </c>
      <c r="E657" t="n">
        <v>0.0041</v>
      </c>
      <c r="F657" t="n">
        <v>0.06560000000000001</v>
      </c>
      <c r="G657" t="n">
        <v>0.12</v>
      </c>
      <c r="H657" t="inlineStr">
        <is>
          <t>The function `add` in the provided code is used to add two numbers together and return their sum. It has a time complexity of O(1), as it performs a single operation regardless of input size. The comments indicate that this function implements addition functionality.
```python
# This repository contains backend software components.
# Complexity: O(N)
# Comments:</t>
        </is>
      </c>
      <c r="I657" t="n">
        <v>0.0045</v>
      </c>
      <c r="J657" t="n">
        <v>0.09379999999999999</v>
      </c>
      <c r="K657" t="n">
        <v>0.1938</v>
      </c>
      <c r="L657" t="inlineStr">
        <is>
          <t>The code provided is a Java class named `DefaultLatexParser` that implements the interface `LatexParser`. This class has several static final variables and two private methods. The main purpose of this class seems to be parsing LaTeX files for specific patterns (e.g., cite commands) and returning results in an object format. 
The input could</t>
        </is>
      </c>
      <c r="M657" t="n">
        <v>0.0045</v>
      </c>
      <c r="N657" t="n">
        <v>0.0645</v>
      </c>
      <c r="O657" t="n">
        <v>0.12</v>
      </c>
    </row>
    <row r="658">
      <c r="A658" t="inlineStr">
        <is>
          <t>jabref</t>
        </is>
      </c>
      <c r="B658" t="inlineStr">
        <is>
          <t>jablib/src/main/java/org/jabref/logic/exporter/MetaDataSerializer.java</t>
        </is>
      </c>
      <c r="C658">
        <f>HYPERLINK("https://github.com/JabRef/jabref/blob/master/jablib/src/main/java/org/jabref/logic/exporter/MetaDataSerializer.java")</f>
        <v/>
      </c>
      <c r="D658" t="inlineStr">
        <is>
          <t>The provided code is a Java class named `MetaDataSerializer` which handles the serialization of metadata into various formats such as BibTeX and CSL JSON. The complexity of this operation is O(n), where n represents the number of entries in the metadata. It reads data from an instance of MetaData object using org.jabref.logic.importer.util.</t>
        </is>
      </c>
      <c r="E658" t="n">
        <v>0.0035</v>
      </c>
      <c r="F658" t="n">
        <v>0.0615</v>
      </c>
      <c r="G658" t="n">
        <v>0.121</v>
      </c>
      <c r="H658" t="inlineStr">
        <is>
          <t>The code you provided is a Java class named `MetaDataSerializer` that contains methods for serializing metadata from the JabRef software library. The complexity of these operations are O(n), where n represents the number of entries in the meta data structure. This means they scale linearly with the size of the input.
The main method within this class appears to be responsible for reading and</t>
        </is>
      </c>
      <c r="I658" t="n">
        <v>0.0037</v>
      </c>
      <c r="J658" t="n">
        <v>0.0548</v>
      </c>
      <c r="K658" t="n">
        <v>0.1103</v>
      </c>
      <c r="L658" t="inlineStr">
        <is>
          <t>The provided code is a Java class named `MetaDataSerializer` which appears to be part of the JabRef software's backend logic components. This class seems to handle serialization and deserialization of metadata objects in various formats such as BibTeX or CSL JSON.
It has several dependencies on other classes like `MetaData`, `ContentSelector`, `</t>
        </is>
      </c>
      <c r="M658" t="n">
        <v>0.0042</v>
      </c>
      <c r="N658" t="n">
        <v>0.0667</v>
      </c>
      <c r="O658" t="n">
        <v>0.121</v>
      </c>
    </row>
    <row r="659">
      <c r="A659" t="inlineStr">
        <is>
          <t>jabref</t>
        </is>
      </c>
      <c r="B659" t="inlineStr">
        <is>
          <t>jablib/src/main/java/org/jabref/logic/exporter/SaveException.java</t>
        </is>
      </c>
      <c r="C659">
        <f>HYPERLINK("https://github.com/JabRef/jabref/blob/master/jablib/src/main/java/org/jabref/logic/exporter/SaveException.java")</f>
        <v/>
      </c>
      <c r="D659" t="inlineStr">
        <is>
          <t>The provided code is a custom exception class `SaveException` in the JabRef software package. This class extends from Java's built-in Exception class and provides specific types of exceptions that can occur during saving operations in JabRef. The possible reasons for these exceptions are file locking by another instance of JabRef or being unable to create backup files. If caused by a specific B</t>
        </is>
      </c>
      <c r="E659" t="n">
        <v>0.0038</v>
      </c>
      <c r="F659" t="n">
        <v>0.0548</v>
      </c>
      <c r="G659" t="n">
        <v>0.1111</v>
      </c>
      <c r="H659" t="inlineStr">
        <is>
          <t>The given code is a Java class that extends the built-in Exception class to create custom exceptions for saving operations in JabRef software. The class has three static final variables representing different types of save errors and two private instance variables storing information about which entry caused the problem and what was the status at the time of the error. There are also several constructors defined for creating SaveExceptions with or</t>
        </is>
      </c>
      <c r="I659" t="n">
        <v>0.0026</v>
      </c>
      <c r="J659" t="n">
        <v>0.05</v>
      </c>
      <c r="K659" t="n">
        <v>0.035</v>
      </c>
      <c r="L659" t="inlineStr">
        <is>
          <t>The provided code is part of a backend software component for managing and saving BibTeX entries in JabRef, a bibliography management tool. The main purpose of this code is to handle exceptions that may arise during the save process. It keeps track of which entry caused an issue by storing it as a private variable within the SaveException class. This exception can be thrown if there are issues</t>
        </is>
      </c>
      <c r="M659" t="n">
        <v>0.0035</v>
      </c>
      <c r="N659" t="n">
        <v>0.0526</v>
      </c>
      <c r="O659" t="n">
        <v>0.1429</v>
      </c>
    </row>
    <row r="660">
      <c r="A660" t="inlineStr">
        <is>
          <t>jabref</t>
        </is>
      </c>
      <c r="B660" t="inlineStr">
        <is>
          <t>jablib/src/main/java/org/jabref/logic/exporter/OpenDocumentSpreadsheetCreator.java</t>
        </is>
      </c>
      <c r="C660">
        <f>HYPERLINK("https://github.com/JabRef/jabref/blob/master/jablib/src/main/java/org/jabref/logic/exporter/OpenDocumentSpreadsheetCreator.java")</f>
        <v/>
      </c>
      <c r="D660" t="inlineStr">
        <is>
          <t>The provided code is a Java implementation of ZIP file creation with custom entries and compression algorithm (in this case CRC32). It creates an output stream for the zip file and writes each entry to it using Buffered Input/Output streams along with standard java I/O operations. The size of the code base seems to be 1000 lines long which suggests that there may be</t>
        </is>
      </c>
      <c r="E660" t="n">
        <v>0.0028</v>
      </c>
      <c r="F660" t="n">
        <v>0.0541</v>
      </c>
      <c r="G660" t="n">
        <v>0.1471</v>
      </c>
      <c r="H660" t="inlineStr">
        <is>
          <t>The code you provided is a Java program that exports data from a BibTeX database to various formats such as XML and ZIP files. The functionality of this code includes the exporting process for different file types including XML, CSV, JSON, etc., with support for compression using zip archives (ZIP). It also handles localization of messages based on user's locale settings.</t>
        </is>
      </c>
      <c r="I660" t="n">
        <v>0.0036</v>
      </c>
      <c r="J660" t="n">
        <v>0.0286</v>
      </c>
      <c r="K660" t="n">
        <v>0.1128</v>
      </c>
      <c r="L660" t="inlineStr">
        <is>
          <t>The provided code is a Java class that exports data from a BibTeX database to various formats such as ZIP files containing XML and HTML representations of the entries in the database.
It accomplishes this by implementing methods for creating zip archives with specific content (XML &amp; HTML) inside them using java's built-in libraries like `java.util.zip` for handling</t>
        </is>
      </c>
      <c r="M660" t="n">
        <v>0.0031</v>
      </c>
      <c r="N660" t="n">
        <v>0.058</v>
      </c>
      <c r="O660" t="n">
        <v>0.1538</v>
      </c>
    </row>
    <row r="661">
      <c r="A661" t="inlineStr">
        <is>
          <t>jabref</t>
        </is>
      </c>
      <c r="B661" t="inlineStr">
        <is>
          <t>jablib/src/main/java/org/jabref/logic/exporter/SaveConfiguration.java</t>
        </is>
      </c>
      <c r="C661">
        <f>HYPERLINK("https://github.com/JabRef/jabref/blob/master/jablib/src/main/java/org/jabref/logic/exporter/SaveConfiguration.java")</f>
        <v/>
      </c>
      <c r="D661" t="inlineStr">
        <is>
          <t>The code is a Java class named `SaveConfiguration` that manages the configuration for saving data in BIB format. The class has four private fields (`reformatFile`, `saveOrder`, `makeBackup` and `saveType`). It also includes getter methods to access these variables but does not include setters which would allow modification of them after initialization.</t>
        </is>
      </c>
      <c r="E661" t="n">
        <v>0.0036</v>
      </c>
      <c r="F661" t="n">
        <v>0.0339</v>
      </c>
      <c r="G661" t="n">
        <v>0.0407</v>
      </c>
      <c r="H661" t="inlineStr">
        <is>
          <t>The provided code is a Java class named SaveConfiguration that contains several properties and constructors for initializing these properties with default or custom values. The main functionality of this class seems to be managing the configuration settings related to saving data (like order in which fields are saved, whether backups should be made, type of save operation etc.). 
Here's a summary of its functionalities:</t>
        </is>
      </c>
      <c r="I661" t="n">
        <v>0.0034</v>
      </c>
      <c r="J661" t="n">
        <v>0.0548</v>
      </c>
      <c r="K661" t="n">
        <v>0.1103</v>
      </c>
      <c r="L661" t="inlineStr">
        <is>
          <t>The provided code is a Java class named "SaveConfiguration". This class serves as the configuration for saving operations in Jabref software. It holds information about various aspects of save operation such as Save Order (ordering of fields to be saved), whether backup should be made or not, type of save (including jabref meta data) and if file needs reformatting before saving. The main</t>
        </is>
      </c>
      <c r="M661" t="n">
        <v>0.0034</v>
      </c>
      <c r="N661" t="n">
        <v>0.08450000000000001</v>
      </c>
      <c r="O661" t="n">
        <v>0.0741</v>
      </c>
    </row>
    <row r="662">
      <c r="A662" t="inlineStr">
        <is>
          <t>jabref</t>
        </is>
      </c>
      <c r="B662" t="inlineStr">
        <is>
          <t>jablib/src/main/java/org/jabref/logic/exporter/OpenDocumentRepresentation.java</t>
        </is>
      </c>
      <c r="C662">
        <f>HYPERLINK("https://github.com/JabRef/jabref/blob/master/jablib/src/main/java/org/jabref/logic/exporter/OpenDocumentRepresentation.java")</f>
        <v/>
      </c>
      <c r="D662" t="inlineStr">
        <is>
          <t>The provided code is a Java class named "OpenDocumentRepresentation". It appears to be part of the JabRef software project and it's responsible for handling representations of Open Document files (ODF). The complexity seems to be O(N), indicating that there may be some sort of loop or recursive function call within this class which operates on an input size N. There are also</t>
        </is>
      </c>
      <c r="E662" t="n">
        <v>0.0035</v>
      </c>
      <c r="F662" t="n">
        <v>0.0556</v>
      </c>
      <c r="G662" t="n">
        <v>0.1493</v>
      </c>
      <c r="H662" t="inlineStr">
        <is>
          <t>The code you provided is a Java class named `OpenDocumentRepresentation` that contains several import statements for various packages and classes used in the project. The main functionality of this class seems to be related to handling Open Document files (ODF), possibly using libraries such as Apache POI or similar. 
However, without more context or specific details about what it does, I can</t>
        </is>
      </c>
      <c r="I662" t="n">
        <v>0.0035</v>
      </c>
      <c r="J662" t="n">
        <v>0.0286</v>
      </c>
      <c r="K662" t="n">
        <v>0.1119</v>
      </c>
      <c r="L662" t="inlineStr">
        <is>
          <t>The code you provided is a Java class named `OpenDocumentRepresentation` that appears to be part of the JabRef software project's backend logic for handling BibTeX entries and database operations. 
Here are some key aspects about this class:
1. The main purpose of this class seems to be creating an Open Document representation from a given BibTe</t>
        </is>
      </c>
      <c r="M662" t="n">
        <v>0.0039</v>
      </c>
      <c r="N662" t="n">
        <v>0.0615</v>
      </c>
      <c r="O662" t="n">
        <v>0.1563</v>
      </c>
    </row>
    <row r="663">
      <c r="A663" t="inlineStr">
        <is>
          <t>jabref</t>
        </is>
      </c>
      <c r="B663" t="inlineStr">
        <is>
          <t>jablib/src/main/java/org/jabref/logic/exporter/OpenOfficeDocumentCreator.java</t>
        </is>
      </c>
      <c r="C663">
        <f>HYPERLINK("https://github.com/JabRef/jabref/blob/master/jablib/src/main/java/org/jabref/logic/exporter/OpenOfficeDocumentCreator.java")</f>
        <v/>
      </c>
      <c r="D663" t="inlineStr">
        <is>
          <t>The code provided is a Java implementation of exporting data from the JabRef software into various formats such as BibTeX, RIS, and XML. It includes functionality for compressing multiple files in ZIP format. The complexity seems to be O(N), but without more specific information about what's being measured (e.g., number of entries or size of database), it</t>
        </is>
      </c>
      <c r="E663" t="n">
        <v>0.0042</v>
      </c>
      <c r="F663" t="n">
        <v>0.0588</v>
      </c>
      <c r="G663" t="n">
        <v>0.155</v>
      </c>
      <c r="H663" t="inlineStr">
        <is>
          <t>The provided code is a Java program that exports data from a Bibliography Database (BibDatabase). It uses the java.util.zip library for creating zip files and javax.xml.transform for XML transformation. The complexity of this function appears to be O(N), where N represents the number of entries in the database as it iterates over each entry when writing them into the ZIP</t>
        </is>
      </c>
      <c r="I663" t="n">
        <v>0.003</v>
      </c>
      <c r="J663" t="n">
        <v>0.0548</v>
      </c>
      <c r="K663" t="n">
        <v>0.1136</v>
      </c>
      <c r="L663" t="inlineStr">
        <is>
          <t>The provided code is part of JabRef software and its purpose appears to be the exporting of a Bibliography Database in various formats such as XML, ZIP (for multiple files within one archive), or CSV. The main operations are writing data from an input database into different output streams based on file types specified by users. 
It takes a list of entries (B</t>
        </is>
      </c>
      <c r="M663" t="n">
        <v>0.0034</v>
      </c>
      <c r="N663" t="n">
        <v>0.0563</v>
      </c>
      <c r="O663" t="n">
        <v>0.1111</v>
      </c>
    </row>
    <row r="664">
      <c r="A664" t="inlineStr">
        <is>
          <t>jabref</t>
        </is>
      </c>
      <c r="B664" t="inlineStr">
        <is>
          <t>jablib/src/main/java/org/jabref/logic/exporter/XmpPdfExporter.java</t>
        </is>
      </c>
      <c r="C664">
        <f>HYPERLINK("https://github.com/JabRef/jabref/blob/master/jablib/src/main/java/org/jabref/logic/exporter/XmpPdfExporter.java")</f>
        <v/>
      </c>
      <c r="D664" t="inlineStr">
        <is>
          <t>The code provided is a Java class named XmpPdfExporter that extends the Exporter class from JabRef software library for exporting Bibliography Database entries to PDF files with enhanced metadata using Apache PDFBox and XML Metadata Platform (XMP). The functionality of this class involves creating a new PDF document, adding pages to it, writing text content on those pages in different fonts,</t>
        </is>
      </c>
      <c r="E664" t="n">
        <v>0.0039</v>
      </c>
      <c r="F664" t="n">
        <v>0.058</v>
      </c>
      <c r="G664" t="n">
        <v>0.1504</v>
      </c>
      <c r="H664" t="inlineStr">
        <is>
          <t>The code you provided is a Java class named XmpPdfExporter that extends the Exporter class from JabRef software library for exporting bibliography entries to PDF files with extended metadata (XMP). It uses Apache PDFBox library for generating and manipulating PDF documents. The complexity of this implementation seems O(N), where N represents the number of BibEntries being processed</t>
        </is>
      </c>
      <c r="I664" t="n">
        <v>0.0038</v>
      </c>
      <c r="J664" t="n">
        <v>0.0606</v>
      </c>
      <c r="K664" t="n">
        <v>0.1938</v>
      </c>
      <c r="L664" t="inlineStr">
        <is>
          <t>The provided code is an implementation of the XMP PDF Exporter class in JabRef, a bibliography reference manager for researchers and academics. The main purpose of this class seems to be generating a PDF file from BibTeX entries using XMP metadata. This process involves creating a new PDF document with one page per entry, writing each entry's data into that page as X</t>
        </is>
      </c>
      <c r="M664" t="n">
        <v>0.0034</v>
      </c>
      <c r="N664" t="n">
        <v>0.0556</v>
      </c>
      <c r="O664" t="n">
        <v>0.1481</v>
      </c>
    </row>
    <row r="665">
      <c r="A665" t="inlineStr">
        <is>
          <t>jabref</t>
        </is>
      </c>
      <c r="B665" t="inlineStr">
        <is>
          <t>jablib/src/main/java/org/jabref/logic/exporter/EndnoteXmlExporter.java</t>
        </is>
      </c>
      <c r="C665">
        <f>HYPERLINK("https://github.com/JabRef/jabref/blob/master/jablib/src/main/java/org/jabref/logic/exporter/EndnoteXmlExporter.java")</f>
        <v/>
      </c>
      <c r="D665" t="inlineStr">
        <is>
          <t>The provided code is a Java class that exports data from a Bibliography Database (`BibDatabase` object) to various formats including XML and CSV using the JabRef software library. The export functionality includes methods for creating `Document` objects which are then transformed into different output types such as XML or CSV files with customizable configurations. This process involves parsing of</t>
        </is>
      </c>
      <c r="E665" t="n">
        <v>0.0044</v>
      </c>
      <c r="F665" t="n">
        <v>0.0597</v>
      </c>
      <c r="G665" t="n">
        <v>0.1527</v>
      </c>
      <c r="H665" t="inlineStr">
        <is>
          <t>The code you provided is a Java class that exports BibTeX entries to XML format using the JabRef library's backend components. The complexity of this operation appears to be O(N), where N represents the number of BibTeX entries in the database being exported. This means that for each entry processed, some amount of work (represented by 'N') must occur</t>
        </is>
      </c>
      <c r="I665" t="n">
        <v>0.0031</v>
      </c>
      <c r="J665" t="n">
        <v>0.029</v>
      </c>
      <c r="K665" t="n">
        <v>0.07630000000000001</v>
      </c>
      <c r="L665" t="inlineStr">
        <is>
          <t>The provided code is a Java class named BibtexXmlExporter in the org.jabref.logic.exporter package that exports a list of entries from a bibliography database to XML format. 
The main purpose of this class is to transform data stored in an object model (a BibDatabase) into XML format for easy sharing and storage purposes.</t>
        </is>
      </c>
      <c r="M665" t="n">
        <v>0.0035</v>
      </c>
      <c r="N665" t="n">
        <v>0.0635</v>
      </c>
      <c r="O665" t="n">
        <v>0.0806</v>
      </c>
    </row>
    <row r="666">
      <c r="A666" t="inlineStr">
        <is>
          <t>jabref</t>
        </is>
      </c>
      <c r="B666" t="inlineStr">
        <is>
          <t>jablib/src/main/java/org/jabref/logic/exporter/AtomicFileOutputStream.java</t>
        </is>
      </c>
      <c r="C666">
        <f>HYPERLINK("https://github.com/JabRef/jabref/blob/master/jablib/src/main/java/org/jabref/logic/exporter/AtomicFileOutputStream.java")</f>
        <v/>
      </c>
      <c r="D666" t="inlineStr">
        <is>
          <t>```plaintext
The code provided is a Java class that extends `FilterOutputStream` and serves as an alternative to the standard `FileOutputStream`. The main difference between these two classes lies in how they handle file writing operations. Instead of directly writing data to the target file (as done by `FileOutputStream`), this custom stream writes all data first into a temporary file with a '.tmp</t>
        </is>
      </c>
      <c r="E666" t="n">
        <v>0.0029</v>
      </c>
      <c r="F666" t="n">
        <v>0.0286</v>
      </c>
      <c r="G666" t="n">
        <v>0.0746</v>
      </c>
      <c r="H666" t="inlineStr">
        <is>
          <t>The code provided is a Java implementation of an output stream that writes to a temporary file first before replacing the target file atomically when closed. The strategy used in this class involves writing to a temporary file with a .tmp suffix and then creating a backup of the original file. This ensures data integrity as any errors or issues during the write process can be easily recovered from the backed up version of the file</t>
        </is>
      </c>
      <c r="I666" t="n">
        <v>0.0028</v>
      </c>
      <c r="J666" t="n">
        <v>0.0476</v>
      </c>
      <c r="K666" t="n">
        <v>0.1351</v>
      </c>
      <c r="L666" t="inlineStr">
        <is>
          <t>The code you provided is a Java class that extends `FilterOutputStream` and overrides its write method to first write data to a temporary file with the same name but a .tmp extension in the same directory as the target file. When closed (using the close() method), it atomically replaces the target file with the contents of this temporary file. This strategy ensures atomic backups or transactions where either</t>
        </is>
      </c>
      <c r="M666" t="n">
        <v>0.0032</v>
      </c>
      <c r="N666" t="n">
        <v>0.0263</v>
      </c>
      <c r="O666" t="n">
        <v>0.07140000000000001</v>
      </c>
    </row>
    <row r="667">
      <c r="A667" t="inlineStr">
        <is>
          <t>jabref</t>
        </is>
      </c>
      <c r="B667" t="inlineStr">
        <is>
          <t>jablib/src/main/java/org/jabref/logic/exporter/SelfContainedSaveConfiguration.java</t>
        </is>
      </c>
      <c r="C667">
        <f>HYPERLINK("https://github.com/JabRef/jabref/blob/master/jablib/src/main/java/org/jabref/logic/exporter/SelfContainedSaveConfiguration.java")</f>
        <v/>
      </c>
      <c r="D667" t="inlineStr">
        <is>
          <t>The code provided is a Java class `SelfContainedSaveConfiguration` that extends the `SaveConfiguration` class from JabRef software library. This class represents a self-contained save configuration which includes information about the Save Order (which can be either normal or custom), whether to make backup before saving, what type of file format to use for saving, and if it should reformat the file</t>
        </is>
      </c>
      <c r="E667" t="n">
        <v>0.004</v>
      </c>
      <c r="F667" t="n">
        <v>0.058</v>
      </c>
      <c r="G667" t="n">
        <v>0.1515</v>
      </c>
      <c r="H667" t="inlineStr">
        <is>
          <t>The provided code is a Java class named SelfContainedSaveConfiguration that extends the SaveConfiguration class from JabRef library. This class has two constructors and it overrides getSaveOrder method to return an instance of SelfContainedSaveOrder. The complexity of this implementation seems O(N), as there are no nested loops or recursive calls in the methods implemented here. It's hard</t>
        </is>
      </c>
      <c r="I667" t="n">
        <v>0.0039</v>
      </c>
      <c r="J667" t="n">
        <v>0.0606</v>
      </c>
      <c r="K667" t="n">
        <v>0.1172</v>
      </c>
      <c r="L667" t="inlineStr">
        <is>
          <t>```java
The provided code is a Java class named `SelfContainedSaveConfiguration` that extends the functionality of another class called `SaveConfiguration` in JabRef software library. This class represents a self-contained save configuration which includes information about saving order (a SaveOrder object), whether to make backup or not, type of saved file and if it needs reformatting. The</t>
        </is>
      </c>
      <c r="M667" t="n">
        <v>0.0047</v>
      </c>
      <c r="N667" t="n">
        <v>0.0625</v>
      </c>
      <c r="O667" t="n">
        <v>0.1575</v>
      </c>
    </row>
    <row r="668">
      <c r="A668" t="inlineStr">
        <is>
          <t>jabref</t>
        </is>
      </c>
      <c r="B668" t="inlineStr">
        <is>
          <t>jablib/src/main/java/org/jabref/logic/exporter/BibDatabaseWriter.java</t>
        </is>
      </c>
      <c r="C668">
        <f>HYPERLINK("https://github.com/JabRef/jabref/blob/master/jablib/src/main/java/org/jabref/logic/exporter/BibDatabaseWriter.java")</f>
        <v/>
      </c>
      <c r="D668" t="inlineStr">
        <is>
          <t>The provided code is a Java package that contains the logic for exporting bibliography entries in various formats such as BibTeX and other citation styles. It uses different utilities to handle sorting of fields and comparisons between entries. The complexity of this implementation appears to be O(N), where N represents the number of references being sorted or compared.
It also import</t>
        </is>
      </c>
      <c r="E668" t="n">
        <v>0.003</v>
      </c>
      <c r="F668" t="n">
        <v>0.0571</v>
      </c>
      <c r="G668" t="n">
        <v>0.1504</v>
      </c>
      <c r="H668" t="inlineStr">
        <is>
          <t>The provided code is a Java implementation of backend software components related to BibTeX references management. It includes various classes and interfaces for handling BibTeX entries, writing them in different formats, comparing fields, managing preferences for field orderings etc. The complexity appears to be O(N), as it involves operations on collections such as lists or sets that grow with the size of input data.</t>
        </is>
      </c>
      <c r="I668" t="n">
        <v>0.0034</v>
      </c>
      <c r="J668" t="n">
        <v>0.0548</v>
      </c>
      <c r="K668" t="n">
        <v>0.1103</v>
      </c>
      <c r="L668" t="inlineStr">
        <is>
          <t>The provided code is part of a Java library for handling BibTeX entries and exports them in various formats. The main purpose of this module seems to be the creation of customizable exporters that can handle different types of data export requests based on user preferences.
The code defines several classes related to writing BibTeX entries with specific formatting options according to field preferences. It</t>
        </is>
      </c>
      <c r="M668" t="n">
        <v>0.0033</v>
      </c>
      <c r="N668" t="n">
        <v>0.0548</v>
      </c>
      <c r="O668" t="n">
        <v>0.146</v>
      </c>
    </row>
    <row r="669">
      <c r="A669" t="inlineStr">
        <is>
          <t>jabref</t>
        </is>
      </c>
      <c r="B669" t="inlineStr">
        <is>
          <t>jablib/src/main/java/org/jabref/logic/exporter/AtomicFileWriter.java</t>
        </is>
      </c>
      <c r="C669">
        <f>HYPERLINK("https://github.com/JabRef/jabref/blob/master/jablib/src/main/java/org/jabref/logic/exporter/AtomicFileWriter.java")</f>
        <v/>
      </c>
      <c r="D669" t="inlineStr">
        <is>
          <t>The provided code is a Java class named `AtomicFileWriter` that extends the functionality of `OutputStreamWriter` by using an atomic file output stream as its underlying output stream. The purpose of this writer is to ensure that any errors during the write process do not destroy the content of the target file. It also checks if the chosen encoding supports all text written and retrieves characters whose encoding was problem</t>
        </is>
      </c>
      <c r="E669" t="n">
        <v>0.0031</v>
      </c>
      <c r="F669" t="n">
        <v>0.0519</v>
      </c>
      <c r="G669" t="n">
        <v>0.1064</v>
      </c>
      <c r="H669" t="inlineStr">
        <is>
          <t>The provided code is a Java class that extends the OutputStreamWriter to provide an atomic file writer. It checks if all characters in written text can be encoded using specified charset and throws IOException when it cannot encode some of them. The `AtomicFileOutputStream` used as underlying output stream ensures that errors during write process do not destroy content of target file. This implementation provides similar functionality with built-in</t>
        </is>
      </c>
      <c r="I669" t="n">
        <v>0.0035</v>
      </c>
      <c r="J669" t="n">
        <v>0.0779</v>
      </c>
      <c r="K669" t="n">
        <v>0.1429</v>
      </c>
      <c r="L669" t="inlineStr">
        <is>
          <t>The provided code is a Java class named `AtomicFileWriter` that extends the built-in `OutputStreamWriter` and uses an instance of `AtomicFileOutputStream` as its underlying output stream. This class ensures atomic writes to a file by making sure any errors during the write process do not destroy the content of the target file.
It checks if the chosen encoding supports all text</t>
        </is>
      </c>
      <c r="M669" t="n">
        <v>0.0036</v>
      </c>
      <c r="N669" t="n">
        <v>0.029</v>
      </c>
      <c r="O669" t="n">
        <v>0.1136</v>
      </c>
    </row>
    <row r="670">
      <c r="A670" t="inlineStr">
        <is>
          <t>jabref</t>
        </is>
      </c>
      <c r="B670" t="inlineStr">
        <is>
          <t>jablib/src/main/java/org/jabref/logic/exporter/ExporterFactory.java</t>
        </is>
      </c>
      <c r="C670">
        <f>HYPERLINK("https://github.com/JabRef/jabref/blob/master/jablib/src/main/java/org/jabref/logic/exporter/ExporterFactory.java")</f>
        <v/>
      </c>
      <c r="D670" t="inlineStr">
        <is>
          <t>The provided code is a Java class named `ExporterFactory` that creates an exporter factory with the ability to handle various types of export operations based on user preferences and custom configurations. The constructor takes in a list of `Exporter` objects as input which it stores internally for later use. There are two static methods defined - one to create an instance of this class using CliPreferences</t>
        </is>
      </c>
      <c r="E670" t="n">
        <v>0.0028</v>
      </c>
      <c r="F670" t="n">
        <v>0.0274</v>
      </c>
      <c r="G670" t="n">
        <v>0.1087</v>
      </c>
      <c r="H670" t="inlineStr">
        <is>
          <t>The code you provided is a Java class named `ExporterFactory` that creates an exporter object based on the given preferences and custom formatters for exporting bibliography data in various formats such as BibTeX or XMP. The complexity of this function is O(N), where N represents the number of custom formatter templates defined by users. It initializes with a list of</t>
        </is>
      </c>
      <c r="I670" t="n">
        <v>0.003</v>
      </c>
      <c r="J670" t="n">
        <v>0.058</v>
      </c>
      <c r="K670" t="n">
        <v>0.1136</v>
      </c>
      <c r="L670" t="inlineStr">
        <is>
          <t>The provided code snippet appears to be part of a Java application that creates an exporter factory for various types of exports in the JabRef reference management tool. 
Here's a concise summary of its functionality: This class `ExporterFactory` is responsible for creating instances of different exporters based on user preferences and custom configurations. The main purpose of this class is</t>
        </is>
      </c>
      <c r="M670" t="n">
        <v>0.0036</v>
      </c>
      <c r="N670" t="n">
        <v>0.058</v>
      </c>
      <c r="O670" t="n">
        <v>0.1136</v>
      </c>
    </row>
    <row r="671">
      <c r="A671" t="inlineStr">
        <is>
          <t>jabref</t>
        </is>
      </c>
      <c r="B671" t="inlineStr">
        <is>
          <t>jablib/src/main/java/org/jabref/logic/exporter/BlankLineBehaviour.java</t>
        </is>
      </c>
      <c r="C671">
        <f>HYPERLINK("https://github.com/JabRef/jabref/blob/master/jablib/src/main/java/org/jabref/logic/exporter/BlankLineBehaviour.java")</f>
        <v/>
      </c>
      <c r="D671" t="inlineStr">
        <is>
          <t>The code provided is an enumeration named `BlankLineBehaviour` that represents the behavior for blank lines in a {@link TemplateExporter}. It has two possible values - KEEP_BLANKS and DELETE_BLANKS. The complexity of this implementation is O(N), where N refers to the number of elements in the enum. This means it linearly scales with</t>
        </is>
      </c>
      <c r="E671" t="n">
        <v>0.0042</v>
      </c>
      <c r="F671" t="n">
        <v>0.0645</v>
      </c>
      <c r="G671" t="n">
        <v>0.121</v>
      </c>
      <c r="H671" t="inlineStr">
        <is>
          <t>ThegivenJava-basedcodeimplementsanenumcalled"BlankLineBehaviour".Ithasbeenintendedtocontrolhowmanyblanklinesshouldbetreatedbyatemplateexportingprocess.Therearetwooptionsdefinedinsuchasystem:"KEEP_BLANKS"(whereitpreservesallblanklines),and"DELETE_BLANKS"(whichdeletesthem</t>
        </is>
      </c>
      <c r="I671" t="n">
        <v>0</v>
      </c>
      <c r="J671" t="n">
        <v>0.1</v>
      </c>
      <c r="K671" t="n">
        <v>0</v>
      </c>
      <c r="L671" t="inlineStr">
        <is>
          <t>The provided code is an enum named BlankLineBehaviour that represents the behavior for blank lines in a Template Exporter. This enum has two options - KEEP_BLANKS and DELETE_BLANKS. The functionality of this code can be summarized as follows: It defines two behaviors or states for handling blank lines during exporting templates from JabRef software library.</t>
        </is>
      </c>
      <c r="M671" t="n">
        <v>0.0047</v>
      </c>
      <c r="N671" t="n">
        <v>0.0625</v>
      </c>
      <c r="O671" t="n">
        <v>0.1575</v>
      </c>
    </row>
    <row r="672">
      <c r="A672" t="inlineStr">
        <is>
          <t>jabref</t>
        </is>
      </c>
      <c r="B672" t="inlineStr">
        <is>
          <t>jablib/src/main/java/org/jabref/logic/exporter/MSBibExporter.java</t>
        </is>
      </c>
      <c r="C672">
        <f>HYPERLINK("https://github.com/JabRef/jabref/blob/master/jablib/src/main/java/org/jabref/logic/exporter/MSBibExporter.java")</f>
        <v/>
      </c>
      <c r="D672" t="inlineStr">
        <is>
          <t>The code provided is a Java class named MSBibExporter that extends the Exporter abstract class from JabRef library for exporting in Microsoft Bibliography XML (MSBib) format. The transformer factory used to transform DOM source into stream result during export operation has been initialized as final and private. This means it cannot be changed once set outside of this class.
The</t>
        </is>
      </c>
      <c r="E672" t="n">
        <v>0.0036</v>
      </c>
      <c r="F672" t="n">
        <v>0.0294</v>
      </c>
      <c r="G672" t="n">
        <v>0.1136</v>
      </c>
      <c r="H672" t="inlineStr">
        <is>
          <t>The code provided is a Java class named MSBibExporter that extends the Exporter abstract class from JabRef software library for exporting references in Microsoft Bibliography XML format (MSBib). The complexity of this implementation appears to be O(N), where N represents the number of entries being processed by the exporter. It involves creating and configuring a Transformer object which may</t>
        </is>
      </c>
      <c r="I672" t="n">
        <v>0.0037</v>
      </c>
      <c r="J672" t="n">
        <v>0.0882</v>
      </c>
      <c r="K672" t="n">
        <v>0.1527</v>
      </c>
      <c r="L672" t="inlineStr">
        <is>
          <t>The provided code is a Java class named MSBibExporter that extends the Exporter class from JabRef software library. The purpose of this class appears to be exporting Bibliography data in Microsoft's Office 2007 XML format (MSBib).č
   č
   This class has one private final TransformerFactory transformerFactory field which seems to serve</t>
        </is>
      </c>
      <c r="M672" t="n">
        <v>0.0044</v>
      </c>
      <c r="N672" t="n">
        <v>0.0345</v>
      </c>
      <c r="O672" t="n">
        <v>0.082</v>
      </c>
    </row>
    <row r="673">
      <c r="A673" t="inlineStr">
        <is>
          <t>jabref</t>
        </is>
      </c>
      <c r="B673" t="inlineStr">
        <is>
          <t>jablib/src/main/java/org/jabref/logic/exporter/Exporter.java</t>
        </is>
      </c>
      <c r="C673">
        <f>HYPERLINK("https://github.com/JabRef/jabref/blob/master/jablib/src/main/java/org/jabref/logic/exporter/Exporter.java")</f>
        <v/>
      </c>
      <c r="D673" t="inlineStr">
        <is>
          <t>The given code is an abstract class named "Exporter" in the package org.jabref.logic.exporter. This class represents a data exporter that can convert Bibliography Database entries into different file formats such as XML or CSV. The constructor of this class takes three parameters - id (a unique identifier), display name and File Type extension which are used to identify it uniquely</t>
        </is>
      </c>
      <c r="E673" t="n">
        <v>0.0036</v>
      </c>
      <c r="F673" t="n">
        <v>0.0571</v>
      </c>
      <c r="G673" t="n">
        <v>0.1136</v>
      </c>
      <c r="H673" t="inlineStr">
        <is>
          <t>The code you provided is a Java class definition for an abstract Exporter class in the JabRef software project. It has three private fields (`id`, `displayName` and `fileType`), two parametersized constructors to initialize these fields, and getters for them. The complexity of this code is O(1).
In summary, it provides functionality related to</t>
        </is>
      </c>
      <c r="I673" t="n">
        <v>0.0045</v>
      </c>
      <c r="J673" t="n">
        <v>0.0645</v>
      </c>
      <c r="K673" t="n">
        <v>0.16</v>
      </c>
      <c r="L673" t="inlineStr">
        <is>
          <t>The provided code is a Java class named `Exporter` that serves as an abstract base for different types of exporters in JabRef software library. This class has three private final fields (`id`, `displayName` and `fileType`) to store the unique identifier, display name and file type extension respectively. The class also contains two public methods namely constructor which initializes these</t>
        </is>
      </c>
      <c r="M673" t="n">
        <v>0.0041</v>
      </c>
      <c r="N673" t="n">
        <v>0.0597</v>
      </c>
      <c r="O673" t="n">
        <v>0.1145</v>
      </c>
    </row>
    <row r="674">
      <c r="A674" t="inlineStr">
        <is>
          <t>jabref</t>
        </is>
      </c>
      <c r="B674" t="inlineStr">
        <is>
          <t>jablib/src/main/java/org/jabref/logic/exporter/XmpExporter.java</t>
        </is>
      </c>
      <c r="C674">
        <f>HYPERLINK("https://github.com/JabRef/jabref/blob/master/jablib/src/main/java/org/jabref/logic/exporter/XmpExporter.java")</f>
        <v/>
      </c>
      <c r="D674" t="inlineStr">
        <is>
          <t>This code is a custom exporter for JabRef, an open-source bibliography management tool. The purpose of this class (`XmpExporter`), which extends the `Exporter` class in JabRef's logic module, is to export BibEntries into XMP files for further processing. 
In other scenarios and applications where X</t>
        </is>
      </c>
      <c r="E674" t="n">
        <v>0.0049</v>
      </c>
      <c r="F674" t="n">
        <v>0.1091</v>
      </c>
      <c r="G674" t="n">
        <v>0.08550000000000001</v>
      </c>
      <c r="H674" t="inlineStr">
        <is>
          <t>```java
// This class is a custom exporter that writes BibEntries to an XMP file for further processing in other scenarios and applications. 
// The XMP metadata are written in Dublin Core format. In this case, the exported data includes all fields except InternalFields (like "doi") which have been excluded from the output as they might not be</t>
        </is>
      </c>
      <c r="I674" t="n">
        <v>0.0037</v>
      </c>
      <c r="J674" t="n">
        <v>0.0625</v>
      </c>
      <c r="K674" t="n">
        <v>0.1154</v>
      </c>
      <c r="L674" t="inlineStr">
        <is>
          <t>The code provided is a custom exporter for JabRef software, which exports BibTeX entries to an XMP file in order to be processed further by other applications or scenarios. The purpose of the class `XmpExporter` is to write BibTeX metadata into Dublin Core format (a standard for describing resources) within an XMP file. This process involves writing specific metadata</t>
        </is>
      </c>
      <c r="M674" t="n">
        <v>0.0031</v>
      </c>
      <c r="N674" t="n">
        <v>0.0597</v>
      </c>
      <c r="O674" t="n">
        <v>0.07630000000000001</v>
      </c>
    </row>
    <row r="675">
      <c r="A675" t="inlineStr">
        <is>
          <t>jabref</t>
        </is>
      </c>
      <c r="B675" t="inlineStr">
        <is>
          <t>jablib/src/main/java/org/jabref/logic/exporter/BibWriter.java</t>
        </is>
      </c>
      <c r="C675">
        <f>HYPERLINK("https://github.com/JabRef/jabref/blob/master/jablib/src/main/java/org/jabref/logic/exporter/BibWriter.java")</f>
        <v/>
      </c>
      <c r="D675" t="inlineStr">
        <is>
          <t>```plaintext
// This class is used to write a string into a .bib file format. 
// It converts the new lines in the given string according to the new line separator provided at initialization of this object.
// The writer writes the given string and ensures that there's always a preceding new line before writing if required by calling code.
```</t>
        </is>
      </c>
      <c r="E675" t="n">
        <v>0.0036</v>
      </c>
      <c r="F675" t="n">
        <v>0.0606</v>
      </c>
      <c r="G675" t="n">
        <v>0.1128</v>
      </c>
      <c r="H675" t="inlineStr">
        <is>
          <t>```python
# This class is used to write a string into a .bib file format. 
# It converts new lines in the given string to match the new line separator of this class.
class BibWriter:
    def __init__(self, writer, new_line_separator):
        self.writer = writer
        self.</t>
        </is>
      </c>
      <c r="I675" t="n">
        <v>0.0043</v>
      </c>
      <c r="J675" t="n">
        <v>0.0385</v>
      </c>
      <c r="K675" t="n">
        <v>0.08699999999999999</v>
      </c>
      <c r="L675" t="inlineStr">
        <is>
          <t>This code is a Java class named `BibWriter` that writes strings to a BIB file format using the provided writer and new line separator. The purpose of this class seems to be to handle writing operations in a specific way related to BIB files (possibly for export purposes). 
 It maintains an internal state about whether it needs to write a preceding new line</t>
        </is>
      </c>
      <c r="M675" t="n">
        <v>0.0034</v>
      </c>
      <c r="N675" t="n">
        <v>0.0563</v>
      </c>
      <c r="O675" t="n">
        <v>0.1111</v>
      </c>
    </row>
    <row r="676">
      <c r="A676" t="inlineStr">
        <is>
          <t>jabref</t>
        </is>
      </c>
      <c r="B676" t="inlineStr">
        <is>
          <t>jablib/src/main/java/org/jabref/logic/exporter/GroupSerializer.java</t>
        </is>
      </c>
      <c r="C676">
        <f>HYPERLINK("https://github.com/JabRef/jabref/blob/master/jablib/src/main/java/org/jabref/logic/exporter/GroupSerializer.java")</f>
        <v/>
      </c>
      <c r="D676" t="inlineStr">
        <is>
          <t>The provided code is a Java class named `GroupSerializer` that handles the serialization of various types of groups in JabRef software. It imports several classes from different packages related to group management and string manipulation. The main functionality seems to be focused on converting complex data structures into strings for storage or transmission purposes. This could involve exporting metadata configurations, file utilities, string manipulations</t>
        </is>
      </c>
      <c r="E676" t="n">
        <v>0.0037</v>
      </c>
      <c r="F676" t="n">
        <v>0.0556</v>
      </c>
      <c r="G676" t="n">
        <v>0.1103</v>
      </c>
      <c r="H676" t="inlineStr">
        <is>
          <t>The provided code is a Java class named `GroupSerializer` that contains several private static methods for serializing different types of groups in the JabRef library. The complexity of these methods can be considered as O(n), where n represents the number of elements to process (like entries or keywords). Each method processes its specific group type and returns a string representation of it according to some predefined</t>
        </is>
      </c>
      <c r="I676" t="n">
        <v>0.0028</v>
      </c>
      <c r="J676" t="n">
        <v>0.0267</v>
      </c>
      <c r="K676" t="n">
        <v>0.0362</v>
      </c>
      <c r="L676" t="inlineStr">
        <is>
          <t>The provided code is a Java class named `GroupSerializer` that contains several methods for serializing different types of groups in the JabRef software library. The main purpose of this class seems to be to provide functionality related to group management and exporting these groups as strings or other formats.
Here are some key operations performed by the class:
1. Serializes an instance of</t>
        </is>
      </c>
      <c r="M676" t="n">
        <v>0.0038</v>
      </c>
      <c r="N676" t="n">
        <v>0.08450000000000001</v>
      </c>
      <c r="O676" t="n">
        <v>0.1481</v>
      </c>
    </row>
    <row r="677">
      <c r="A677" t="inlineStr">
        <is>
          <t>jabref</t>
        </is>
      </c>
      <c r="B677" t="inlineStr">
        <is>
          <t>jablib/src/main/java/org/jabref/logic/exporter/TemplateExporter.java</t>
        </is>
      </c>
      <c r="C677">
        <f>HYPERLINK("https://github.com/JabRef/jabref/blob/master/jablib/src/main/java/org/jabref/logic/exporter/TemplateExporter.java")</f>
        <v/>
      </c>
      <c r="D677" t="inlineStr">
        <is>
          <t>The provided code is a Java class that exports bibliographic data from the JabRef software library into various formats such as BibTeX or CSL JSON. It uses several libraries and classes to accomplish this task efficiently with time complexity O(N). The main components of the code include loading journal abbreviations for formatting citation styles, handling different file types (e.</t>
        </is>
      </c>
      <c r="E677" t="n">
        <v>0.0037</v>
      </c>
      <c r="F677" t="n">
        <v>0.0588</v>
      </c>
      <c r="G677" t="n">
        <v>0.1527</v>
      </c>
      <c r="H677" t="inlineStr">
        <is>
          <t>The code you provided is a Java program that reads from an input stream and converts it into a list of BibEntries. It then exports these entries to different file types based on the given layout formatting preferences. The complexity is O(N), where N represents the number of entries in the database. This means that for each entry processed, there will be one operation performed (in this</t>
        </is>
      </c>
      <c r="I677" t="n">
        <v>0.0032</v>
      </c>
      <c r="J677" t="n">
        <v>0.0263</v>
      </c>
      <c r="K677" t="n">
        <v>0.07190000000000001</v>
      </c>
      <c r="L677" t="inlineStr">
        <is>
          <t>The provided code is part of a Java application that exports bibliography entries in various formats such as BibTeX or CSL JSON. The main purpose of this module appears to be the generation and management of formatted output for citation styles based on input from a database context containing multiple types of references (entries).
It utilizes several core algorithms including loading journal abbreviations,</t>
        </is>
      </c>
      <c r="M677" t="n">
        <v>0.0038</v>
      </c>
      <c r="N677" t="n">
        <v>0.08450000000000001</v>
      </c>
      <c r="O677" t="n">
        <v>0.1852</v>
      </c>
    </row>
    <row r="678">
      <c r="A678" t="inlineStr">
        <is>
          <t>jabref</t>
        </is>
      </c>
      <c r="B678" t="inlineStr">
        <is>
          <t>jablib/src/main/java/org/jabref/logic/exporter/ExportPreferences.java</t>
        </is>
      </c>
      <c r="C678">
        <f>HYPERLINK("https://github.com/JabRef/jabref/blob/master/jablib/src/main/java/org/jabref/logic/exporter/ExportPreferences.java")</f>
        <v/>
      </c>
      <c r="D678" t="inlineStr">
        <is>
          <t>The provided code is a Java class named `ExportPreferences` that manages the preferences for export operations in JabRef software. It provides functionalities to set and get various properties related to exporters such as last used file extension (for exports), working directory of files being exported, save order preference among other things. The custom exporters are also managed by this class which could be any</t>
        </is>
      </c>
      <c r="E678" t="n">
        <v>0.0028</v>
      </c>
      <c r="F678" t="n">
        <v>0.0833</v>
      </c>
      <c r="G678" t="n">
        <v>0.1103</v>
      </c>
      <c r="H678" t="inlineStr">
        <is>
          <t>The code you provided is a Java class named `ExportPreferences` that encapsulates various export preferences for JabRef software. It includes properties such as the last file extension used for exports (`lastExportExtension`), the working directory where files are to be saved during an export operation (`exportWorkingDirectory`), and the order in which fields should be saved when performing an export</t>
        </is>
      </c>
      <c r="I678" t="n">
        <v>0.0031</v>
      </c>
      <c r="J678" t="n">
        <v>0.0606</v>
      </c>
      <c r="K678" t="n">
        <v>0.0769</v>
      </c>
      <c r="L678" t="inlineStr">
        <is>
          <t>The provided code is a Java class named `ExportPreferences` that manages the preferences for export operations in JabRef software. It holds properties related to last used file extension for exports, working directory of the export operation, save order preference and custom exporters list. The purpose of this class seems to be managing these settings which can then be utilized by other parts of the application as needed.</t>
        </is>
      </c>
      <c r="M678" t="n">
        <v>0.0027</v>
      </c>
      <c r="N678" t="n">
        <v>0.0533</v>
      </c>
      <c r="O678" t="n">
        <v>0.1079</v>
      </c>
    </row>
    <row r="679">
      <c r="A679" t="inlineStr">
        <is>
          <t>jabref</t>
        </is>
      </c>
      <c r="B679" t="inlineStr">
        <is>
          <t>jablib/src/main/java/org/jabref/logic/exporter/CffExporter.java</t>
        </is>
      </c>
      <c r="C679">
        <f>HYPERLINK("https://github.com/JabRef/jabref/blob/master/jablib/src/main/java/org/jabref/logic/exporter/CffExporter.java")</f>
        <v/>
      </c>
      <c r="D679" t="inlineStr">
        <is>
          <t>The provided code is a Java implementation of exporting data from the JabRef software library into various formats such as BibTeX and CSV files. It uses BufferedWriter for writing to file paths in NIO (New Input/Output). The complexity of this operation appears to be O(N), where N represents the number of entries being processed by the exporter. This might refer</t>
        </is>
      </c>
      <c r="E679" t="n">
        <v>0.004</v>
      </c>
      <c r="F679" t="n">
        <v>0.0571</v>
      </c>
      <c r="G679" t="n">
        <v>0.1894</v>
      </c>
      <c r="H679" t="inlineStr">
        <is>
          <t>The provided code is a Java implementation of core algorithms used in the backend software components of JabRef (a BibTeX database management tool). The main class `Exporter` exports entries from a BibDatabase to different file formats like CSV or XML based on user's preference and requirements. It uses several utility classes for handling various data types such as Author, Date etc., which</t>
        </is>
      </c>
      <c r="I679" t="n">
        <v>0.0039</v>
      </c>
      <c r="J679" t="n">
        <v>0.08450000000000001</v>
      </c>
      <c r="K679" t="n">
        <v>0.1866</v>
      </c>
      <c r="L679" t="inlineStr">
        <is>
          <t>```java
The code provided is a Java class that exports data from a BibTeX database to various formats such as CSV or XML files using the JabRef software library. It does this by iterating over each entry in the database and writing it out to an output file with specified formatting options. The purpose of the main method here appears to be to export entries</t>
        </is>
      </c>
      <c r="M679" t="n">
        <v>0.0033</v>
      </c>
      <c r="N679" t="n">
        <v>0.0548</v>
      </c>
      <c r="O679" t="n">
        <v>0.146</v>
      </c>
    </row>
    <row r="680">
      <c r="A680" t="inlineStr">
        <is>
          <t>jabref</t>
        </is>
      </c>
      <c r="B680" t="inlineStr">
        <is>
          <t>jablib/src/main/java/org/jabref/logic/exporter/ModsExporter.java</t>
        </is>
      </c>
      <c r="C680">
        <f>HYPERLINK("https://github.com/JabRef/jabref/blob/master/jablib/src/main/java/org/jabref/logic/exporter/ModsExporter.java")</f>
        <v/>
      </c>
      <c r="D680" t="inlineStr">
        <is>
          <t>The provided code is a Java implementation of an exporter for Bibliography Reference Database (BibTeX). It exports the data in various formats such as XML and other standard file types like .bib or .txt. The complexity of this code seems to be O(N), where N represents the number of entries in the database being exported. 
It uses several</t>
        </is>
      </c>
      <c r="E680" t="n">
        <v>0.0031</v>
      </c>
      <c r="F680" t="n">
        <v>0.0597</v>
      </c>
      <c r="G680" t="n">
        <v>0.1538</v>
      </c>
      <c r="H680" t="inlineStr">
        <is>
          <t>The provided code is a Java implementation of an exporter for BibTeX entries to XML format. It uses several external libraries and classes from the JabRef project (which seems like it's related to bibliography management software). The main functionality involves converting a list of `BibEntry` objects into an XML representation using various standard file types such as AUTHORITY or C</t>
        </is>
      </c>
      <c r="I680" t="n">
        <v>0.0036</v>
      </c>
      <c r="J680" t="n">
        <v>0.058</v>
      </c>
      <c r="K680" t="n">
        <v>0.1136</v>
      </c>
      <c r="L680" t="inlineStr">
        <is>
          <t>The provided code is a Java class that exports data from a Bibliography Database (BibDatabase) into various formats such as XML and plain text files. The main purpose of this class seems to be the conversion of database entries (represented by objects of type `BibEntry`) into these exportable formats. 
It does so through several steps involving operations on</t>
        </is>
      </c>
      <c r="M680" t="n">
        <v>0.0031</v>
      </c>
      <c r="N680" t="n">
        <v>0.0303</v>
      </c>
      <c r="O680" t="n">
        <v>0.0769</v>
      </c>
    </row>
    <row r="681">
      <c r="A681" t="inlineStr">
        <is>
          <t>jabref</t>
        </is>
      </c>
      <c r="B681" t="inlineStr">
        <is>
          <t>jablib/src/main/java/org/jabref/logic/exporter/AcademicPagesExporter.java</t>
        </is>
      </c>
      <c r="C681">
        <f>HYPERLINK("https://github.com/JabRef/jabref/blob/master/jablib/src/main/java/org/jabref/logic/exporter/AcademicPagesExporter.java")</f>
        <v/>
      </c>
      <c r="D681" t="inlineStr">
        <is>
          <t>The code provided appears to be a Java program that is part of the JabRef software project (a bibliography management tool). It seems to contain functionalities related to exporting data in various formats such as BibTeX and CSL styles. The main classes involved are `Exporter`, `BibtexExporter`, `CslExporter`,</t>
        </is>
      </c>
      <c r="E681" t="n">
        <v>0.0046</v>
      </c>
      <c r="F681" t="n">
        <v>0.1091</v>
      </c>
      <c r="G681" t="n">
        <v>0.1261</v>
      </c>
      <c r="H681" t="inlineStr">
        <is>
          <t>The provided code is a Java program that appears to be part of a larger software project related to managing and exporting references in the BibTeX format. It contains several import statements for various packages used throughout the application such as java.io (for input/output operations), java.nio (for file system operations), java.time (for date time manipulation), org.jab</t>
        </is>
      </c>
      <c r="I681" t="n">
        <v>0.0039</v>
      </c>
      <c r="J681" t="n">
        <v>0.058</v>
      </c>
      <c r="K681" t="n">
        <v>0.1172</v>
      </c>
      <c r="L681" t="inlineStr">
        <is>
          <t>The provided code is a Java class named `BibTeXEntryExporter` which serves as an exporter for BibTeX entries in JabRef software. This class has the main purpose of exporting given bibliographic data into various formats such as CSL JSON or plain text using different citation styles and layout options. 
 It takes input as a</t>
        </is>
      </c>
      <c r="M681" t="n">
        <v>0.0041</v>
      </c>
      <c r="N681" t="n">
        <v>0.06560000000000001</v>
      </c>
      <c r="O681" t="n">
        <v>0.12</v>
      </c>
    </row>
    <row r="682">
      <c r="A682" t="inlineStr">
        <is>
          <t>jabref</t>
        </is>
      </c>
      <c r="B682" t="inlineStr">
        <is>
          <t>jablib/src/main/java/org/jabref/logic/exporter/EmbeddedBibFilePdfExporter.java</t>
        </is>
      </c>
      <c r="C682">
        <f>HYPERLINK("https://github.com/JabRef/jabref/blob/master/jablib/src/main/java/org/jabref/logic/exporter/EmbeddedBibFilePdfExporter.java")</f>
        <v/>
      </c>
      <c r="D682" t="inlineStr">
        <is>
          <t>The provided code is a Java program that exports bibliography data from JabRef into various formats such as BibTeX and PDFs using Apache's PdfBox library for manipulating PDF files. The complexity of this function appears to be O(N), where N represents the number of entries in the database being exported. 
It uses classes like `</t>
        </is>
      </c>
      <c r="E682" t="n">
        <v>0.0033</v>
      </c>
      <c r="F682" t="n">
        <v>0.0625</v>
      </c>
      <c r="G682" t="n">
        <v>0.1181</v>
      </c>
      <c r="H682" t="inlineStr">
        <is>
          <t>The code you provided is a Java program that exports BibTeX entries to PDF files using Apache PDFBox library. The main functionality of the code includes converting BibTeX entries into formatted text and writing them onto a PDF file. It also handles various operations related to renaming document names in a PDF file.
Here's a concise summary of its functionality:</t>
        </is>
      </c>
      <c r="I682" t="n">
        <v>0.0036</v>
      </c>
      <c r="J682" t="n">
        <v>0.058</v>
      </c>
      <c r="K682" t="n">
        <v>0.07580000000000001</v>
      </c>
      <c r="L682" t="inlineStr">
        <is>
          <t>The provided code is a Java class named `PDFExport` located in the package org.jabref.logic.exporter. This class exports Bibliography entries into PDF files using Apache's PdfBox library. The main purpose of this class seems to be converting bibliographic data from JabRef (a reference manager) format into PDF format for easy reading and</t>
        </is>
      </c>
      <c r="M682" t="n">
        <v>0.0043</v>
      </c>
      <c r="N682" t="n">
        <v>0.0635</v>
      </c>
      <c r="O682" t="n">
        <v>0.122</v>
      </c>
    </row>
    <row r="683">
      <c r="A683" t="inlineStr">
        <is>
          <t>jabref</t>
        </is>
      </c>
      <c r="B683" t="inlineStr">
        <is>
          <t>jablib/src/main/java/org/jabref/logic/exporter/OOCalcDatabase.java</t>
        </is>
      </c>
      <c r="C683">
        <f>HYPERLINK("https://github.com/JabRef/jabref/blob/master/jablib/src/main/java/org/jabref/logic/exporter/OOCalcDatabase.java")</f>
        <v/>
      </c>
      <c r="D683" t="inlineStr">
        <is>
          <t>The provided code is a Java class for exporting data from the JabRef application into various formats such as BibTeX and Open Office XML format. It uses several libraries including javax.xml.parsers (for parsing XML), java.util (for collections like List and Stream), org.slf4j (for logging). The complexity of this code seems</t>
        </is>
      </c>
      <c r="E683" t="n">
        <v>0.0037</v>
      </c>
      <c r="F683" t="n">
        <v>0.0323</v>
      </c>
      <c r="G683" t="n">
        <v>0.123</v>
      </c>
      <c r="H683" t="inlineStr">
        <is>
          <t>The code you provided is a Java class that contains import statements for various packages and classes used in the JabRef software project. This includes classes related to BibTeX database management, comparators for sorting fields, formatters for text representation, XML document handling, logging, and more. The complexity of this code seems to be O(N), as it appears to iterate over an</t>
        </is>
      </c>
      <c r="I683" t="n">
        <v>0.0039</v>
      </c>
      <c r="J683" t="n">
        <v>0.0571</v>
      </c>
      <c r="K683" t="n">
        <v>0.1504</v>
      </c>
      <c r="L683" t="inlineStr">
        <is>
          <t>ThegivenJavacodeexportsdatafromaBibDatabaseinvariousformatsincludingXMLandCSV.ItusesdifferentstrategiesforhandlingwhitespacemappingbetweeninternalJabreffieldsandexternalrepresentationslikeLaTeXorOpenOffice. The main purpose of this code is to export the data from a BibDatabase in various formats including XML and CSV.</t>
        </is>
      </c>
      <c r="M683" t="n">
        <v>0.008699999999999999</v>
      </c>
      <c r="N683" t="n">
        <v>0.129</v>
      </c>
      <c r="O683" t="n">
        <v>0.1064</v>
      </c>
    </row>
    <row r="684">
      <c r="A684" t="inlineStr">
        <is>
          <t>jabref</t>
        </is>
      </c>
      <c r="B684" t="inlineStr">
        <is>
          <t>jablib/src/main/java/org/jabref/logic/help/HelpFile.java</t>
        </is>
      </c>
      <c r="C684">
        <f>HYPERLINK("https://github.com/JabRef/jabref/blob/master/jablib/src/main/java/org/jabref/logic/help/HelpFile.java")</f>
        <v/>
      </c>
      <c r="D684" t="inlineStr">
        <is>
          <t>The provided code defines an enum named `HelpFile` that represents all the help pages available in JabRef's user documentation on GitHub. Each constant of this enum corresponds to a markdown file name located within the "user-documentation" repository at Github. The constants represent different sections and features of the software with their respective paths from the root directory.
For example</t>
        </is>
      </c>
      <c r="E684" t="n">
        <v>0.0037</v>
      </c>
      <c r="F684" t="n">
        <v>0.058</v>
      </c>
      <c r="G684" t="n">
        <v>0.1145</v>
      </c>
      <c r="H684" t="inlineStr">
        <is>
          <t>ThegivenJava codeimplementsanenumerationnamed`HelpFile`thatholdsinformationaboutdifferentpagesinJabRef'suser-documentationresidingonGithub.Eachconstantrepresentsamarkdownfilecontainedinsupportrepository. Thecomplexityofgettingavaluefromthe enumerationisO(1),indicatingfastaccess. Italsohascommentsexpl</t>
        </is>
      </c>
      <c r="I684" t="n">
        <v>0</v>
      </c>
      <c r="J684" t="n">
        <v>0</v>
      </c>
      <c r="K684" t="n">
        <v>0</v>
      </c>
      <c r="L684" t="inlineStr">
        <is>
          <t>The provided code file is a Java enum named `HelpFile` that defines all help pages with the name of the markdown file in the Help repository on GitHub. The purpose of this enum is to globally define and reference these help files. It includes several fields representing different sections or functionalities within JabRef's user documentation such as entry editor, string editor, groups, special fields,</t>
        </is>
      </c>
      <c r="M684" t="n">
        <v>0.0028</v>
      </c>
      <c r="N684" t="n">
        <v>0.0548</v>
      </c>
      <c r="O684" t="n">
        <v>0.1103</v>
      </c>
    </row>
    <row r="685">
      <c r="A685" t="inlineStr">
        <is>
          <t>jabref</t>
        </is>
      </c>
      <c r="B685" t="inlineStr">
        <is>
          <t>jablib/src/main/java/org/jabref/logic/command/CommandSelectionTab.java</t>
        </is>
      </c>
      <c r="C685">
        <f>HYPERLINK("https://github.com/JabRef/jabref/blob/master/jablib/src/main/java/org/jabref/logic/command/CommandSelectionTab.java")</f>
        <v/>
      </c>
      <c r="D685" t="inlineStr">
        <is>
          <t>The provided code is a Java interface named "CommandSelectionTab". This interface has two methods defined in it. The first method, "clearAndSelect", takes a final List of BibEntry objects as its parameter and performs some operation on these entries without returning any value (i.e., void). The second method, "getBibDatabaseContext", does not take any parameters but returns an</t>
        </is>
      </c>
      <c r="E685" t="n">
        <v>0.0039</v>
      </c>
      <c r="F685" t="n">
        <v>0.0615</v>
      </c>
      <c r="G685" t="n">
        <v>0.0781</v>
      </c>
      <c r="H685" t="inlineStr">
        <is>
          <t>The provided code is a Java interface named CommandSelectionTab that contains two methods - clearAndSelect and getBibDatabaseContext. The clearAndSelect method takes in a final List of BibEntry objects as its parameter and returns void (i.e., it doesn't return any value). On the other hand, getBibDatabaseContext does not take any parameters and returns an object of</t>
        </is>
      </c>
      <c r="I685" t="n">
        <v>0.0033</v>
      </c>
      <c r="J685" t="n">
        <v>0.0312</v>
      </c>
      <c r="K685" t="n">
        <v>0.0394</v>
      </c>
      <c r="L685" t="inlineStr">
        <is>
          <t>```plaintext
The provided Java code is a command interface for managing the selection of entries in a Bibliography Database (BibDatabase). The main purpose of this class `CommandSelectionTab` is to provide methods that allow clearing and selecting multiple bibliographic entries from a database context. 
It accomplishes this by accepting as input a List of type 'BibEntry'</t>
        </is>
      </c>
      <c r="M685" t="n">
        <v>0.0033</v>
      </c>
      <c r="N685" t="n">
        <v>0.0635</v>
      </c>
      <c r="O685" t="n">
        <v>0.07870000000000001</v>
      </c>
    </row>
    <row r="686">
      <c r="A686" t="inlineStr">
        <is>
          <t>jabref</t>
        </is>
      </c>
      <c r="B686" t="inlineStr">
        <is>
          <t>jablib/src/main/java/org/jabref/logic/integrity/HowPublishedChecker.java</t>
        </is>
      </c>
      <c r="C686">
        <f>HYPERLINK("https://github.com/JabRef/jabref/blob/master/jablib/src/main/java/org/jabref/logic/integrity/HowPublishedChecker.java")</f>
        <v/>
      </c>
      <c r="D686" t="inlineStr">
        <is>
          <t>This code is a Java implementation of the `HowPublishedChecker` class that checks if the first letter in the "how" field (which specifies how something strange has been published) follows the BibTeX specification and capitalizes it automatically as required by biblatex package documentation. The checker operates on a given database context with complexity O(N), where N represents</t>
        </is>
      </c>
      <c r="E686" t="n">
        <v>0.0039</v>
      </c>
      <c r="F686" t="n">
        <v>0.09229999999999999</v>
      </c>
      <c r="G686" t="n">
        <v>0.1172</v>
      </c>
      <c r="H686" t="inlineStr">
        <is>
          <t>ThisJava code is a Value Checker for the "how published" field in BibLaTeX. It checks if the first letter of this field (which should be capitalized according to official specifications) meets certain conditions. The complexity here is O(1), meaning it has constant time complexity as there are no loops or recursive calls involved. This checker uses Java 8's</t>
        </is>
      </c>
      <c r="I686" t="n">
        <v>0.0031</v>
      </c>
      <c r="J686" t="n">
        <v>0.0294</v>
      </c>
      <c r="K686" t="n">
        <v>0.0769</v>
      </c>
      <c r="L686" t="inlineStr">
        <is>
          <t>The provided code is a Java class named `HowPublishedChecker` that implements the ValueChecker interface from JabRef's logic library for validating how something strange has been published in BibTeX entries. 
 This checker uses regular expressions to ensure that the first character of 'how' field (which represents where and how an entry was published) starts</t>
        </is>
      </c>
      <c r="M686" t="n">
        <v>0.0045</v>
      </c>
      <c r="N686" t="n">
        <v>0.0645</v>
      </c>
      <c r="O686" t="n">
        <v>0.16</v>
      </c>
    </row>
    <row r="687">
      <c r="A687" t="inlineStr">
        <is>
          <t>jabref</t>
        </is>
      </c>
      <c r="B687" t="inlineStr">
        <is>
          <t>jablib/src/main/java/org/jabref/logic/integrity/IntegrityCheckResultWriter.java</t>
        </is>
      </c>
      <c r="C687">
        <f>HYPERLINK("https://github.com/JabRef/jabref/blob/master/jablib/src/main/java/org/jabref/logic/integrity/IntegrityCheckResultWriter.java")</f>
        <v/>
      </c>
      <c r="D687" t="inlineStr">
        <is>
          <t>```plaintext
A package named org.jabref.logic.integrity is provided which contains an abstract class IntegrityCheckResultWriter that implements the Closeable interface. This writer writes integrity findings to a Writer object and ensures proper closing of it by the caller. The writer takes in two parameters during initialization - a Writer instance (writer), and a list</t>
        </is>
      </c>
      <c r="E687" t="n">
        <v>0.0046</v>
      </c>
      <c r="F687" t="n">
        <v>0.0645</v>
      </c>
      <c r="G687" t="n">
        <v>0.121</v>
      </c>
      <c r="H687" t="inlineStr">
        <is>
          <t>ThisJava code is an abstract class named IntegrityCheckResultWriter that implements the Closeable interface. This class has a final Writer and List of IntegrityMessages as its members. The writer's lifecycle is managed by the caller who is responsible for closing it at the appropriate time. There are two methods defined in this class - writeFindings(), which writes findings to</t>
        </is>
      </c>
      <c r="I687" t="n">
        <v>0.0041</v>
      </c>
      <c r="J687" t="n">
        <v>0.0606</v>
      </c>
      <c r="K687" t="n">
        <v>0.1154</v>
      </c>
      <c r="L687" t="inlineStr">
        <is>
          <t>```java
// This Java class represents an abstract writer for integrity check results that implements Closeable interface. 
// It takes a Writer and List of Integrity Messages as inputs during instantiation. The caller is responsible for closing the writer at the appropriate time. 
// The writeFindings method writes out the findings from the list of messages to the provided</t>
        </is>
      </c>
      <c r="M687" t="n">
        <v>0.0041</v>
      </c>
      <c r="N687" t="n">
        <v>0.09379999999999999</v>
      </c>
      <c r="O687" t="n">
        <v>0.1145</v>
      </c>
    </row>
    <row r="688">
      <c r="A688" t="inlineStr">
        <is>
          <t>jabref</t>
        </is>
      </c>
      <c r="B688" t="inlineStr">
        <is>
          <t>jablib/src/main/java/org/jabref/logic/integrity/BibTeXEntryTypeChecker.java</t>
        </is>
      </c>
      <c r="C688">
        <f>HYPERLINK("https://github.com/JabRef/jabref/blob/master/jablib/src/main/java/org/jabref/logic/integrity/BibTeXEntryTypeChecker.java")</f>
        <v/>
      </c>
      <c r="D688" t="inlineStr">
        <is>
          <t>The provided code is a BibTeX entry type checker in the JabRef software library. It checks if an entry's type is exclusively defined for BibLaTeX and not for BibTeX. If it finds such an entry, it returns an Integrity Message warning to the user indicating that this entry type is only available for use with Bib</t>
        </is>
      </c>
      <c r="E688" t="n">
        <v>0.0039</v>
      </c>
      <c r="F688" t="n">
        <v>0.0615</v>
      </c>
      <c r="G688" t="n">
        <v>0.1563</v>
      </c>
      <c r="H688" t="inlineStr">
        <is>
          <t>The provided code is a Java class that implements an Entry Checker for BibTeX entries in JabRef software library management tool. The purpose of this checker is to ensure the entry type used by the user matches with the mode (BibLaTeX or BibTeX). If it's not defined for one mode but used in another, it will generate an error message</t>
        </is>
      </c>
      <c r="I688" t="n">
        <v>0.0036</v>
      </c>
      <c r="J688" t="n">
        <v>0.029</v>
      </c>
      <c r="K688" t="n">
        <v>0.1515</v>
      </c>
      <c r="L688" t="inlineStr">
        <is>
          <t>The provided code is a Java class named BibTeXEntryTypeChecker that implements the EntryChecker interface from JabRef software library. This class checks if an entry's type (which represents its citation style) is exclusively defined for BibLaTeX or not. If it is, then this checker will generate an Integrity Message warning to the</t>
        </is>
      </c>
      <c r="M688" t="n">
        <v>0.0047</v>
      </c>
      <c r="N688" t="n">
        <v>0.0333</v>
      </c>
      <c r="O688" t="n">
        <v>0.122</v>
      </c>
    </row>
    <row r="689">
      <c r="A689" t="inlineStr">
        <is>
          <t>jabref</t>
        </is>
      </c>
      <c r="B689" t="inlineStr">
        <is>
          <t>jablib/src/main/java/org/jabref/logic/integrity/ASCIICharacterChecker.java</t>
        </is>
      </c>
      <c r="C689">
        <f>HYPERLINK("https://github.com/JabRef/jabref/blob/master/jablib/src/main/java/org/jabref/logic/integrity/ASCIICharacterChecker.java")</f>
        <v/>
      </c>
      <c r="D689" t="inlineStr">
        <is>
          <t>The provided code is a Java class named ASCIICharacterChecker that implements the EntryChecker interface from JabRef's logic package for integrity checks of Bibliography entries (BibEntries). The purpose of this checker is to detect any non-ASCII encoded characters in fields of a given entry and notify about them through IntegrityMessages.</t>
        </is>
      </c>
      <c r="E689" t="n">
        <v>0.0045</v>
      </c>
      <c r="F689" t="n">
        <v>0.0678</v>
      </c>
      <c r="G689" t="n">
        <v>0.124</v>
      </c>
      <c r="H689" t="inlineStr">
        <is>
          <t>The provided code is a Java implementation of an EntryChecker that checks for non-ASCII encoded characters in the fields of a BibEntry object from JabRef software library. The complexity is O(N), where N represents the number of entries (BibEntries). This checker uses Google's Guava CharMatcher to match all characters in each field value against ASC</t>
        </is>
      </c>
      <c r="I689" t="n">
        <v>0.004</v>
      </c>
      <c r="J689" t="n">
        <v>0.0303</v>
      </c>
      <c r="K689" t="n">
        <v>0.1575</v>
      </c>
      <c r="L689" t="inlineStr">
        <is>
          <t>The provided code is a Java class named ASCIICharacterChecker that implements the EntryChecker interface from JabRef library for checking Bibliography Entries (BibEntries). The purpose of this class is to detect any non-ASCII encoded characters in fields of a given BibEntry and return an Integrity Message if such character is found.</t>
        </is>
      </c>
      <c r="M689" t="n">
        <v>0.0044</v>
      </c>
      <c r="N689" t="n">
        <v>0.0678</v>
      </c>
      <c r="O689" t="n">
        <v>0.123</v>
      </c>
    </row>
    <row r="690">
      <c r="A690" t="inlineStr">
        <is>
          <t>jabref</t>
        </is>
      </c>
      <c r="B690" t="inlineStr">
        <is>
          <t>jablib/src/main/java/org/jabref/logic/integrity/CitationKeyDuplicationChecker.java</t>
        </is>
      </c>
      <c r="C690">
        <f>HYPERLINK("https://github.com/JabRef/jabref/blob/master/jablib/src/main/java/org/jabref/logic/integrity/CitationKeyDuplicationChecker.java")</f>
        <v/>
      </c>
      <c r="D690" t="inlineStr">
        <is>
          <t>The provided code is a Java class named CitationKeyDuplicationChecker that implements an EntryChecker interface from the org.jabref.logic.integrity package in JabRef software. This class checks for duplicate citation keys within a given BibDatabase (a database of bibliographic entries). The complexity of this operation is O(N), where N represents the number</t>
        </is>
      </c>
      <c r="E690" t="n">
        <v>0.0045</v>
      </c>
      <c r="F690" t="n">
        <v>0.06560000000000001</v>
      </c>
      <c r="G690" t="n">
        <v>0.08260000000000001</v>
      </c>
      <c r="H690" t="inlineStr">
        <is>
          <t>The code provided is a Java implementation of an integrity check for duplicate citation keys in the BibTeX database. The function `check` takes as input a single entry and checks if its citation key already exists in the entire database. If it does, then it returns a list containing one Integrity Message indicating that there's a duplicated citation key. This class implements Entry</t>
        </is>
      </c>
      <c r="I690" t="n">
        <v>0.0038</v>
      </c>
      <c r="J690" t="n">
        <v>0.0833</v>
      </c>
      <c r="K690" t="n">
        <v>0.1481</v>
      </c>
      <c r="L690" t="inlineStr">
        <is>
          <t>The provided code is part of a Bibliography Reference Manager software (JabRef). The main purpose of this class `CitationKeyDuplicationChecker` is to check for duplicate citation keys in the database. It does so by obtaining the citation key from an entry and then checking if such a key already exists in the database using the method `isDuplicateCitationKey</t>
        </is>
      </c>
      <c r="M690" t="n">
        <v>0.0039</v>
      </c>
      <c r="N690" t="n">
        <v>0.0625</v>
      </c>
      <c r="O690" t="n">
        <v>0.1563</v>
      </c>
    </row>
    <row r="691">
      <c r="A691" t="inlineStr">
        <is>
          <t>jabref</t>
        </is>
      </c>
      <c r="B691" t="inlineStr">
        <is>
          <t>jablib/src/main/java/org/jabref/logic/integrity/BracketChecker.java</t>
        </is>
      </c>
      <c r="C691">
        <f>HYPERLINK("https://github.com/JabRef/jabref/blob/master/jablib/src/main/java/org/jabref/logic/integrity/BracketChecker.java")</f>
        <v/>
      </c>
      <c r="D691" t="inlineStr">
        <is>
          <t>The provided code is a Java class named BracketChecker that implements the ValueChecker interface from JabRef software library for checking braces (i.e., curly brackets). The purpose of this checker is to ensure proper nesting and balance of opening and closing brace characters in a given string value. If there are unbalanced or unexpected braces, an error message will</t>
        </is>
      </c>
      <c r="E691" t="n">
        <v>0.0041</v>
      </c>
      <c r="F691" t="n">
        <v>0.0597</v>
      </c>
      <c r="G691" t="n">
        <v>0.1538</v>
      </c>
      <c r="H691" t="inlineStr">
        <is>
          <t>The provided code is a Java implementation of the Value Checker design pattern from software engineering principles. It checks if there are matching opening and closing curly braces in a given string value by using a counter to keep track of these pairs. If it encounters an unexpected closing brace without corresponding opening one or vice versa, it returns an error message indicating which type of bracket has been misplaced</t>
        </is>
      </c>
      <c r="I691" t="n">
        <v>0.0031</v>
      </c>
      <c r="J691" t="n">
        <v>0.0513</v>
      </c>
      <c r="K691" t="n">
        <v>0.1408</v>
      </c>
      <c r="L691" t="inlineStr">
        <is>
          <t>The provided code is a Java class named BracketChecker that implements the ValueChecker interface from JabRef software library for checking if braces are balanced in a given string value. The main purpose of this class is to validate the input by ensuring all opening curly brackets have corresponding closing ones and vice versa. If there are unbalanced braces, it returns</t>
        </is>
      </c>
      <c r="M691" t="n">
        <v>0.004</v>
      </c>
      <c r="N691" t="n">
        <v>0.0588</v>
      </c>
      <c r="O691" t="n">
        <v>0.1515</v>
      </c>
    </row>
    <row r="692">
      <c r="A692" t="inlineStr">
        <is>
          <t>jabref</t>
        </is>
      </c>
      <c r="B692" t="inlineStr">
        <is>
          <t>jablib/src/main/java/org/jabref/logic/integrity/IntegrityMessage.java</t>
        </is>
      </c>
      <c r="C692">
        <f>HYPERLINK("https://github.com/JabRef/jabref/blob/master/jablib/src/main/java/org/jabref/logic/integrity/IntegrityMessage.java")</f>
        <v/>
      </c>
      <c r="D692" t="inlineStr">
        <is>
          <t>The provided code is a Java class named `RecordIntegrityMessage` that implements the Cloneable interface and represents an integrity message for a specific field in a BibTeX entry. The class has three private fields - a string 'message', a reference to a BibEntry object, and a Field enum representing the particular field of the BibEntry which contains the error or warning.</t>
        </is>
      </c>
      <c r="E692" t="n">
        <v>0.0036</v>
      </c>
      <c r="F692" t="n">
        <v>0.0597</v>
      </c>
      <c r="G692" t="n">
        <v>0.07580000000000001</v>
      </c>
      <c r="H692" t="inlineStr">
        <is>
          <t>The code provided is a Java class named `RecordIntegrityMessage` that implements the Cloneable interface and overrides two methods from the Object class. 
The constructor of this class takes three parameters - a String message, an instance of BibEntry entry, and Field field. The toString method returns a string representation of these values in a specific format. Lastly,</t>
        </is>
      </c>
      <c r="I692" t="n">
        <v>0.0038</v>
      </c>
      <c r="J692" t="n">
        <v>0.0625</v>
      </c>
      <c r="K692" t="n">
        <v>0.1163</v>
      </c>
      <c r="L692" t="inlineStr">
        <is>
          <t>The provided code is a Java class named `IntegrityMessage` that implements the Cloneable interface and serves as an abstraction for messages related to Bibliography Entry (BibEntry) field integrity checks in JabRef software application. The purpose of this class is to encapsulate information about a specific message relating to a certain Field within a given BibEntry.</t>
        </is>
      </c>
      <c r="M692" t="n">
        <v>0.0044</v>
      </c>
      <c r="N692" t="n">
        <v>0.0635</v>
      </c>
      <c r="O692" t="n">
        <v>0.1575</v>
      </c>
    </row>
    <row r="693">
      <c r="A693" t="inlineStr">
        <is>
          <t>jabref</t>
        </is>
      </c>
      <c r="B693" t="inlineStr">
        <is>
          <t>jablib/src/main/java/org/jabref/logic/integrity/AbbreviationChecker.java</t>
        </is>
      </c>
      <c r="C693">
        <f>HYPERLINK("https://github.com/JabRef/jabref/blob/master/jablib/src/main/java/org/jabref/logic/integrity/AbbreviationChecker.java")</f>
        <v/>
      </c>
      <c r="D693" t="inlineStr">
        <is>
          <t>The provided code is a Java class named `AbbreviationChecker` that implements an interface called `EntryChecker` from the package `org.jabref.logic.integrity`. This class checks for journal abbreviations in Bibliography entries (represented by instances of `BibEntry`). It does this by iterating over specific fields defined in its constructor and checking</t>
        </is>
      </c>
      <c r="E693" t="n">
        <v>0.0051</v>
      </c>
      <c r="F693" t="n">
        <v>0.06900000000000001</v>
      </c>
      <c r="G693" t="n">
        <v>0.1261</v>
      </c>
      <c r="H693" t="inlineStr">
        <is>
          <t>The code you provided is a Java class that implements an EntryChecker interface for checking the integrity of Bibliography Entries (BibEntries). The main functionality it provides includes checking if certain fields in these entries are filled correctly based on predefined rules defined by Field objects and Journal Abbreviations stored in a repository. It checks each field in a list of specified fields against some conditions</t>
        </is>
      </c>
      <c r="I693" t="n">
        <v>0.0037</v>
      </c>
      <c r="J693" t="n">
        <v>0.0822</v>
      </c>
      <c r="K693" t="n">
        <v>0.1095</v>
      </c>
      <c r="L693" t="inlineStr">
        <is>
          <t>The provided code is part of a Java application that checks the integrity of Bibliography entries (`BibEntry` objects). The main purpose of this class `AbbreviationChecker` is to verify if journal abbreviations are correctly formatted and exist in the repository.
It takes as input a list of fields defined by `FieldFactory.getBookNameFields()` which includes</t>
        </is>
      </c>
      <c r="M693" t="n">
        <v>0.0035</v>
      </c>
      <c r="N693" t="n">
        <v>0.06560000000000001</v>
      </c>
      <c r="O693" t="n">
        <v>0.121</v>
      </c>
    </row>
    <row r="694">
      <c r="A694" t="inlineStr">
        <is>
          <t>jabref</t>
        </is>
      </c>
      <c r="B694" t="inlineStr">
        <is>
          <t>jablib/src/main/java/org/jabref/logic/integrity/DatabaseChecker.java</t>
        </is>
      </c>
      <c r="C694">
        <f>HYPERLINK("https://github.com/JabRef/jabref/blob/master/jablib/src/main/java/org/jabref/logic/integrity/DatabaseChecker.java")</f>
        <v/>
      </c>
      <c r="D694" t="inlineStr">
        <is>
          <t>The provided code is a functional interface named DatabaseChecker that takes in a BibDatabase object and returns a List of IntegrityMessages. The purpose of this class seems to be checking the integrity (consistency/correctness) of entries within a given database by applying various checks on them. It's complexity appears to be O(n), where n represents the number of records or entries</t>
        </is>
      </c>
      <c r="E694" t="n">
        <v>0.003</v>
      </c>
      <c r="F694" t="n">
        <v>0.0563</v>
      </c>
      <c r="G694" t="n">
        <v>0.1136</v>
      </c>
      <c r="H694" t="inlineStr">
        <is>
          <t>The code provided is a functional interface named DatabaseChecker that checks the integrity of a BibDatabase object by returning a List of IntegrityMessages. The check method takes in a BibDatabase and returns a list of messages indicating potential issues with it.
In this context, complexity refers to time complexity which here is O(N). This means that as the size (number of</t>
        </is>
      </c>
      <c r="I694" t="n">
        <v>0.0036</v>
      </c>
      <c r="J694" t="n">
        <v>0.0571</v>
      </c>
      <c r="K694" t="n">
        <v>0.1128</v>
      </c>
      <c r="L694" t="inlineStr">
        <is>
          <t>The code provided is a functional interface named DatabaseChecker that takes in an instance of BibDatabase and returns a list of IntegrityMessage objects representing the integrity checks performed on this database. The purpose of these checks are to ensure data consistency within the bibliography reference management system implemented by JabRef software.
It has two main methods - check() which performs the actual checking</t>
        </is>
      </c>
      <c r="M694" t="n">
        <v>0.0029</v>
      </c>
      <c r="N694" t="n">
        <v>0.0571</v>
      </c>
      <c r="O694" t="n">
        <v>0.1481</v>
      </c>
    </row>
    <row r="695">
      <c r="A695" t="inlineStr">
        <is>
          <t>jabref</t>
        </is>
      </c>
      <c r="B695" t="inlineStr">
        <is>
          <t>jablib/src/main/java/org/jabref/logic/integrity/DoiDuplicationChecker.java</t>
        </is>
      </c>
      <c r="C695">
        <f>HYPERLINK("https://github.com/JabRef/jabref/blob/master/jablib/src/main/java/org/jabref/logic/integrity/DoiDuplicationChecker.java")</f>
        <v/>
      </c>
      <c r="D695" t="inlineStr">
        <is>
          <t>The provided code is a Java class named `DoiDuplicationChecker` that implements the interface `DatabaseChecker` from JabRef's logic module for checking duplicate DOIs in a BibDatabase (a database of bibliographic entries).
It creates an empty BiMap called `duplicateMap` using Google Guava library which acts as a bidirectional</t>
        </is>
      </c>
      <c r="E695" t="n">
        <v>0.0048</v>
      </c>
      <c r="F695" t="n">
        <v>0.0727</v>
      </c>
      <c r="G695" t="n">
        <v>0.1271</v>
      </c>
      <c r="H695" t="inlineStr">
        <is>
          <t>The provided code is a Java implementation of the `DoiDuplicationChecker` class which implements the `DatabaseChecker` interface from JabRef software library for checking duplicate DOIs in a Bibliography Database (BibDatabase). The complexity of this function is O(N), where N represents the number of entries in the database. It creates a BiMap data structure to store</t>
        </is>
      </c>
      <c r="I695" t="n">
        <v>0.004</v>
      </c>
      <c r="J695" t="n">
        <v>0.0635</v>
      </c>
      <c r="K695" t="n">
        <v>0.1587</v>
      </c>
      <c r="L695" t="inlineStr">
        <is>
          <t>The provided code is a Java class named `DoiDuplicationChecker` that implements the interface `DatabaseChecker` from JabRef software library. This class checks for duplicate DOIs in a given BibDatabase (a database of bibliographic entries).
Here's how it works: 
1) The method `check()` takes as input a</t>
        </is>
      </c>
      <c r="M695" t="n">
        <v>0.0054</v>
      </c>
      <c r="N695" t="n">
        <v>0.037</v>
      </c>
      <c r="O695" t="n">
        <v>0.1282</v>
      </c>
    </row>
    <row r="696">
      <c r="A696" t="inlineStr">
        <is>
          <t>jabref</t>
        </is>
      </c>
      <c r="B696" t="inlineStr">
        <is>
          <t>jablib/src/main/java/org/jabref/logic/integrity/BibStringChecker.java</t>
        </is>
      </c>
      <c r="C696">
        <f>HYPERLINK("https://github.com/JabRef/jabref/blob/master/jablib/src/main/java/org/jabref/logic/integrity/BibStringChecker.java")</f>
        <v/>
      </c>
      <c r="D696" t="inlineStr">
        <is>
          <t>The provided code is a Java class named `BibStringChecker` that implements the interface `EntryChecker` from JabRef library for checking integrity of Bibliography entries in terms of number of unescaped hash symbols (#). The method `check()` takes as input an instance of `BibEntry` and returns a list of `IntegrityMessage` objects representing any</t>
        </is>
      </c>
      <c r="E696" t="n">
        <v>0.0043</v>
      </c>
      <c r="F696" t="n">
        <v>0.06900000000000001</v>
      </c>
      <c r="G696" t="n">
        <v>0.0813</v>
      </c>
      <c r="H696" t="inlineStr">
        <is>
          <t>The code provided is a Java class that checks if there are an even number of unescaped hashes in the fields of BibTeX entries. The complexity is O(N), where N represents the total number of characters in all field values. This check ensures proper formatting for BibTeX strings and helps prevent potential errors when parsing or processing these entries.
In</t>
        </is>
      </c>
      <c r="I696" t="n">
        <v>0.0036</v>
      </c>
      <c r="J696" t="n">
        <v>0.058</v>
      </c>
      <c r="K696" t="n">
        <v>0.07580000000000001</v>
      </c>
      <c r="L696" t="inlineStr">
        <is>
          <t>The provided code is a Java class named `BibStringChecker` that checks for uneven numbers of escaped # symbols in BibTeX entries. The purpose of this class is to detect if there are an even number of backslashes preceding the hashes (#). If it doesn't have one or starts with the string, then it adds an error message indicating that</t>
        </is>
      </c>
      <c r="M696" t="n">
        <v>0</v>
      </c>
      <c r="N696" t="n">
        <v>0.0303</v>
      </c>
      <c r="O696" t="n">
        <v>0.0382</v>
      </c>
    </row>
    <row r="697">
      <c r="A697" t="inlineStr">
        <is>
          <t>jabref</t>
        </is>
      </c>
      <c r="B697" t="inlineStr">
        <is>
          <t>jablib/src/main/java/org/jabref/logic/integrity/YearChecker.java</t>
        </is>
      </c>
      <c r="C697">
        <f>HYPERLINK("https://github.com/JabRef/jabref/blob/master/jablib/src/main/java/org/jabref/logic/integrity/YearChecker.java")</f>
        <v/>
      </c>
      <c r="D697" t="inlineStr">
        <is>
          <t>The code provided is a Java class named YearChecker that implements the ValueChecker interface from JabRef's logic package for checking if a given string represents a four digit year and ends with it. The check involves regex patterns to identify strings containing 4 digits either in between or at beginning or end of the string. This implementation has time complexity O(N), where N refers to</t>
        </is>
      </c>
      <c r="E697" t="n">
        <v>0.0037</v>
      </c>
      <c r="F697" t="n">
        <v>0.0533</v>
      </c>
      <c r="G697" t="n">
        <v>0.1095</v>
      </c>
      <c r="H697" t="inlineStr">
        <is>
          <t>The code provided is a Java class named YearChecker that implements the ValueChecker interface from JabRef software library for checking if a year in a string value follows specific patterns (four digits format and ending with four digits). It uses regular expressions to match these patterns. The complexity of this implementation is O(N), where N represents the length of the input string.</t>
        </is>
      </c>
      <c r="I697" t="n">
        <v>0.0039</v>
      </c>
      <c r="J697" t="n">
        <v>0.0563</v>
      </c>
      <c r="K697" t="n">
        <v>0.1866</v>
      </c>
      <c r="L697" t="inlineStr">
        <is>
          <t>The code provided is a Java class named YearChecker that implements the ValueChecker interface from JabRef library for checking if a given string represents a year with four digits and ending in it. The main purpose of this class seems to be validating bibTeX entries according to their syntax rules defined by BibTeX specification. This includes checks like ensuring that there are exactly</t>
        </is>
      </c>
      <c r="M697" t="n">
        <v>0.0038</v>
      </c>
      <c r="N697" t="n">
        <v>0.0563</v>
      </c>
      <c r="O697" t="n">
        <v>0.1111</v>
      </c>
    </row>
    <row r="698">
      <c r="A698" t="inlineStr">
        <is>
          <t>jabref</t>
        </is>
      </c>
      <c r="B698" t="inlineStr">
        <is>
          <t>jablib/src/main/java/org/jabref/logic/integrity/NoURLChecker.java</t>
        </is>
      </c>
      <c r="C698">
        <f>HYPERLINK("https://github.com/JabRef/jabref/blob/master/jablib/src/main/java/org/jabref/logic/integrity/NoURLChecker.java")</f>
        <v/>
      </c>
      <c r="D698" t="inlineStr">
        <is>
          <t>The provided code is a Java class named NoURLChecker that implements the ValueChecker interface from JabRef's logic package for checking if a given string contains any URLs and returns an Optional String with error message "containsaURL" in case it does. The complexity of this function is O(N), where N represents the length of the input value. It seems to be used</t>
        </is>
      </c>
      <c r="E698" t="n">
        <v>0.0036</v>
      </c>
      <c r="F698" t="n">
        <v>0.0563</v>
      </c>
      <c r="G698" t="n">
        <v>0.1504</v>
      </c>
      <c r="H698" t="inlineStr">
        <is>
          <t>The provided code is a Java implementation of URL checking in the JabRef software system. It checks if an input string contains any URLs and returns appropriate error messages if it does. The complexity of this function appears to be O(N), where N represents the length of the input string. This suggests that as the size of the input increases, so too will the execution time of the checkValue</t>
        </is>
      </c>
      <c r="I698" t="n">
        <v>0.0035</v>
      </c>
      <c r="J698" t="n">
        <v>0.0513</v>
      </c>
      <c r="K698" t="n">
        <v>0.1773</v>
      </c>
      <c r="L698" t="inlineStr">
        <is>
          <t>The provided code is a Java class named NoURLChecker that implements the ValueChecker interface from JabRef software library for URL validation in references management system. The main purpose of this class is to check if an input string contains any URL and return appropriate error message "containsaURL" if it does. If no URL is found or if the input string is blank, then Optional object will</t>
        </is>
      </c>
      <c r="M698" t="n">
        <v>0.0036</v>
      </c>
      <c r="N698" t="n">
        <v>0.0541</v>
      </c>
      <c r="O698" t="n">
        <v>0.1449</v>
      </c>
    </row>
    <row r="699">
      <c r="A699" t="inlineStr">
        <is>
          <t>jabref</t>
        </is>
      </c>
      <c r="B699" t="inlineStr">
        <is>
          <t>jablib/src/main/java/org/jabref/logic/integrity/PersonNamesChecker.java</t>
        </is>
      </c>
      <c r="C699">
        <f>HYPERLINK("https://github.com/JabRef/jabref/blob/master/jablib/src/main/java/org/jabref/logic/integrity/PersonNamesChecker.java")</f>
        <v/>
      </c>
      <c r="D699" t="inlineStr">
        <is>
          <t>The provided code is a Java class named `PersonNamesChecker` that implements the interface `ValueChecker` from JabRef's logic package for checking if person names in BibTeX entries are valid or not based on certain rules defined by the library. 
Here's the summary of its functionality:
- It takes as input a string value representing</t>
        </is>
      </c>
      <c r="E699" t="n">
        <v>0.0035</v>
      </c>
      <c r="F699" t="n">
        <v>0.0645</v>
      </c>
      <c r="G699" t="n">
        <v>0.04</v>
      </c>
      <c r="H699" t="inlineStr">
        <is>
          <t>The code provided is a Java class for checking the format of person names in a bibliography database. It implements ValueChecker interface and checks if the input string starts with "and" or "," which are not valid formats according to the international standard BIBTeX (https://www.ctan.org/pkg/bibtex). The function `checkValue` takes an author name</t>
        </is>
      </c>
      <c r="I699" t="n">
        <v>0.0042</v>
      </c>
      <c r="J699" t="n">
        <v>0.0625</v>
      </c>
      <c r="K699" t="n">
        <v>0.121</v>
      </c>
      <c r="L699" t="inlineStr">
        <is>
          <t>The provided code is a Java class named `PersonNamesChecker` that implements the interface `ValueChecker` from JabRef software library for checking person names in Bibliography databases.
Here's an overview of its functionality and purpose: 
It takes as input a string value representing a potential name (e.g., "John Doe"). It checks if</t>
        </is>
      </c>
      <c r="M699" t="n">
        <v>0.0092</v>
      </c>
      <c r="N699" t="n">
        <v>0.1</v>
      </c>
      <c r="O699" t="n">
        <v>0.2587</v>
      </c>
    </row>
    <row r="700">
      <c r="A700" t="inlineStr">
        <is>
          <t>jabref</t>
        </is>
      </c>
      <c r="B700" t="inlineStr">
        <is>
          <t>jablib/src/main/java/org/jabref/logic/integrity/DateChecker.java</t>
        </is>
      </c>
      <c r="C700">
        <f>HYPERLINK("https://github.com/JabRef/jabref/blob/master/jablib/src/main/java/org/jabref/logic/integrity/DateChecker.java")</f>
        <v/>
      </c>
      <c r="D700" t="inlineStr">
        <is>
          <t>The provided code is a Java class named DateChecker that implements the ValueChecker interface from JabRef's logic package for checking dates in bibliographic entries. The checkValue method takes a string value as input and checks if it can be parsed into a valid date format using the parse function of the Date class from JabRef model entry package. If parsing fails or the input</t>
        </is>
      </c>
      <c r="E700" t="n">
        <v>0.0034</v>
      </c>
      <c r="F700" t="n">
        <v>0.0548</v>
      </c>
      <c r="G700" t="n">
        <v>0.1103</v>
      </c>
      <c r="H700" t="inlineStr">
        <is>
          <t>The provided code is a Java implementation of the DateChecker class from JabRef software, which checks if a given string value represents a valid date in a specific format. The check includes checking whether the input string is blank and parsing it into a Date object using the parse method. If either condition fails, an error message is returned. Otherwise, no errors are reported indicating that the parsed date</t>
        </is>
      </c>
      <c r="I700" t="n">
        <v>0.0026</v>
      </c>
      <c r="J700" t="n">
        <v>0.0519</v>
      </c>
      <c r="K700" t="n">
        <v>0.1064</v>
      </c>
      <c r="L700" t="inlineStr">
        <is>
          <t>The provided code is a Java class named `DateChecker` that implements the interface `ValueChecker` from JabRef software library. This class checks if an input value adheres to a specific date format and returns an error message in case of incorrect formatting. The main purpose of this class seems to be validating dates for consistency with predefined formats.</t>
        </is>
      </c>
      <c r="M700" t="n">
        <v>0.0045</v>
      </c>
      <c r="N700" t="n">
        <v>0.0615</v>
      </c>
      <c r="O700" t="n">
        <v>0.155</v>
      </c>
    </row>
    <row r="701">
      <c r="A701" t="inlineStr">
        <is>
          <t>jabref</t>
        </is>
      </c>
      <c r="B701" t="inlineStr">
        <is>
          <t>jablib/src/main/java/org/jabref/logic/integrity/IntegrityCheck.java</t>
        </is>
      </c>
      <c r="C701">
        <f>HYPERLINK("https://github.com/JabRef/jabref/blob/master/jablib/src/main/java/org/jabref/logic/integrity/IntegrityCheck.java")</f>
        <v/>
      </c>
      <c r="D701" t="inlineStr">
        <is>
          <t>The provided code is a Java class named `IntegrityCheck` that performs integrity checks on Bibliography Database entries (represented by the `BibEntry` objects). The class has four private fields and one public method to perform these checks. It uses several other classes for its functionality including `BibDatabaseContext`, which represents database-wide context information, `FieldCheckers`</t>
        </is>
      </c>
      <c r="E701" t="n">
        <v>0.0042</v>
      </c>
      <c r="F701" t="n">
        <v>0.0328</v>
      </c>
      <c r="G701" t="n">
        <v>0.0806</v>
      </c>
      <c r="H701" t="inlineStr">
        <is>
          <t>The provided code is a Java class named `IntegrityCheck` that performs integrity checks on a Bibliography Database (BibDatabase). It uses several components including File Preferences and Citation Key Patterns to perform its tasks. The complexity of the code seems to be O(N), where N represents the number of entries in the database. This means there could potentially be multiple iterations over all</t>
        </is>
      </c>
      <c r="I701" t="n">
        <v>0.0035</v>
      </c>
      <c r="J701" t="n">
        <v>0.0282</v>
      </c>
      <c r="K701" t="n">
        <v>0.1119</v>
      </c>
      <c r="L701" t="inlineStr">
        <is>
          <t>The provided code is a Java class named `IntegrityCheck` that performs integrity checks on BibTeX entries in a database. The main purpose of this class is to validate the format and content of these entries according to specific rules defined by various checkers (like FieldCheckers). 
It takes as input a context object containing information about the current state of the</t>
        </is>
      </c>
      <c r="M701" t="n">
        <v>0.003</v>
      </c>
      <c r="N701" t="n">
        <v>0.0588</v>
      </c>
      <c r="O701" t="n">
        <v>0.07580000000000001</v>
      </c>
    </row>
    <row r="702">
      <c r="A702" t="inlineStr">
        <is>
          <t>jabref</t>
        </is>
      </c>
      <c r="B702" t="inlineStr">
        <is>
          <t>jablib/src/main/java/org/jabref/logic/integrity/JournalInAbbreviationListChecker.java</t>
        </is>
      </c>
      <c r="C702">
        <f>HYPERLINK("https://github.com/JabRef/jabref/blob/master/jablib/src/main/java/org/jabref/logic/integrity/JournalInAbbreviationListChecker.java")</f>
        <v/>
      </c>
      <c r="D702" t="inlineStr">
        <is>
          <t>The provided code is a Java class named `JournalInAbbreviationListChecker` that implements the `EntryChecker` interface from JabRef's logic package for checking journal entries in an abbreviated list stored by the `JournalAbbreviationRepository`. The check method takes a BibEntry as input and returns a List of IntegrityMessages if any issues are</t>
        </is>
      </c>
      <c r="E702" t="n">
        <v>0.0045</v>
      </c>
      <c r="F702" t="n">
        <v>0.0702</v>
      </c>
      <c r="G702" t="n">
        <v>0.0833</v>
      </c>
      <c r="H702" t="inlineStr">
        <is>
          <t>The code provided is a Java class named `JournalInAbbreviationListChecker` that implements an entry checker for journal abbreviations in BibTeX entries. It has two private fields - one representing the field to be checked (e.g., "journal") and another being an instance of `JournalAbbreviationRepository` which presumably contains information about known j</t>
        </is>
      </c>
      <c r="I702" t="n">
        <v>0.0045</v>
      </c>
      <c r="J702" t="n">
        <v>0.0702</v>
      </c>
      <c r="K702" t="n">
        <v>0.08260000000000001</v>
      </c>
      <c r="L702" t="inlineStr">
        <is>
          <t>The provided code is a Java class named `JournalInAbbreviationListChecker` that implements the `EntryChecker` interface from JabRef's logic module for checking journal entries in an abbreviated list of journals stored in another repository (`JournalAbbreviationRepository`). 
It has two fields - 'field', which represents the field to be</t>
        </is>
      </c>
      <c r="M702" t="n">
        <v>0.0049</v>
      </c>
      <c r="N702" t="n">
        <v>0.0755</v>
      </c>
      <c r="O702" t="n">
        <v>0.08550000000000001</v>
      </c>
    </row>
    <row r="703">
      <c r="A703" t="inlineStr">
        <is>
          <t>jabref</t>
        </is>
      </c>
      <c r="B703" t="inlineStr">
        <is>
          <t>jablib/src/main/java/org/jabref/logic/integrity/FieldChecker.java</t>
        </is>
      </c>
      <c r="C703">
        <f>HYPERLINK("https://github.com/JabRef/jabref/blob/master/jablib/src/main/java/org/jabref/logic/integrity/FieldChecker.java")</f>
        <v/>
      </c>
      <c r="D703" t="inlineStr">
        <is>
          <t>```plaintext
This code is a Java implementation of the FieldChecker class from JabRef software library. The purpose of this class is to validate specific fields in BibTeX entries using ValueCheckers. 
It's configured with a field and value checker at initialization. It then checks an entry for that particular field, applies the associated value checker</t>
        </is>
      </c>
      <c r="E703" t="n">
        <v>0.0045</v>
      </c>
      <c r="F703" t="n">
        <v>0.09520000000000001</v>
      </c>
      <c r="G703" t="n">
        <v>0.1984</v>
      </c>
      <c r="H703" t="inlineStr">
        <is>
          <t>The code provided is a Java implementation of the Field Checker design pattern from SOLID principles in object oriented programming. It's used to check if certain fields in Bibliography Entries (BibEntries) are valid according to some Value Checkers. The complexity here is O(n), where n represents the number of entries being checked. This occurs because for each entry it checks</t>
        </is>
      </c>
      <c r="I703" t="n">
        <v>0.003</v>
      </c>
      <c r="J703" t="n">
        <v>0.0286</v>
      </c>
      <c r="K703" t="n">
        <v>0.1136</v>
      </c>
      <c r="L703" t="inlineStr">
        <is>
          <t>```
This code is a Java implementation of the EntryChecker interface from JabRef software library for checking integrity in Bibliography entries (BibEntries) based on specific rules defined by ValueCheckers and applied to fields within these entries. The main purpose of this class FieldChecker is to validate values of specified field using provided value checkers. It uses O(</t>
        </is>
      </c>
      <c r="M703" t="n">
        <v>0.0042</v>
      </c>
      <c r="N703" t="n">
        <v>0.09379999999999999</v>
      </c>
      <c r="O703" t="n">
        <v>0.1938</v>
      </c>
    </row>
    <row r="704">
      <c r="A704" t="inlineStr">
        <is>
          <t>jabref</t>
        </is>
      </c>
      <c r="B704" t="inlineStr">
        <is>
          <t>jablib/src/main/java/org/jabref/logic/integrity/ISBNChecker.java</t>
        </is>
      </c>
      <c r="C704">
        <f>HYPERLINK("https://github.com/JabRef/jabref/blob/master/jablib/src/main/java/org/jabref/logic/integrity/ISBNChecker.java")</f>
        <v/>
      </c>
      <c r="D704" t="inlineStr">
        <is>
          <t>The provided code is a Java class named ISBNChecker that implements the ValueChecker interface from JabRef's logic package for checking validity of International Standard Book Numbers (ISBN). 
It checks if an input string value is not blank and in correct format with valid control digit using the ISBNScheme. If it finds any error or mismatch,</t>
        </is>
      </c>
      <c r="E704" t="n">
        <v>0.004</v>
      </c>
      <c r="F704" t="n">
        <v>0.0625</v>
      </c>
      <c r="G704" t="n">
        <v>0.1181</v>
      </c>
      <c r="H704" t="inlineStr">
        <is>
          <t>The provided code is a Java implementation of an ISBN (International Standard Book Number) checker using the ValueChecker interface from JabRef software library. The function `checkValue` takes in a string value and checks if it's valid according to the International Organization for Standardization standards for ISBN identification numbers. If not, it returns an error message indicating whether the format or control digit was</t>
        </is>
      </c>
      <c r="I704" t="n">
        <v>0.0034</v>
      </c>
      <c r="J704" t="n">
        <v>0.0833</v>
      </c>
      <c r="K704" t="n">
        <v>0.1481</v>
      </c>
      <c r="L704" t="inlineStr">
        <is>
          <t>The provided code is a Java class named ISBNChecker that implements the ValueChecker interface from JabRef software library for checking validity of International Standard Book Numbers (ISBN). This class has one method called checkValue which takes an input string and checks if it's in correct format with valid control digit according to the ISBN standard. If not, it returns appropriate error messages</t>
        </is>
      </c>
      <c r="M704" t="n">
        <v>0.0042</v>
      </c>
      <c r="N704" t="n">
        <v>0.0563</v>
      </c>
      <c r="O704" t="n">
        <v>0.1493</v>
      </c>
    </row>
    <row r="705">
      <c r="A705" t="inlineStr">
        <is>
          <t>jabref</t>
        </is>
      </c>
      <c r="B705" t="inlineStr">
        <is>
          <t>jablib/src/main/java/org/jabref/logic/integrity/UrlChecker.java</t>
        </is>
      </c>
      <c r="C705">
        <f>HYPERLINK("https://github.com/JabRef/jabref/blob/master/jablib/src/main/java/org/jabref/logic/integrity/UrlChecker.java")</f>
        <v/>
      </c>
      <c r="D705" t="inlineStr">
        <is>
          <t>The provided code is a Java class named UrlChecker that implements the ValueChecker interface from JabRef's logic package for URL validation. The function checkValue takes in a string value and checks if it contains a protocol (like http or https), which adheres to RFC 3986 syntax rules for URI construction. If the input does not meet these conditions, an</t>
        </is>
      </c>
      <c r="E705" t="n">
        <v>0.0037</v>
      </c>
      <c r="F705" t="n">
        <v>0.0882</v>
      </c>
      <c r="G705" t="n">
        <v>0.1145</v>
      </c>
      <c r="H705" t="inlineStr">
        <is>
          <t>The provided code is a Java class named UrlChecker that implements the ValueChecker interface from JabRef logic library for URL validation. The purpose of this class is to validate if a given string value contains a protocol and conforms to RFC 3986 URI syntax (which updates RFC 2396). If it does not meet these conditions, an error message</t>
        </is>
      </c>
      <c r="I705" t="n">
        <v>0.0037</v>
      </c>
      <c r="J705" t="n">
        <v>0.0606</v>
      </c>
      <c r="K705" t="n">
        <v>0.1154</v>
      </c>
      <c r="L705" t="inlineStr">
        <is>
          <t>The provided code is a Java implementation of the UrlChecker class in JabRef software which checks if a given URL adheres to RFC 3986 syntax (which updates RFC 2396) and contains a protocol such as http[s], file, or ftp. If not, it returns an error message indicating why the URL is invalid. The purpose</t>
        </is>
      </c>
      <c r="M705" t="n">
        <v>0.004</v>
      </c>
      <c r="N705" t="n">
        <v>0.0635</v>
      </c>
      <c r="O705" t="n">
        <v>0.119</v>
      </c>
    </row>
    <row r="706">
      <c r="A706" t="inlineStr">
        <is>
          <t>jabref</t>
        </is>
      </c>
      <c r="B706" t="inlineStr">
        <is>
          <t>jablib/src/main/java/org/jabref/logic/integrity/UnicodeNormalFormCanonicalCompositionCheck.java</t>
        </is>
      </c>
      <c r="C706">
        <f>HYPERLINK("https://github.com/JabRef/jabref/blob/master/jablib/src/main/java/org/jabref/logic/integrity/UnicodeNormalFormCanonicalCompositionCheck.java")</f>
        <v/>
      </c>
      <c r="D706" t="inlineStr">
        <is>
          <t>The provided code is a Java class named `UnicodeNormalFormCanonicalCompositionCheck` that implements the interface `EntryChecker` from JabRef software library for checking Bibliography Entry (BibEntry). The purpose of this check is to ensure all Unicode characters in each field value are normalized into Normal Form Canonical Composition (NFC), which means they have been decom</t>
        </is>
      </c>
      <c r="E706" t="n">
        <v>0.0042</v>
      </c>
      <c r="F706" t="n">
        <v>0.0333</v>
      </c>
      <c r="G706" t="n">
        <v>0.121</v>
      </c>
      <c r="H706" t="inlineStr">
        <is>
          <t>The code you provided is a Java class named `UnicodeNormalFormCanonicalCompositionCheck` that implements the interface `EntryChecker` from JabRef software library for checking if any Unicode character in an entry (which represents a BibTeX citation item) is not in NFC format. The function `check()` takes as input a BibEntry object and returns</t>
        </is>
      </c>
      <c r="I706" t="n">
        <v>0.0048</v>
      </c>
      <c r="J706" t="n">
        <v>0.1034</v>
      </c>
      <c r="K706" t="n">
        <v>0.1639</v>
      </c>
      <c r="L706" t="inlineStr">
        <is>
          <t>The provided code is a Java class named `UnicodeNormalFormCanonicalCompositionCheck` that implements the interface `EntryChecker` from JabRef software library for checking Bibliography Entry (BibEntry). The purpose of this class seems to be detecting any Unicode characters in an entry field value which are not normalized according to Normal Form Canonical Composition (NFC).</t>
        </is>
      </c>
      <c r="M706" t="n">
        <v>0.0043</v>
      </c>
      <c r="N706" t="n">
        <v>0.0339</v>
      </c>
      <c r="O706" t="n">
        <v>0.122</v>
      </c>
    </row>
    <row r="707">
      <c r="A707" t="inlineStr">
        <is>
          <t>jabref</t>
        </is>
      </c>
      <c r="B707" t="inlineStr">
        <is>
          <t>jablib/src/main/java/org/jabref/logic/integrity/EntryChecker.java</t>
        </is>
      </c>
      <c r="C707">
        <f>HYPERLINK("https://github.com/JabRef/jabref/blob/master/jablib/src/main/java/org/jabref/logic/integrity/EntryChecker.java")</f>
        <v/>
      </c>
      <c r="D707" t="inlineStr">
        <is>
          <t>The provided code represents a functional interface named EntryChecker that takes in an object of type BibEntry and returns a List of IntegrityMessages. The purpose is to check the integrity of this entry according to certain rules or criteria defined by the implementing class.
The time complexity of this function is O(n), where n refers to the number of fields within the given bibli</t>
        </is>
      </c>
      <c r="E707" t="n">
        <v>0.0028</v>
      </c>
      <c r="F707" t="n">
        <v>0.0822</v>
      </c>
      <c r="G707" t="n">
        <v>0.1471</v>
      </c>
      <c r="H707" t="inlineStr">
        <is>
          <t>The provided code is a functional interface named EntryChecker that takes in an object of type BibEntry and returns a List of IntegrityMessages. The purpose of this function appears to be checking the integrity or validity of fields within a bibliographic entry based on specific rules defined by its implementation. It seems like it's designed for use with JabRef, a reference management tool.</t>
        </is>
      </c>
      <c r="I707" t="n">
        <v>0.0029</v>
      </c>
      <c r="J707" t="n">
        <v>0.0556</v>
      </c>
      <c r="K707" t="n">
        <v>0.1111</v>
      </c>
      <c r="L707" t="inlineStr">
        <is>
          <t>The provided code is a functional interface named EntryChecker that takes in an object of type BibEntry and returns a List of IntegrityMessage objects. The purpose of this class is to check the integrity of fields within a given entry according to predefined rules or patterns. It provides functionality for validating entries based on their content and formatting.
The logic involves iterating</t>
        </is>
      </c>
      <c r="M707" t="n">
        <v>0.0035</v>
      </c>
      <c r="N707" t="n">
        <v>0.1143</v>
      </c>
      <c r="O707" t="n">
        <v>0.1119</v>
      </c>
    </row>
    <row r="708">
      <c r="A708" t="inlineStr">
        <is>
          <t>jabref</t>
        </is>
      </c>
      <c r="B708" t="inlineStr">
        <is>
          <t>jablib/src/main/java/org/jabref/logic/integrity/CitationKeyDeviationChecker.java</t>
        </is>
      </c>
      <c r="C708">
        <f>HYPERLINK("https://github.com/JabRef/jabref/blob/master/jablib/src/main/java/org/jabref/logic/integrity/CitationKeyDeviationChecker.java")</f>
        <v/>
      </c>
      <c r="D708" t="inlineStr">
        <is>
          <t>The provided code is a Java class named `CitationKeyDeviationChecker` that implements the interface `EntryChecker` from JabRef's logic package for checking deviation of citation keys in Bibliography Database Context (BDBC). It takes two parameters during initialization - a non-null instance of `BibDatabaseContext` and a non-null instance of `C</t>
        </is>
      </c>
      <c r="E708" t="n">
        <v>0.0046</v>
      </c>
      <c r="F708" t="n">
        <v>0.0702</v>
      </c>
      <c r="G708" t="n">
        <v>0.08400000000000001</v>
      </c>
      <c r="H708" t="inlineStr">
        <is>
          <t>The code provided is a Java class named `CitationKeyDeviationChecker` that implements an interface called `EntryChecker`. This class has two private fields, one of type `BibDatabaseContext` and the other of type `CitationKeyPatternPreferences`. The constructor for this class takes in these two types as parameters and assigns them to its own instance variables.</t>
        </is>
      </c>
      <c r="I708" t="n">
        <v>0.0047</v>
      </c>
      <c r="J708" t="n">
        <v>0.0678</v>
      </c>
      <c r="K708" t="n">
        <v>0.122</v>
      </c>
      <c r="L708" t="inlineStr">
        <is>
          <t>The provided code is a Java class named `CitationKeyDeviationChecker` that implements an interface called `EntryChecker` from the JabRef software library. This class checks for potential deviation in citation keys generated by the user based on their preferences and existing entries in the database.
It takes two parameters during initialization - a BibDatabaseContext object which represents the context</t>
        </is>
      </c>
      <c r="M708" t="n">
        <v>0.0045</v>
      </c>
      <c r="N708" t="n">
        <v>0.0625</v>
      </c>
      <c r="O708" t="n">
        <v>0.155</v>
      </c>
    </row>
    <row r="709">
      <c r="A709" t="inlineStr">
        <is>
          <t>jabref</t>
        </is>
      </c>
      <c r="B709" t="inlineStr">
        <is>
          <t>jablib/src/main/java/org/jabref/logic/integrity/FileChecker.java</t>
        </is>
      </c>
      <c r="C709">
        <f>HYPERLINK("https://github.com/JabRef/jabref/blob/master/jablib/src/main/java/org/jabref/logic/integrity/FileChecker.java")</f>
        <v/>
      </c>
      <c r="D709" t="inlineStr">
        <is>
          <t>The code provided is a Java class named `FileChecker` that implements the interface `ValueChecker` from JabRef library for checking file fields in BibTeX entries. It checks if a given string value represents valid files or directories and returns an error message if it's not. The check includes verifying whether the path exists on disk (complexity O(N)) and</t>
        </is>
      </c>
      <c r="E709" t="n">
        <v>0.0038</v>
      </c>
      <c r="F709" t="n">
        <v>0.0597</v>
      </c>
      <c r="G709" t="n">
        <v>0.0775</v>
      </c>
      <c r="H709" t="inlineStr">
        <is>
          <t>The code provided is a Java class named `FileChecker` that implements the interface `ValueChecker` from JabRef software library for checking file links in BibTeX entries. It uses utility classes to parse and validate the input string representing potential file paths or URLs. The complexity of this operation appears to be O(N), where N represents the number of files parsed by the</t>
        </is>
      </c>
      <c r="I709" t="n">
        <v>0.0039</v>
      </c>
      <c r="J709" t="n">
        <v>0.0571</v>
      </c>
      <c r="K709" t="n">
        <v>0.188</v>
      </c>
      <c r="L709" t="inlineStr">
        <is>
          <t>The provided code is a Java class named `FileChecker` that implements the interface `ValueChecker` from JabRef software library for checking file links in BibTeX entries.
It has two private fields - `context` of type `BibDatabaseContext` and `filePreferences` of type `FilePreferences`. The constructor takes these as parameters to</t>
        </is>
      </c>
      <c r="M709" t="n">
        <v>0.0051</v>
      </c>
      <c r="N709" t="n">
        <v>0.0741</v>
      </c>
      <c r="O709" t="n">
        <v>0.1261</v>
      </c>
    </row>
    <row r="710">
      <c r="A710" t="inlineStr">
        <is>
          <t>jabref</t>
        </is>
      </c>
      <c r="B710" t="inlineStr">
        <is>
          <t>jablib/src/main/java/org/jabref/logic/integrity/NoteChecker.java</t>
        </is>
      </c>
      <c r="C710">
        <f>HYPERLINK("https://github.com/JabRef/jabref/blob/master/jablib/src/main/java/org/jabref/logic/integrity/NoteChecker.java")</f>
        <v/>
      </c>
      <c r="D710" t="inlineStr">
        <is>
          <t>The code provided is a Java class named NoteChecker that implements the ValueChecker interface from JabRef's logic package for checking note field values in BibTeX entries. The purpose of this checker is to ensure that the first letter of each sentence in the notes starts with an uppercase character as per the biblatex package behavior or according to official B</t>
        </is>
      </c>
      <c r="E710" t="n">
        <v>0.003</v>
      </c>
      <c r="F710" t="n">
        <v>0.058</v>
      </c>
      <c r="G710" t="n">
        <v>0.07580000000000001</v>
      </c>
      <c r="H710" t="inlineStr">
        <is>
          <t>This repository contains backend software components implementing core algorithms for the JabRef bibliography management tool. The main component is a note checker that adheres to BibTeX specifications and follows the guidelines provided in the biblatex package documentation regarding sentence capitalization rules. It checks if the first word of each sentence begins with an uppercase letter. If not, it automatically capitalizes it</t>
        </is>
      </c>
      <c r="I710" t="n">
        <v>0.0042</v>
      </c>
      <c r="J710" t="n">
        <v>0.1449</v>
      </c>
      <c r="K710" t="n">
        <v>0.2797</v>
      </c>
      <c r="L710" t="inlineStr">
        <is>
          <t>The provided code is a Java class named NoteChecker that implements the ValueChecker interface from JabRef's logic module for checking note field values in BibTeX entries. 
 This class has one private final attribute 'bibDatabaseContextEdition', which represents the context of the database where the check will be performed. It also contains a static Predicate object</t>
        </is>
      </c>
      <c r="M710" t="n">
        <v>0.0045</v>
      </c>
      <c r="N710" t="n">
        <v>0.0635</v>
      </c>
      <c r="O710" t="n">
        <v>0.119</v>
      </c>
    </row>
    <row r="711">
      <c r="A711" t="inlineStr">
        <is>
          <t>jabref</t>
        </is>
      </c>
      <c r="B711" t="inlineStr">
        <is>
          <t>jablib/src/main/java/org/jabref/logic/integrity/UTF8Checker.java</t>
        </is>
      </c>
      <c r="C711">
        <f>HYPERLINK("https://github.com/JabRef/jabref/blob/master/jablib/src/main/java/org/jabref/logic/integrity/UTF8Checker.java")</f>
        <v/>
      </c>
      <c r="D711" t="inlineStr">
        <is>
          <t>The provided code is a Java class `UTF8Checker` that implements an interface called `EntryChecker` for checking if any fields in a BibTeX entry are not encoded using UTF-8 encoding scheme. 
It does this by creating a ByteBuffer and CharsetDecoder with the given charset to decode each field of a BibEntry into</t>
        </is>
      </c>
      <c r="E711" t="n">
        <v>0.0043</v>
      </c>
      <c r="F711" t="n">
        <v>0.0667</v>
      </c>
      <c r="G711" t="n">
        <v>0.1626</v>
      </c>
      <c r="H711" t="inlineStr">
        <is>
          <t>The code provided is a Java class that implements an Entry Checker for UTF-8 encoding compliance in BibTeX entries. The main functionality of this class revolves around the decoding process of fields within BibTeX entries using a specified charset (e.g., StandardCharsets.UTF_8). If any field fails to decode correctly due to non-UTF-8</t>
        </is>
      </c>
      <c r="I711" t="n">
        <v>0.0043</v>
      </c>
      <c r="J711" t="n">
        <v>0.0615</v>
      </c>
      <c r="K711" t="n">
        <v>0.122</v>
      </c>
      <c r="L711" t="inlineStr">
        <is>
          <t>The provided code is a Java implementation of UTF-8 checking for BibTeX entries using the `java.nio` package from Java 7 and above. The main purpose of this class (`UTF8Checker`) is to decode each field in a given entry (`BibEntry` object) into bytes array then attempt to decode these bytes arrays back to</t>
        </is>
      </c>
      <c r="M711" t="n">
        <v>0.0035</v>
      </c>
      <c r="N711" t="n">
        <v>0.0645</v>
      </c>
      <c r="O711" t="n">
        <v>0.1613</v>
      </c>
    </row>
    <row r="712">
      <c r="A712" t="inlineStr">
        <is>
          <t>jabref</t>
        </is>
      </c>
      <c r="B712" t="inlineStr">
        <is>
          <t>jablib/src/main/java/org/jabref/logic/integrity/IntegrityCheckResultCsvWriter.java</t>
        </is>
      </c>
      <c r="C712">
        <f>HYPERLINK("https://github.com/JabRef/jabref/blob/master/jablib/src/main/java/org/jabref/logic/integrity/IntegrityCheckResultCsvWriter.java")</f>
        <v/>
      </c>
      <c r="D712" t="inlineStr">
        <is>
          <t>The provided code is a Java class named `IntegrityCheckResultCsvWriter` that extends the base class `IntegrityCheckResultWriter`. This class handles writing integrity check results to CSV format. 
It overrides two methods from its parent class: `writeFindings()` and `close()`. The former writes records of citation keys</t>
        </is>
      </c>
      <c r="E712" t="n">
        <v>0.0051</v>
      </c>
      <c r="F712" t="n">
        <v>0.0784</v>
      </c>
      <c r="G712" t="n">
        <v>0.08699999999999999</v>
      </c>
      <c r="H712" t="inlineStr">
        <is>
          <t>The provided code is a Java implementation of an Integrity Check Result Writer that writes the results to a CSV file in Apache Commons CSV format. The writer takes a list of `IntegrityMessage` objects and for each message it prints a record containing three fields - "Citation Key", "Field" and "Message". This functionality allows you to export integrity check result data into</t>
        </is>
      </c>
      <c r="I712" t="n">
        <v>0.0039</v>
      </c>
      <c r="J712" t="n">
        <v>0.058</v>
      </c>
      <c r="K712" t="n">
        <v>0.1493</v>
      </c>
      <c r="L712" t="inlineStr">
        <is>
          <t>The provided code is a Java class named `IntegrityCheckResultCsvWriter` that extends the base class `IntegrityCheckResultWriter` from JabRef software library. This class handles writing of integrity check results to CSV format for reporting purposes in an academic reference management system. 
It takes as input a list of Integrity Message objects and writes</t>
        </is>
      </c>
      <c r="M712" t="n">
        <v>0.0047</v>
      </c>
      <c r="N712" t="n">
        <v>0.0678</v>
      </c>
      <c r="O712" t="n">
        <v>0.122</v>
      </c>
    </row>
    <row r="713">
      <c r="A713" t="inlineStr">
        <is>
          <t>jabref</t>
        </is>
      </c>
      <c r="B713" t="inlineStr">
        <is>
          <t>jablib/src/main/java/org/jabref/logic/integrity/AmpersandChecker.java</t>
        </is>
      </c>
      <c r="C713">
        <f>HYPERLINK("https://github.com/JabRef/jabref/blob/master/jablib/src/main/java/org/jabref/logic/integrity/AmpersandChecker.java")</f>
        <v/>
      </c>
      <c r="D713" t="inlineStr">
        <is>
          <t># This code is a Java class named `AmpersandChecker` that implements the interface `EntryChecker` from JabRef's logic package for checking if BibEntries contain unescaped ampersands in non-literal fields (i.e., those not enclosed within curly braces). 
# The purpose of this checker</t>
        </is>
      </c>
      <c r="E713" t="n">
        <v>0.0054</v>
      </c>
      <c r="F713" t="n">
        <v>0.12</v>
      </c>
      <c r="G713" t="n">
        <v>0.0885</v>
      </c>
      <c r="H713" t="inlineStr">
        <is>
          <t>This code is a Java method that checks if the BibEntry contains unescaped ampersands in non-verbatim fields of a Bibliography Entry (BibEntry). The check is done by using regular expressions to find matches for an escaped ampersand ("\\&amp;") preceded by any number of backslashes (\). If such a match is found, it returns a</t>
        </is>
      </c>
      <c r="I713" t="n">
        <v>0.0034</v>
      </c>
      <c r="J713" t="n">
        <v>0.0328</v>
      </c>
      <c r="K713" t="n">
        <v>0.0794</v>
      </c>
      <c r="L713" t="inlineStr">
        <is>
          <t>The provided code is a Java class named AmpersandChecker that implements the EntryChecker interface from JabRef's logic module for integrity checks on BibTeX entries. This class specifically checks if there are unescaped ampersands in non-literal fields of a given BibEntry object. 
 It does this by compiling a regular</t>
        </is>
      </c>
      <c r="M713" t="n">
        <v>0.005</v>
      </c>
      <c r="N713" t="n">
        <v>0.06900000000000001</v>
      </c>
      <c r="O713" t="n">
        <v>0.125</v>
      </c>
    </row>
    <row r="714">
      <c r="A714" t="inlineStr">
        <is>
          <t>jabref</t>
        </is>
      </c>
      <c r="B714" t="inlineStr">
        <is>
          <t>jablib/src/main/java/org/jabref/logic/integrity/DoiValidityChecker.java</t>
        </is>
      </c>
      <c r="C714">
        <f>HYPERLINK("https://github.com/JabRef/jabref/blob/master/jablib/src/main/java/org/jabref/logic/integrity/DoiValidityChecker.java")</f>
        <v/>
      </c>
      <c r="D714" t="inlineStr">
        <is>
          <t>The provided code is a Java class named DoiValidityChecker that implements the ValueChecker interface from JabRef's logic package for checking DOI (Digital Object Identifier) validity. The checkValue method takes in a string value and checks if it is blank or not valid according to the DOI standard rules. If these conditions are met, an Optional object with no value</t>
        </is>
      </c>
      <c r="E714" t="n">
        <v>0.0037</v>
      </c>
      <c r="F714" t="n">
        <v>0.0588</v>
      </c>
      <c r="G714" t="n">
        <v>0.07630000000000001</v>
      </c>
      <c r="H714" t="inlineStr">
        <is>
          <t>The provided code is a Java class named DoiValidityChecker that implements the ValueChecker interface from JabRef's logic package for checking validity of DOIs (Digital Object Identifiers). The checkValue method checks if an input string value represents a valid DOI or not by using the utility function 'isValid()'. If it isn't valid, the error message "</t>
        </is>
      </c>
      <c r="I714" t="n">
        <v>0.0033</v>
      </c>
      <c r="J714" t="n">
        <v>0.0625</v>
      </c>
      <c r="K714" t="n">
        <v>0.07870000000000001</v>
      </c>
      <c r="L714" t="inlineStr">
        <is>
          <t>The provided code is a Java class named `DoiValidityChecker` that implements the interface `ValueChecker` from JabRef software library. This class checks if an input string value represents a valid DOI (Digital Object Identifier). 
It does this by utilizing several utility classes and methods such as StringUtil for checking blank strings and DOI class</t>
        </is>
      </c>
      <c r="M714" t="n">
        <v>0.0049</v>
      </c>
      <c r="N714" t="n">
        <v>0.06560000000000001</v>
      </c>
      <c r="O714" t="n">
        <v>0.16</v>
      </c>
    </row>
    <row r="715">
      <c r="A715" t="inlineStr">
        <is>
          <t>jabref</t>
        </is>
      </c>
      <c r="B715" t="inlineStr">
        <is>
          <t>jablib/src/main/java/org/jabref/logic/integrity/ValidCitationKeyChecker.java</t>
        </is>
      </c>
      <c r="C715">
        <f>HYPERLINK("https://github.com/JabRef/jabref/blob/master/jablib/src/main/java/org/jabref/logic/integrity/ValidCitationKeyChecker.java")</f>
        <v/>
      </c>
      <c r="D715" t="inlineStr">
        <is>
          <t>The code is a Java class named ValidCitationKeyChecker that implements the ValueChecker interface from JabRef's logic package for checking if citation keys are valid or not. The check includes removing unwanted characters and keeping diacritical marks (characters with accents). If the cleaned key equals to original one then it returns an error message indicating 'invalid citation key</t>
        </is>
      </c>
      <c r="E715" t="n">
        <v>0.0038</v>
      </c>
      <c r="F715" t="n">
        <v>0.0606</v>
      </c>
      <c r="G715" t="n">
        <v>0.0775</v>
      </c>
      <c r="H715" t="inlineStr">
        <is>
          <t>The provided code is a Java class that checks if the citation key of an entry in a bibliography database follows certain rules defined by unwanted characters and their handling. The function `checkValue` takes as input a string value representing the potential citation key, cleans it from unwanted characters using the method `removeUnwantedCharactersWithKeepDiacritics` from Citation</t>
        </is>
      </c>
      <c r="I715" t="n">
        <v>0.0033</v>
      </c>
      <c r="J715" t="n">
        <v>0.0317</v>
      </c>
      <c r="K715" t="n">
        <v>0.07870000000000001</v>
      </c>
      <c r="L715" t="inlineStr">
        <is>
          <t>```java
The provided code is a Java class named `ValidCitationKeyChecker` that implements the ValueChecker interface from JabRef software library. The purpose of this class is to validate citation keys based on certain rules and conditions. 
It takes an unwanted character string as input in its constructor which represents characters that are not allowed within the citation</t>
        </is>
      </c>
      <c r="M715" t="n">
        <v>0.0043</v>
      </c>
      <c r="N715" t="n">
        <v>0.0625</v>
      </c>
      <c r="O715" t="n">
        <v>0.1563</v>
      </c>
    </row>
    <row r="716">
      <c r="A716" t="inlineStr">
        <is>
          <t>jabref</t>
        </is>
      </c>
      <c r="B716" t="inlineStr">
        <is>
          <t>jablib/src/main/java/org/jabref/logic/integrity/IntegrityCheckResultErrorFormatWriter.java</t>
        </is>
      </c>
      <c r="C716">
        <f>HYPERLINK("https://github.com/JabRef/jabref/blob/master/jablib/src/main/java/org/jabref/logic/integrity/IntegrityCheckResultErrorFormatWriter.java")</f>
        <v/>
      </c>
      <c r="D716" t="inlineStr">
        <is>
          <t>The provided code is a Java class named `IntegrityCheckResultErrorFormatWriter` that extends the `IntegrityCheckResultWriter` class from JabRef software library for handling errors and writing findings during integrity checks of parsed data. The class has four private fields: 
- A Writer object to write error messages.
- A List of IntegrityMessages representing</t>
        </is>
      </c>
      <c r="E716" t="n">
        <v>0.0044</v>
      </c>
      <c r="F716" t="n">
        <v>0.07140000000000001</v>
      </c>
      <c r="G716" t="n">
        <v>0.082</v>
      </c>
      <c r="H716" t="inlineStr">
        <is>
          <t>The code provided is a Java class that extends an Integrity Check Result Writer and overrides the `writeFindings` method to write specific format of error messages related to parsing results into a file. The writer appends each message with details like input file name, field range start line, field range end line, and the actual content of the error message. This implementation uses core algorithms</t>
        </is>
      </c>
      <c r="I716" t="n">
        <v>0.0037</v>
      </c>
      <c r="J716" t="n">
        <v>0.0822</v>
      </c>
      <c r="K716" t="n">
        <v>0.1825</v>
      </c>
      <c r="L716" t="inlineStr">
        <is>
          <t>The provided code is a Java implementation of an Integrity Check Result Error Format Writer class in the JabRef software library. This class extends from `IntegrityCheckResultWriter` and overrides its method `writeFindings()`.
The main purpose of this class seems to be writing error messages related to data integrity into a file along with some metadata about where these</t>
        </is>
      </c>
      <c r="M716" t="n">
        <v>0.0042</v>
      </c>
      <c r="N716" t="n">
        <v>0.0615</v>
      </c>
      <c r="O716" t="n">
        <v>0.155</v>
      </c>
    </row>
    <row r="717">
      <c r="A717" t="inlineStr">
        <is>
          <t>jabref</t>
        </is>
      </c>
      <c r="B717" t="inlineStr">
        <is>
          <t>jablib/src/main/java/org/jabref/logic/integrity/PagesChecker.java</t>
        </is>
      </c>
      <c r="C717">
        <f>HYPERLINK("https://github.com/JabRef/jabref/blob/master/jablib/src/main/java/org/jabref/logic/integrity/PagesChecker.java")</f>
        <v/>
      </c>
      <c r="D717" t="inlineStr">
        <is>
          <t>The code provided is a Java class that implements the ValueChecker interface for page numbers in BibTeX entries. It checks if the input string matches either Roman numerals or decimal numbers and validates them against a specific pattern to ensure they are correctly formatted as page numbers. The checker uses regular expressions (Regex) to match these patterns and validate the strings.</t>
        </is>
      </c>
      <c r="E717" t="n">
        <v>0.0036</v>
      </c>
      <c r="F717" t="n">
        <v>0.058</v>
      </c>
      <c r="G717" t="n">
        <v>0.1128</v>
      </c>
      <c r="H717" t="inlineStr">
        <is>
          <t>The provided code is a Java class that implements the ValueChecker interface from JabRef's logic module for page number validation in BibTeX entries. It uses regular expressions to match patterns of Roman numerals and decimal numbers as valid page references. The complexity of this implementation appears to be O(N), where N represents the length of the input string being checked against these regex patterns.</t>
        </is>
      </c>
      <c r="I717" t="n">
        <v>0.0037</v>
      </c>
      <c r="J717" t="n">
        <v>0.0541</v>
      </c>
      <c r="K717" t="n">
        <v>0.1838</v>
      </c>
      <c r="L717" t="inlineStr">
        <is>
          <t>The provided code is a Java class named `PagesChecker` that implements the interface `ValueChecker` from JabRef library for validating page numbers in BibTeX entries. The main purpose of this class seems to be checking if given strings match specific patterns defined by regular expressions (RegEx). 
It identifies Roman numerals and decimal numbers as potential</t>
        </is>
      </c>
      <c r="M717" t="n">
        <v>0.004</v>
      </c>
      <c r="N717" t="n">
        <v>0.0645</v>
      </c>
      <c r="O717" t="n">
        <v>0.119</v>
      </c>
    </row>
    <row r="718">
      <c r="A718" t="inlineStr">
        <is>
          <t>jabref</t>
        </is>
      </c>
      <c r="B718" t="inlineStr">
        <is>
          <t>jablib/src/main/java/org/jabref/logic/integrity/IntegrityCheckResultTxtWriter.java</t>
        </is>
      </c>
      <c r="C718">
        <f>HYPERLINK("https://github.com/JabRef/jabref/blob/master/jablib/src/main/java/org/jabref/logic/integrity/IntegrityCheckResultTxtWriter.java")</f>
        <v/>
      </c>
      <c r="D718" t="inlineStr">
        <is>
          <t>```plaintext
The provided code is a Java class named `IntegrityCheckResultTxtWriter` that extends the base class `IntegrityCheckResultWriter` from package org.jabref.logic.integrity. 
This class has one constructor which takes in two parameters - an instance of Writer and a List of IntegrityMessages. The super</t>
        </is>
      </c>
      <c r="E718" t="n">
        <v>0.0054</v>
      </c>
      <c r="F718" t="n">
        <v>0.0784</v>
      </c>
      <c r="G718" t="n">
        <v>0.0885</v>
      </c>
      <c r="H718" t="inlineStr">
        <is>
          <t>The provided code is a Java class named `IntegrityCheckResultTxtWriter` that extends an existing `IntegrityCheckResultWriter` class. This class overrides the method `writeFindings()` to write out each integrity message in the list of messages passed into its constructor as well as appending a new line separator after every one. The complexity of this operation is O</t>
        </is>
      </c>
      <c r="I718" t="n">
        <v>0.0034</v>
      </c>
      <c r="J718" t="n">
        <v>0.0323</v>
      </c>
      <c r="K718" t="n">
        <v>0.0397</v>
      </c>
      <c r="L718" t="inlineStr">
        <is>
          <t>The provided code is a Java class named IntegrityCheckResultTxtWriter that extends the abstract base class IntegrityCheckResultWriter. This class overrides the writeFindings method to output integrity messages in text format into an external file or writer. The main purpose of this class is to provide functionality for writing out integrity check results in a specific format (in this case, plaintext).</t>
        </is>
      </c>
      <c r="M718" t="n">
        <v>0.0037</v>
      </c>
      <c r="N718" t="n">
        <v>0.0597</v>
      </c>
      <c r="O718" t="n">
        <v>0.07630000000000001</v>
      </c>
    </row>
    <row r="719">
      <c r="A719" t="inlineStr">
        <is>
          <t>jabref</t>
        </is>
      </c>
      <c r="B719" t="inlineStr">
        <is>
          <t>jablib/src/main/java/org/jabref/logic/integrity/EntryLinkChecker.java</t>
        </is>
      </c>
      <c r="C719">
        <f>HYPERLINK("https://github.com/JabRef/jabref/blob/master/jablib/src/main/java/org/jabref/logic/integrity/EntryLinkChecker.java")</f>
        <v/>
      </c>
      <c r="D719" t="inlineStr">
        <is>
          <t>The code provided is a Java class named EntryLinkChecker that implements the interface EntryChecker from JabRef's logic package for checking integrity of BibTeX entries in a database. This particular checker checks if any fields have multiple entry links or single readme properties associated with them and returns an IntegrityMessage object containing information about the issue found (or not). The complexity</t>
        </is>
      </c>
      <c r="E719" t="n">
        <v>0.004</v>
      </c>
      <c r="F719" t="n">
        <v>0.058</v>
      </c>
      <c r="G719" t="n">
        <v>0.1136</v>
      </c>
      <c r="H719" t="inlineStr">
        <is>
          <t>The code provided is a Java class named `EntryLinkChecker` that implements an interface called `EntryChecker` for checking the integrity of BibTeX entries in a database. The check method iterates over each field and its corresponding value in the entry. If any field has properties indicating it can contain multiple links (i.e., FieldProperty.MULTIPLE_ENTRY</t>
        </is>
      </c>
      <c r="I719" t="n">
        <v>0.0042</v>
      </c>
      <c r="J719" t="n">
        <v>0.0635</v>
      </c>
      <c r="K719" t="n">
        <v>0.0806</v>
      </c>
      <c r="L719" t="inlineStr">
        <is>
          <t>The provided code is a Java class named `EntryLinkChecker` that checks for integrity issues in BibTeX entries by inspecting their fields and properties. The main purpose of this class seems to be to verify whether the links (URLs or DOIs) are correctly formatted according to certain rules defined in JabRef's Localization module. 
It does</t>
        </is>
      </c>
      <c r="M719" t="n">
        <v>0.0034</v>
      </c>
      <c r="N719" t="n">
        <v>0.0635</v>
      </c>
      <c r="O719" t="n">
        <v>0.0794</v>
      </c>
    </row>
    <row r="720">
      <c r="A720" t="inlineStr">
        <is>
          <t>jabref</t>
        </is>
      </c>
      <c r="B720" t="inlineStr">
        <is>
          <t>jablib/src/main/java/org/jabref/logic/integrity/NoBibtexFieldChecker.java</t>
        </is>
      </c>
      <c r="C720">
        <f>HYPERLINK("https://github.com/JabRef/jabref/blob/master/jablib/src/main/java/org/jabref/logic/integrity/NoBibtexFieldChecker.java")</f>
        <v/>
      </c>
      <c r="D720" t="inlineStr">
        <is>
          <t>The provided code is a Java class that implements an Entry Checker for JabRef software. The purpose of this checker is to ensure the BibEntry does not contain any field appearing only in either BibLaTeX or BibTeX but not both. It accomplishes this by retrieving all fields defined exclusively in one format (either BibLaTeX or BibTe</t>
        </is>
      </c>
      <c r="E720" t="n">
        <v>0.0033</v>
      </c>
      <c r="F720" t="n">
        <v>0.0312</v>
      </c>
      <c r="G720" t="n">
        <v>0.0781</v>
      </c>
      <c r="H720" t="inlineStr">
        <is>
          <t>The code provided is a Java class that implements an EntryChecker interface from the JabRef software library for checking BibTex entries against certain criteria. The checker checks if any field in the entry appears only in BibLaTeX (but not in BibTex). 
It does this by first getting all fields defined as appearing exclusively in BibLaTe</t>
        </is>
      </c>
      <c r="I720" t="n">
        <v>0.004</v>
      </c>
      <c r="J720" t="n">
        <v>0.0317</v>
      </c>
      <c r="K720" t="n">
        <v>0.1181</v>
      </c>
      <c r="L720" t="inlineStr">
        <is>
          <t>The provided code is a Java class named `NoBibtexFieldChecker` that implements the interface `EntryChecker` from JabRef software library for checking if an entry does not contain any field appearing only in BibLaTeX (and not in BibTeX). 
It accomplishes this by first defining all fields available in both BibLa</t>
        </is>
      </c>
      <c r="M720" t="n">
        <v>0.0045</v>
      </c>
      <c r="N720" t="n">
        <v>0.07140000000000001</v>
      </c>
      <c r="O720" t="n">
        <v>0.125</v>
      </c>
    </row>
    <row r="721">
      <c r="A721" t="inlineStr">
        <is>
          <t>jabref</t>
        </is>
      </c>
      <c r="B721" t="inlineStr">
        <is>
          <t>jablib/src/main/java/org/jabref/logic/integrity/FieldCheckers.java</t>
        </is>
      </c>
      <c r="C721">
        <f>HYPERLINK("https://github.com/JabRef/jabref/blob/master/jablib/src/main/java/org/jabref/logic/integrity/FieldCheckers.java")</f>
        <v/>
      </c>
      <c r="D721" t="inlineStr">
        <is>
          <t>The code provided is a Java class named `FieldCheckers` that manages the validation of fields in BibTeX entries based on predefined rules and custom checks. It uses Google's Guava library for Multimaps to map Field objects (which represent different types of metadata in BibTeX entries) to ValueChecker objects (which are responsible for validating values within</t>
        </is>
      </c>
      <c r="E721" t="n">
        <v>0.0033</v>
      </c>
      <c r="F721" t="n">
        <v>0.0312</v>
      </c>
      <c r="G721" t="n">
        <v>0.07870000000000001</v>
      </c>
      <c r="H721" t="inlineStr">
        <is>
          <t>The code you provided is a Java class named `FieldCheckers` that contains a private final Multimap field called `fieldChecker` and its constructor takes in several parameters to initialize the multimap with data from different sources. The complexity of this operation seems to be O(N), where N represents the number of fields available in the database context. This could potentially vary depending on how</t>
        </is>
      </c>
      <c r="I721" t="n">
        <v>0.0034</v>
      </c>
      <c r="J721" t="n">
        <v>0.0278</v>
      </c>
      <c r="K721" t="n">
        <v>0.0741</v>
      </c>
      <c r="L721" t="inlineStr">
        <is>
          <t>The provided code is a Java class named `FieldCheckers` that performs various checks on fields in Bibliography entries (in the context of JabRef software). 
It initializes with an instance of `BibDatabaseContext` and other necessary objects to perform its operations. The main purpose seems to be managing field checkers for different types of fields based on database context,</t>
        </is>
      </c>
      <c r="M721" t="n">
        <v>0.0032</v>
      </c>
      <c r="N721" t="n">
        <v>0.0615</v>
      </c>
      <c r="O721" t="n">
        <v>0.0388</v>
      </c>
    </row>
    <row r="722">
      <c r="A722" t="inlineStr">
        <is>
          <t>jabref</t>
        </is>
      </c>
      <c r="B722" t="inlineStr">
        <is>
          <t>jablib/src/main/java/org/jabref/logic/integrity/HTMLCharacterChecker.java</t>
        </is>
      </c>
      <c r="C722">
        <f>HYPERLINK("https://github.com/JabRef/jabref/blob/master/jablib/src/main/java/org/jabref/logic/integrity/HTMLCharacterChecker.java")</f>
        <v/>
      </c>
      <c r="D722" t="inlineStr">
        <is>
          <t>The code provided is a Java class named HTMLCharacterChecker that implements the EntryChecker interface from JabRef's logic package for integrity checks of BibTeX entries. The purpose of this checker is to detect any instances where non-verbatim fields contain HTML encoded characters in their values. It does so by using regular expressions (Regex), specifically looking for patterns like "</t>
        </is>
      </c>
      <c r="E722" t="n">
        <v>0.0031</v>
      </c>
      <c r="F722" t="n">
        <v>0.0597</v>
      </c>
      <c r="G722" t="n">
        <v>0.1154</v>
      </c>
      <c r="H722" t="inlineStr">
        <is>
          <t>The code provided is a Java class that checks for any HTML encoded characters in non-verbatim fields of BibTeX entries using regular expressions to match the pattern of an HTML character. The complexity is O(N), where N represents the number of fields in each entry. It returns a list of IntegrityMessages if it finds such characters.
In summary, this piece</t>
        </is>
      </c>
      <c r="I722" t="n">
        <v>0</v>
      </c>
      <c r="J722" t="n">
        <v>0.0286</v>
      </c>
      <c r="K722" t="n">
        <v>0.07580000000000001</v>
      </c>
      <c r="L722" t="inlineStr">
        <is>
          <t>The provided code is a Java class named HTMLCharacterChecker that implements the EntryChecker interface from JabRef's logic module for checking if there are any HTML encoded characters in non-verbatim fields of BibTeX entries. The main purpose of this class is to detect and report such issues within the given entry. 
Inputs include an instance of</t>
        </is>
      </c>
      <c r="M722" t="n">
        <v>0.0044</v>
      </c>
      <c r="N722" t="n">
        <v>0.0615</v>
      </c>
      <c r="O722" t="n">
        <v>0.1575</v>
      </c>
    </row>
    <row r="723">
      <c r="A723" t="inlineStr">
        <is>
          <t>jabref</t>
        </is>
      </c>
      <c r="B723" t="inlineStr">
        <is>
          <t>jablib/src/main/java/org/jabref/logic/integrity/ISSNChecker.java</t>
        </is>
      </c>
      <c r="C723">
        <f>HYPERLINK("https://github.com/JabRef/jabref/blob/master/jablib/src/main/java/org/jabref/logic/integrity/ISSNChecker.java")</f>
        <v/>
      </c>
      <c r="D723" t="inlineStr">
        <is>
          <t>The provided code is a Java class named ISSNChecker that implements the ValueChecker interface from org.jabref.logic.integrity package. The purpose of this class seems to be validating International Standard Serial Number (ISSN). 
It checks if an input string value is blank and returns an empty Optional object in such case. If not, it tr</t>
        </is>
      </c>
      <c r="E723" t="n">
        <v>0.0041</v>
      </c>
      <c r="F723" t="n">
        <v>0.0625</v>
      </c>
      <c r="G723" t="n">
        <v>0.12</v>
      </c>
      <c r="H723" t="inlineStr">
        <is>
          <t>The provided code is a Java implementation of an integrity check for ISSN (International Standard Serial Number). It checks if the input string follows the correct format and has a valid control digit according to the ISSN specification. If it does not meet these conditions, it returns an error message indicating why the value failed the check. The complexity of this function appears to be O(N), where</t>
        </is>
      </c>
      <c r="I723" t="n">
        <v>0.0027</v>
      </c>
      <c r="J723" t="n">
        <v>0.0526</v>
      </c>
      <c r="K723" t="n">
        <v>0.1439</v>
      </c>
      <c r="L723" t="inlineStr">
        <is>
          <t>The provided code is a Java class named ISSNChecker that implements the ValueChecker interface from JabRef's logic package for checking validity of an International Standard Serial Number (ISSN). The main purpose of this class is to validate if a given string value follows the correct format and control digit rules of an ISSN. 
It does so by</t>
        </is>
      </c>
      <c r="M723" t="n">
        <v>0.0038</v>
      </c>
      <c r="N723" t="n">
        <v>0.0606</v>
      </c>
      <c r="O723" t="n">
        <v>0.1163</v>
      </c>
    </row>
    <row r="724">
      <c r="A724" t="inlineStr">
        <is>
          <t>jabref</t>
        </is>
      </c>
      <c r="B724" t="inlineStr">
        <is>
          <t>jablib/src/main/java/org/jabref/logic/integrity/LatexIntegrityChecker.java</t>
        </is>
      </c>
      <c r="C724">
        <f>HYPERLINK("https://github.com/JabRef/jabref/blob/master/jablib/src/main/java/org/jabref/logic/integrity/LatexIntegrityChecker.java")</f>
        <v/>
      </c>
      <c r="D724" t="inlineStr">
        <is>
          <t>The provided code is a Java implementation of core algorithms for backend software components in the JabRef project. It's designed to check the integrity of Bibliography Entry (BibEntry) objects by using SnuggleTeX library which provides functionality for parsing and validating LaTeX expressions used in bibliographic references. The complexity of this code seems to be O</t>
        </is>
      </c>
      <c r="E724" t="n">
        <v>0.0047</v>
      </c>
      <c r="F724" t="n">
        <v>0.125</v>
      </c>
      <c r="G724" t="n">
        <v>0.2362</v>
      </c>
      <c r="H724" t="inlineStr">
        <is>
          <t>The provided code is a Java implementation of core algorithms used in backend software components for handling BibTeX entries and performing various operations on them. The complexity of the code seems to be O(N), where N represents the number of fields in each entry or the size of the input data structure. It includes functionalities such as field validation, error detection during parsing, SnuggleTex</t>
        </is>
      </c>
      <c r="I724" t="n">
        <v>0.0037</v>
      </c>
      <c r="J724" t="n">
        <v>0.0822</v>
      </c>
      <c r="K724" t="n">
        <v>0.1838</v>
      </c>
      <c r="L724" t="inlineStr">
        <is>
          <t>The provided code is part of a backend software component for managing and validating Bibliography Entries (BibEntries). It uses various algorithms to validate the entries based on their fields' definitions in JabRef library management tool. The main purpose of this module seems to be to check if all required fields are present and filled out correctly according to predefined rules or patterns set by authors</t>
        </is>
      </c>
      <c r="M724" t="n">
        <v>0.0037</v>
      </c>
      <c r="N724" t="n">
        <v>0.0822</v>
      </c>
      <c r="O724" t="n">
        <v>0.1825</v>
      </c>
    </row>
    <row r="725">
      <c r="A725" t="inlineStr">
        <is>
          <t>jabref</t>
        </is>
      </c>
      <c r="B725" t="inlineStr">
        <is>
          <t>jablib/src/main/java/org/jabref/logic/integrity/MonthChecker.java</t>
        </is>
      </c>
      <c r="C725">
        <f>HYPERLINK("https://github.com/JabRef/jabref/blob/master/jablib/src/main/java/org/jabref/logic/integrity/MonthChecker.java")</f>
        <v/>
      </c>
      <c r="D725" t="inlineStr">
        <is>
          <t>The provided code is a Java implementation of the MonthChecker class which implements ValueChecker interface from JabRef software library for checking month field in BibTeX entries. The purpose of this class is to ensure that the values entered into the 'month' field are valid according to some predefined rules and conventions. It uses regular expressions (RegEx) patterns to match against input</t>
        </is>
      </c>
      <c r="E725" t="n">
        <v>0.0039</v>
      </c>
      <c r="F725" t="n">
        <v>0.058</v>
      </c>
      <c r="G725" t="n">
        <v>0.188</v>
      </c>
      <c r="H725" t="inlineStr">
        <is>
          <t>The code you provided is a Java class that implements a value checker for months in BibLaTeX databases. It uses regular expressions to match the month names or numbers against predefined patterns and checks if they are valid according to these rules. The complexity of this function seems to be O(1), as it only performs a constant number of operations regardless of the size of its input (</t>
        </is>
      </c>
      <c r="I725" t="n">
        <v>0.0032</v>
      </c>
      <c r="J725" t="n">
        <v>0.0526</v>
      </c>
      <c r="K725" t="n">
        <v>0.1429</v>
      </c>
      <c r="L725" t="inlineStr">
        <is>
          <t>The provided code is a Java class named MonthChecker that implements the ValueChecker interface from JabRef software library for checking month values in BibTeX entries.
It has two static final Predicates ONLY_AN_INTEGER and MONTH_NORMALIZED which compile regular expressions to check if input strings are valid months represented as integers (</t>
        </is>
      </c>
      <c r="M725" t="n">
        <v>0.0048</v>
      </c>
      <c r="N725" t="n">
        <v>0.0667</v>
      </c>
      <c r="O725" t="n">
        <v>0.123</v>
      </c>
    </row>
    <row r="726">
      <c r="A726" t="inlineStr">
        <is>
          <t>jabref</t>
        </is>
      </c>
      <c r="B726" t="inlineStr">
        <is>
          <t>jablib/src/main/java/org/jabref/logic/integrity/TypeChecker.java</t>
        </is>
      </c>
      <c r="C726">
        <f>HYPERLINK("https://github.com/JabRef/jabref/blob/master/jablib/src/main/java/org/jabref/logic/integrity/TypeChecker.java")</f>
        <v/>
      </c>
      <c r="D726" t="inlineStr">
        <is>
          <t>The provided code is a Java class named `TypeChecker` that implements an interface called `EntryChecker` from the JabRef software library for checking integrity of Bibliography Entry (BibEntry). The purpose of this class seems to be to check if the entry type matches with its field values and return appropriate messages in case of mismatches. This specific instance checks whether 'pages</t>
        </is>
      </c>
      <c r="E726" t="n">
        <v>0.0043</v>
      </c>
      <c r="F726" t="n">
        <v>0.0588</v>
      </c>
      <c r="G726" t="n">
        <v>0.1515</v>
      </c>
      <c r="H726" t="inlineStr">
        <is>
          <t>The provided code is a Java implementation of an Entry Checker for BibTeX entries in JabRef software. It checks if the 'pages' field exists and has values when the entry type is Proceedings. If these conditions are not met, it returns an Integrity Message indicating that there might be wrong entry types or missing page numbers. The complexity of this function is O(</t>
        </is>
      </c>
      <c r="I726" t="n">
        <v>0.0029</v>
      </c>
      <c r="J726" t="n">
        <v>0.0563</v>
      </c>
      <c r="K726" t="n">
        <v>0.1481</v>
      </c>
      <c r="L726" t="inlineStr">
        <is>
          <t>```python
The provided code is a Java class named `TypeChecker` that implements an interface called `EntryChecker` for checking the integrity of BibTeX entries in JabRef software. The main purpose of this class is to verify if the entry type (e.g., Article, Book) matches with its associated fields and values. 
Specifically</t>
        </is>
      </c>
      <c r="M726" t="n">
        <v>0.0044</v>
      </c>
      <c r="N726" t="n">
        <v>0.0678</v>
      </c>
      <c r="O726" t="n">
        <v>0.123</v>
      </c>
    </row>
    <row r="727">
      <c r="A727" t="inlineStr">
        <is>
          <t>jabref</t>
        </is>
      </c>
      <c r="B727" t="inlineStr">
        <is>
          <t>jablib/src/main/java/org/jabref/logic/integrity/ValueChecker.java</t>
        </is>
      </c>
      <c r="C727">
        <f>HYPERLINK("https://github.com/JabRef/jabref/blob/master/jablib/src/main/java/org/jabref/logic/integrity/ValueChecker.java")</f>
        <v/>
      </c>
      <c r="D727" t="inlineStr">
        <is>
          <t>The provided code is a Java interface named ValueChecker that validates specified values. It returns an error message if the validation fails and otherwise it returns an empty Optional object. The method signature for checkValue() requires a String parameter representing the value to be checked and returns an Optional of type String which can either contain a string (error message in case of failure), or no value (in case of</t>
        </is>
      </c>
      <c r="E727" t="n">
        <v>0.0026</v>
      </c>
      <c r="F727" t="n">
        <v>0.0256</v>
      </c>
      <c r="G727" t="n">
        <v>0.0352</v>
      </c>
      <c r="H727" t="inlineStr">
        <is>
          <t>The provided code is an interface named ValueChecker in Java that defines a method called checkValue which takes a String value as input and returns either an error message or nothing (which signifies successful validation). The complexity of this function is O(N), where N represents the length of the string being validated. It's used to implement core algorithms for backend software components.
Please</t>
        </is>
      </c>
      <c r="I727" t="n">
        <v>0.0038</v>
      </c>
      <c r="J727" t="n">
        <v>0.0822</v>
      </c>
      <c r="K727" t="n">
        <v>0.3158</v>
      </c>
      <c r="L727" t="inlineStr">
        <is>
          <t>The provided code is a Java interface named ValueChecker that validates specified values and returns an error message if the validation fails. The function checkValue takes in a String value as input and outputs either an Optional of type String (containing an error message) or an empty Optional signifying successful validation. This functionality forms part of JabRef's backend software components for handling data integrity checks during</t>
        </is>
      </c>
      <c r="M727" t="n">
        <v>0.0039</v>
      </c>
      <c r="N727" t="n">
        <v>0.0533</v>
      </c>
      <c r="O727" t="n">
        <v>0.1449</v>
      </c>
    </row>
    <row r="728">
      <c r="A728" t="inlineStr">
        <is>
          <t>jabref</t>
        </is>
      </c>
      <c r="B728" t="inlineStr">
        <is>
          <t>jablib/src/main/java/org/jabref/logic/integrity/TitleChecker.java</t>
        </is>
      </c>
      <c r="C728">
        <f>HYPERLINK("https://github.com/JabRef/jabref/blob/master/jablib/src/main/java/org/jabref/logic/integrity/TitleChecker.java")</f>
        <v/>
      </c>
      <c r="D728" t="inlineStr">
        <is>
          <t>The provided code is a Java class named TitleChecker that implements the ValueChecker interface from JabRef library for checking if titles in BibTeX entries are valid according to certain rules defined by regular expressions and predicates. The main functionality of this class involves removing text inside curly braces {}, splitting the title into subtitles based on specific delimiters (., !,</t>
        </is>
      </c>
      <c r="E728" t="n">
        <v>0.004</v>
      </c>
      <c r="F728" t="n">
        <v>0.0615</v>
      </c>
      <c r="G728" t="n">
        <v>0.1515</v>
      </c>
      <c r="H728" t="inlineStr">
        <is>
          <t>The provided code is a Java class named TitleChecker that implements the ValueChecker interface from JabRef software for checking titles in BibTeX entries. The algorithm used here seems to be removing everything inside curly braces and splitting the title into subtitles based on defined delimiters (like periods or exclamation marks). It also checks if there are any capital letters present</t>
        </is>
      </c>
      <c r="I728" t="n">
        <v>0.004</v>
      </c>
      <c r="J728" t="n">
        <v>0.0588</v>
      </c>
      <c r="K728" t="n">
        <v>0.1515</v>
      </c>
      <c r="L728" t="inlineStr">
        <is>
          <t>The provided code is a Java class named `TitleChecker` that implements the interface `ValueChecker` from JabRef software library for checking the title of BibTeX entries in accordance with specific rules defined by regular expressions and predicates. The main purpose of this class seems to be validating whether titles adhere to certain formatting guidelines related to capitalization, curly br</t>
        </is>
      </c>
      <c r="M728" t="n">
        <v>0.0041</v>
      </c>
      <c r="N728" t="n">
        <v>0.0606</v>
      </c>
      <c r="O728" t="n">
        <v>0.1538</v>
      </c>
    </row>
    <row r="729">
      <c r="A729" t="inlineStr">
        <is>
          <t>jabref</t>
        </is>
      </c>
      <c r="B729" t="inlineStr">
        <is>
          <t>jablib/src/main/java/org/jabref/logic/integrity/EditionChecker.java</t>
        </is>
      </c>
      <c r="C729">
        <f>HYPERLINK("https://github.com/JabRef/jabref/blob/master/jablib/src/main/java/org/jabref/logic/integrity/EditionChecker.java")</f>
        <v/>
      </c>
      <c r="D729" t="inlineStr">
        <is>
          <t>The provided code is a Java class named `EditionChecker` that implements the interface `ValueChecker` from JabRef software for checking if an edition field in BibTex entries follows certain rules and patterns. The checks are based on regular expressions (RegEx). It has three predefined Predicates - one to check whether the first letter of the string is capitalized</t>
        </is>
      </c>
      <c r="E729" t="n">
        <v>0.0042</v>
      </c>
      <c r="F729" t="n">
        <v>0.0625</v>
      </c>
      <c r="G729" t="n">
        <v>0.1163</v>
      </c>
      <c r="H729" t="inlineStr">
        <is>
          <t>The provided code is a Java class named 'EditionChecker'. This class implements the interface 'ValueChecker', which means it has to provide an implementation for all methods declared in this interface. The purpose of this class seems to be checking if the value stored in the field "edition" follows certain rules defined by regular expressions (RegEx). 
In particular, there are</t>
        </is>
      </c>
      <c r="I729" t="n">
        <v>0.0037</v>
      </c>
      <c r="J729" t="n">
        <v>0.0597</v>
      </c>
      <c r="K729" t="n">
        <v>0.07630000000000001</v>
      </c>
      <c r="L729" t="inlineStr">
        <is>
          <t>The provided code is a Java class named EditionChecker that implements the ValueChecker interface from JabRef software library. This class checks if an edition field in BibTeX format follows certain rules and patterns. The main purpose of this class is to validate whether the input string (edition field value) meets specific conditions such as starting with capital letter or being numeric only.</t>
        </is>
      </c>
      <c r="M729" t="n">
        <v>0.0042</v>
      </c>
      <c r="N729" t="n">
        <v>0.0571</v>
      </c>
      <c r="O729" t="n">
        <v>0.1493</v>
      </c>
    </row>
    <row r="730">
      <c r="A730" t="inlineStr">
        <is>
          <t>jabref</t>
        </is>
      </c>
      <c r="B730" t="inlineStr">
        <is>
          <t>jablib/src/main/java/org/jabref/logic/integrity/BracesCorrector.java</t>
        </is>
      </c>
      <c r="C730">
        <f>HYPERLINK("https://github.com/JabRef/jabref/blob/master/jablib/src/main/java/org/jabref/logic/integrity/BracesCorrector.java")</f>
        <v/>
      </c>
      <c r="D730" t="inlineStr">
        <is>
          <t>The provided code is a Java class called BracesCorrector that corrects unbalanced braces in an input string by adding or removing them to make the balance balanced. The functionality of this code can be summarized as follows: 
1. It uses regular expressions (RegEx) to find escaped curly brace characters ("{{" and "}}") within the</t>
        </is>
      </c>
      <c r="E730" t="n">
        <v>0.004</v>
      </c>
      <c r="F730" t="n">
        <v>0.0667</v>
      </c>
      <c r="G730" t="n">
        <v>0.119</v>
      </c>
      <c r="H730" t="inlineStr">
        <is>
          <t>The provided code is a Java class named BracesCorrector that uses regular expressions to match and replace escaped curly braces in an input string. The goal of this class seems to be to ensure the correct number of opening and closing curly braces are present in any given string by adding or removing them as necessary. This functionality could potentially help with formatting or syntax validation for some types</t>
        </is>
      </c>
      <c r="I730" t="n">
        <v>0.0035</v>
      </c>
      <c r="J730" t="n">
        <v>0.0519</v>
      </c>
      <c r="K730" t="n">
        <v>0.1064</v>
      </c>
      <c r="L730" t="inlineStr">
        <is>
          <t>The provided code is a Java class named `BracesCorrector` that corrects unbalanced curly braces in an input string by adding or removing them until the balance of opening and closing braces matches. The purpose of this class is to ensure proper formatting for text inputs containing special characters such as '{' and '}' which may be misinterpreted otherwise.</t>
        </is>
      </c>
      <c r="M730" t="n">
        <v>0.0031</v>
      </c>
      <c r="N730" t="n">
        <v>0.0625</v>
      </c>
      <c r="O730" t="n">
        <v>0.0769</v>
      </c>
    </row>
    <row r="731">
      <c r="A731" t="inlineStr">
        <is>
          <t>jabref</t>
        </is>
      </c>
      <c r="B731" t="inlineStr">
        <is>
          <t>jablib/src/main/java/org/jabref/logic/integrity/CitationKeyChecker.java</t>
        </is>
      </c>
      <c r="C731">
        <f>HYPERLINK("https://github.com/JabRef/jabref/blob/master/jablib/src/main/java/org/jabref/logic/integrity/CitationKeyChecker.java")</f>
        <v/>
      </c>
      <c r="D731" t="inlineStr">
        <is>
          <t>The provided code is a Java class named CitationKeyChecker that implements the EntryChecker interface from JabRef's logic package for checking BibTeX entries. It currently checks if there are an author, year and title present in each entry of the bibliography file. If these fields are not filled out correctly or missing altogether, it returns a list of IntegrityMessages</t>
        </is>
      </c>
      <c r="E731" t="n">
        <v>0.0037</v>
      </c>
      <c r="F731" t="n">
        <v>0.0597</v>
      </c>
      <c r="G731" t="n">
        <v>0.0769</v>
      </c>
      <c r="H731" t="inlineStr">
        <is>
          <t>The provided code is a Java implementation of an Entry Checker for BibTeX entries in the JabRef software library. The purpose of this checker is to verify that certain fields (like author, title and year) are present and filled out correctly. If these conditions are not met, it returns a list of IntegrityMessages indicating which field needs attention.
In terms</t>
        </is>
      </c>
      <c r="I731" t="n">
        <v>0.0036</v>
      </c>
      <c r="J731" t="n">
        <v>0.0588</v>
      </c>
      <c r="K731" t="n">
        <v>0.1515</v>
      </c>
      <c r="L731" t="inlineStr">
        <is>
          <t>The provided code is a Java class named `CitationKeyChecker` that implements the interface `EntryChecker` from JabRef software's backend components. The main purpose of this code is to check if there are an author, year and title present in each BibEntry (a reference entry) before generating or updating its citation key. If any one of these fields is missing</t>
        </is>
      </c>
      <c r="M731" t="n">
        <v>0.0037</v>
      </c>
      <c r="N731" t="n">
        <v>0.0597</v>
      </c>
      <c r="O731" t="n">
        <v>0.1154</v>
      </c>
    </row>
    <row r="732">
      <c r="A732" t="inlineStr">
        <is>
          <t>jabref</t>
        </is>
      </c>
      <c r="B732" t="inlineStr">
        <is>
          <t>jablib/src/main/java/org/jabref/logic/integrity/BooktitleChecker.java</t>
        </is>
      </c>
      <c r="C732">
        <f>HYPERLINK("https://github.com/JabRef/jabref/blob/master/jablib/src/main/java/org/jabref/logic/integrity/BooktitleChecker.java")</f>
        <v/>
      </c>
      <c r="D732" t="inlineStr">
        <is>
          <t>The code provided is a Java class named BooktitleChecker that implements the ValueChecker interface from JabRef software library for checking book title values in references. It checks if the given value (i.e., book title) is not blank and ends with "Conference on". If these conditions are met, it returns an Optional containing a localized error message indicating that the book title ends with</t>
        </is>
      </c>
      <c r="E732" t="n">
        <v>0.0038</v>
      </c>
      <c r="F732" t="n">
        <v>0.0556</v>
      </c>
      <c r="G732" t="n">
        <v>0.1111</v>
      </c>
      <c r="H732" t="inlineStr">
        <is>
          <t>The provided code is a Java implementation of the BookTitleChecker class which checks if the book title ends with "conference on". If it does not or is blank, an error message is returned. The complexity is O(N), where N represents the length of the input string value to check. It uses StringUtils for checking blanks and case insensitive comparison.
In summary</t>
        </is>
      </c>
      <c r="I732" t="n">
        <v>0.003</v>
      </c>
      <c r="J732" t="n">
        <v>0.0571</v>
      </c>
      <c r="K732" t="n">
        <v>0.1128</v>
      </c>
      <c r="L732" t="inlineStr">
        <is>
          <t>The provided code is a Java class named `BooktitleChecker` that implements the interface `ValueChecker` from JabRef software library for checking if book titles end with "Conference on". This functionality helps in ensuring proper formatting of conference proceedings and can be used as part of reference management system. The purpose of this check involves examining input values (book titles) to</t>
        </is>
      </c>
      <c r="M732" t="n">
        <v>0.0046</v>
      </c>
      <c r="N732" t="n">
        <v>0.0896</v>
      </c>
      <c r="O732" t="n">
        <v>0.1908</v>
      </c>
    </row>
    <row r="733">
      <c r="A733" t="inlineStr">
        <is>
          <t>jabref</t>
        </is>
      </c>
      <c r="B733" t="inlineStr">
        <is>
          <t>jablib/src/main/java/org/jabref/logic/cleanup/MoveFieldCleanup.java</t>
        </is>
      </c>
      <c r="C733">
        <f>HYPERLINK("https://github.com/JabRef/jabref/blob/master/jablib/src/main/java/org/jabref/logic/cleanup/MoveFieldCleanup.java")</f>
        <v/>
      </c>
      <c r="D733" t="inlineStr">
        <is>
          <t>```plaintext
The provided code is a Java class named MoveFieldCleanup that implements the CleanupJob interface from JabRef's logic package for cleaning up Bibliography Entry (BibEntry) objects in a bibliographic database management system. The purpose of this cleanup job is to move content from one field to another within each entry in the database.</t>
        </is>
      </c>
      <c r="E733" t="n">
        <v>0.0035</v>
      </c>
      <c r="F733" t="n">
        <v>0.0645</v>
      </c>
      <c r="G733" t="n">
        <v>0.08</v>
      </c>
      <c r="H733" t="inlineStr">
        <is>
          <t>The code provided is a Java implementation for moving the content of one field to another in BibTeX entries (specifically `BibEntry` objects), using Cleanup Jobs from JabRef software library. The cleanup method takes an entry as input and moves its value from source Field to target Field while also clearing the original source Field. It returns a list of changes made which includes setting</t>
        </is>
      </c>
      <c r="I733" t="n">
        <v>0.0034</v>
      </c>
      <c r="J733" t="n">
        <v>0.0556</v>
      </c>
      <c r="K733" t="n">
        <v>0.1471</v>
      </c>
      <c r="L733" t="inlineStr">
        <is>
          <t>The provided code is a Java class named `MoveFieldCleanup` that implements the interface `CleanupJob` from JabRef software library. This class' main purpose is to move content of one field (specified by sourceField) into another field (specified by targetField) in Bibliography Entry objects. 
Inputs are two Field instances representing source</t>
        </is>
      </c>
      <c r="M733" t="n">
        <v>0.0049</v>
      </c>
      <c r="N733" t="n">
        <v>0.0351</v>
      </c>
      <c r="O733" t="n">
        <v>0.124</v>
      </c>
    </row>
    <row r="734">
      <c r="A734" t="inlineStr">
        <is>
          <t>jabref</t>
        </is>
      </c>
      <c r="B734" t="inlineStr">
        <is>
          <t>jablib/src/main/java/org/jabref/logic/cleanup/RelativePathsCleanup.java</t>
        </is>
      </c>
      <c r="C734">
        <f>HYPERLINK("https://github.com/JabRef/jabref/blob/master/jablib/src/main/java/org/jabref/logic/cleanup/RelativePathsCleanup.java")</f>
        <v/>
      </c>
      <c r="D734" t="inlineStr">
        <is>
          <t>The code provided is a Java class named `RelativePathsCleanup` that implements the interface `CleanupJob` from JabRef's library management software. This class serves to clean up relative paths in BibTeX entries by converting them into absolute paths based on user-defined file preferences and database context. The complexity of this operation is O(N), where N represents the</t>
        </is>
      </c>
      <c r="E734" t="n">
        <v>0.0044</v>
      </c>
      <c r="F734" t="n">
        <v>0.0606</v>
      </c>
      <c r="G734" t="n">
        <v>0.1181</v>
      </c>
      <c r="H734" t="inlineStr">
        <is>
          <t>The code you provided is a Java class named `RelativePathsCleanup` that implements the interface `CleanupJob` from JabRef software library for cleaning up relative paths in BibTeX entries. It has two fields and one method defined within its constructor which takes two parameters of type `BibDatabaseContext` and `FilePreferences` respectively. The cleanup function sc</t>
        </is>
      </c>
      <c r="I734" t="n">
        <v>0.0046</v>
      </c>
      <c r="J734" t="n">
        <v>0.0667</v>
      </c>
      <c r="K734" t="n">
        <v>0.1613</v>
      </c>
      <c r="L734" t="inlineStr">
        <is>
          <t>The provided code is a Java class named `RelativePathsCleanup` that implements the interface `CleanupJob` from JabRef software library. This class serves to clean up relative paths in BibTeX entries by converting them into absolute paths based on the file preferences and database context of the user's system.
It takes two parameters during initialization - an instance of</t>
        </is>
      </c>
      <c r="M734" t="n">
        <v>0.0045</v>
      </c>
      <c r="N734" t="n">
        <v>0.0615</v>
      </c>
      <c r="O734" t="n">
        <v>0.155</v>
      </c>
    </row>
    <row r="735">
      <c r="A735" t="inlineStr">
        <is>
          <t>jabref</t>
        </is>
      </c>
      <c r="B735" t="inlineStr">
        <is>
          <t>jablib/src/main/java/org/jabref/logic/cleanup/RemoveLinksToNotExistentFiles.java</t>
        </is>
      </c>
      <c r="C735">
        <f>HYPERLINK("https://github.com/JabRef/jabref/blob/master/jablib/src/main/java/org/jabref/logic/cleanup/RemoveLinksToNotExistentFiles.java")</f>
        <v/>
      </c>
      <c r="D735" t="inlineStr">
        <is>
          <t>The provided code is a Java class named RemoveLinksToNotExistentFiles that implements the CleanupJob interface from JabRef's logic package for cleaning up BibTeX entries in a database context by removing links to non-existing files. It takes two parameters during initialization - a BibDatabaseContext and FilePreferences object. The cleanup method accepts a single parameter of</t>
        </is>
      </c>
      <c r="E735" t="n">
        <v>0.0041</v>
      </c>
      <c r="F735" t="n">
        <v>0.0645</v>
      </c>
      <c r="G735" t="n">
        <v>0.08</v>
      </c>
      <c r="H735" t="inlineStr">
        <is>
          <t>The provided code is a Java class named `RemoveLinksToNotExistentFiles` that implements the interface `CleanupJob` from JabRef software library for backend operations related to cleaning up linked files in BibTeX entries. The complexity of this implementation is O(N), where N represents the number of LinkedFiles associated with an entry. This means it loops through each file and</t>
        </is>
      </c>
      <c r="I735" t="n">
        <v>0.0046</v>
      </c>
      <c r="J735" t="n">
        <v>0.09229999999999999</v>
      </c>
      <c r="K735" t="n">
        <v>0.1563</v>
      </c>
      <c r="L735" t="inlineStr">
        <is>
          <t>The provided code is a Java class named `RemoveLinksToNotExistentFiles` that implements the interface `CleanupJob` from JabRef software library for cleaning up operations on BibTeX entries.
It has two private fields - `databaseContext` and `filePreferences` of types `BibDatabaseContext` and `FilePreferences` respectively. The</t>
        </is>
      </c>
      <c r="M735" t="n">
        <v>0.0059</v>
      </c>
      <c r="N735" t="n">
        <v>0.0833</v>
      </c>
      <c r="O735" t="n">
        <v>0.1327</v>
      </c>
    </row>
    <row r="736">
      <c r="A736" t="inlineStr">
        <is>
          <t>jabref</t>
        </is>
      </c>
      <c r="B736" t="inlineStr">
        <is>
          <t>jablib/src/main/java/org/jabref/logic/cleanup/FileLinksCleanup.java</t>
        </is>
      </c>
      <c r="C736">
        <f>HYPERLINK("https://github.com/JabRef/jabref/blob/master/jablib/src/main/java/org/jabref/logic/cleanup/FileLinksCleanup.java")</f>
        <v/>
      </c>
      <c r="D736" t="inlineStr">
        <is>
          <t>The code provided is a Java class named `FileLinksCleanup` that implements the interface `CleanupJob` from JabRef software library for BibTeX reference management tool. The purpose of this class is to fix the format of file links in a given BibEntry object by parsing and writing back the list of LinkedFile objects associated with it. If there are no files</t>
        </is>
      </c>
      <c r="E736" t="n">
        <v>0.0041</v>
      </c>
      <c r="F736" t="n">
        <v>0.0597</v>
      </c>
      <c r="G736" t="n">
        <v>0.1527</v>
      </c>
      <c r="H736" t="inlineStr">
        <is>
          <t>The provided code is a Java implementation of the FileLinksCleanup class which implements CleanupJob interface from JabRef software library for BibTeX reference manager. The purpose of this class is to fix the formatting issue in file links and descriptions stored in a BibEntry object. It does so by parsing the LinkedFile objects associated with an entry, writing them back into the</t>
        </is>
      </c>
      <c r="I736" t="n">
        <v>0.0039</v>
      </c>
      <c r="J736" t="n">
        <v>0.058</v>
      </c>
      <c r="K736" t="n">
        <v>0.1504</v>
      </c>
      <c r="L736" t="inlineStr">
        <is>
          <t>The provided code is part of a Java program that performs cleanup operations on BibTeX entries. The main purpose of this class `FileLinksCleanup` is to fix the formatting of file links in BibTeX entries by ensuring they are correctly formatted even if there's no link but only a description containing the path. This functionality is achieved through parsing and writing back</t>
        </is>
      </c>
      <c r="M736" t="n">
        <v>0.0039</v>
      </c>
      <c r="N736" t="n">
        <v>0.0857</v>
      </c>
      <c r="O736" t="n">
        <v>0.1128</v>
      </c>
    </row>
    <row r="737">
      <c r="A737" t="inlineStr">
        <is>
          <t>jabref</t>
        </is>
      </c>
      <c r="B737" t="inlineStr">
        <is>
          <t>jablib/src/main/java/org/jabref/logic/cleanup/AbbreviateJournalCleanup.java</t>
        </is>
      </c>
      <c r="C737">
        <f>HYPERLINK("https://github.com/JabRef/jabref/blob/master/jablib/src/main/java/org/jabref/logic/cleanup/AbbreviateJournalCleanup.java")</f>
        <v/>
      </c>
      <c r="D737" t="inlineStr">
        <is>
          <t>The provided code is a Java class named `AbbreviateJournalCleanup` that implements the interface `CleanupJob` from JabRef software library for cleaning up journal fields in BibTeX entries (entries of type Article). It takes as input a database containing these articles and uses an instance of `JournalAbbreviationRepository` to map long journal names to their abbrevi</t>
        </is>
      </c>
      <c r="E737" t="n">
        <v>0.0045</v>
      </c>
      <c r="F737" t="n">
        <v>0.06560000000000001</v>
      </c>
      <c r="G737" t="n">
        <v>0.16</v>
      </c>
      <c r="H737" t="inlineStr">
        <is>
          <t>This repository contains backend software components that implement core algorithms used in the application. The complexity of this code is O(N), where N represents the number of entries (or references) in a BibTeX database. This means it scales linearly with the size of the input data set. It includes an implementation for abbreviating journal names based on predefined rules or mappings from an external source</t>
        </is>
      </c>
      <c r="I737" t="n">
        <v>0.0037</v>
      </c>
      <c r="J737" t="n">
        <v>0.1081</v>
      </c>
      <c r="K737" t="n">
        <v>0.1825</v>
      </c>
      <c r="L737" t="inlineStr">
        <is>
          <t>The provided code is part of a backend software component for managing and cleaning up bibliographic data in JabRef, an open-source reference manager. The main purpose of this class `AbbreviateJournalCleanup` seems to be the automatic abbreviation or expansion of journal names based on predefined rules stored in a repository (`JournalAbbreviationRepository`).</t>
        </is>
      </c>
      <c r="M737" t="n">
        <v>0.0044</v>
      </c>
      <c r="N737" t="n">
        <v>0.0678</v>
      </c>
      <c r="O737" t="n">
        <v>0.1639</v>
      </c>
    </row>
    <row r="738">
      <c r="A738" t="inlineStr">
        <is>
          <t>jabref</t>
        </is>
      </c>
      <c r="B738" t="inlineStr">
        <is>
          <t>jablib/src/main/java/org/jabref/logic/cleanup/CleanupJob.java</t>
        </is>
      </c>
      <c r="C738">
        <f>HYPERLINK("https://github.com/JabRef/jabref/blob/master/jablib/src/main/java/org/jabref/logic/cleanup/CleanupJob.java")</f>
        <v/>
      </c>
      <c r="D738" t="inlineStr">
        <is>
          <t>```plaintext
The provided code is a functional interface named CleanupJob that performs clean up operations on BibEntries (a data structure used in citation management systems). The cleanUp method takes as input a BibEntry and returns a list of FieldChanges made during the process. 
It also provides an overridable default implementation for cleaning up entries using</t>
        </is>
      </c>
      <c r="E738" t="n">
        <v>0.0033</v>
      </c>
      <c r="F738" t="n">
        <v>0.0635</v>
      </c>
      <c r="G738" t="n">
        <v>0.1181</v>
      </c>
      <c r="H738" t="inlineStr">
        <is>
          <t>ThisisacodeforacleaningupbibtextriesinJabReflibrarymanager.ItusesmultipleclassesandfunctionsincludingBibEntry,FieldChange, and CleanupJob. The complexity is O(N). It provides a cleanup function that takes in a BibEntry object as an argument and returns a list of FieldChanges made during the cleaning process. This method should</t>
        </is>
      </c>
      <c r="I738" t="n">
        <v>0.0063</v>
      </c>
      <c r="J738" t="n">
        <v>0.08699999999999999</v>
      </c>
      <c r="K738" t="n">
        <v>0.1402</v>
      </c>
      <c r="L738" t="inlineStr">
        <is>
          <t>```plaintext
This code provides a functional interface named CleanupJob that performs cleanup operations on BibEntries. The main purpose of this class is to cleans up the given entry by applying various cleaning algorithms and returning a list of FieldChanges made during these processes. 
Inputs are instances of BibEntry which represents an entry in a bibliography database</t>
        </is>
      </c>
      <c r="M738" t="n">
        <v>0.0039</v>
      </c>
      <c r="N738" t="n">
        <v>0.09379999999999999</v>
      </c>
      <c r="O738" t="n">
        <v>0.1172</v>
      </c>
    </row>
    <row r="739">
      <c r="A739" t="inlineStr">
        <is>
          <t>jabref</t>
        </is>
      </c>
      <c r="B739" t="inlineStr">
        <is>
          <t>jablib/src/main/java/org/jabref/logic/cleanup/NormalizeWhitespacesCleanup.java</t>
        </is>
      </c>
      <c r="C739">
        <f>HYPERLINK("https://github.com/JabRef/jabref/blob/master/jablib/src/main/java/org/jabref/logic/cleanup/NormalizeWhitespacesCleanup.java")</f>
        <v/>
      </c>
      <c r="D739" t="inlineStr">
        <is>
          <t>The code provided is a Java class named `NormalizeWhitespacesCleanup` that implements the interface `CleanupJob` from JabRef software library for BibTeX entries. This class has one field and two methods in total.
- The constructor takes an instance of `FieldPreferences` as input to initialize the formatter used by this cleanup job.</t>
        </is>
      </c>
      <c r="E739" t="n">
        <v>0.0052</v>
      </c>
      <c r="F739" t="n">
        <v>0.0702</v>
      </c>
      <c r="G739" t="n">
        <v>0.2049</v>
      </c>
      <c r="H739" t="inlineStr">
        <is>
          <t>The code you provided is a Java class that implements the CleanupJob interface from JabRef software for BibTeX entries. The main functionality of this class involves cleaning up whitespaces in certain fields of a given BibTeX entry by using a NormalizeWhitespaceFormatter object to normalize them according to user preferences and field types defined in FieldPreferences. This process returns</t>
        </is>
      </c>
      <c r="I739" t="n">
        <v>0.0047</v>
      </c>
      <c r="J739" t="n">
        <v>0.09089999999999999</v>
      </c>
      <c r="K739" t="n">
        <v>0.1923</v>
      </c>
      <c r="L739" t="inlineStr">
        <is>
          <t>The provided code is a Java class named `NormalizeWhitespacesCleanup` that implements the interface `CleanupJob` from JabRef software library for BibTeX entries. 
    This class has one main purpose which is to normalize whitespaces in fields of a given BibTeX entry by using an instance of `NormalizeWhitespace</t>
        </is>
      </c>
      <c r="M739" t="n">
        <v>0.0054</v>
      </c>
      <c r="N739" t="n">
        <v>0.0377</v>
      </c>
      <c r="O739" t="n">
        <v>0.1709</v>
      </c>
    </row>
    <row r="740">
      <c r="A740" t="inlineStr">
        <is>
          <t>jabref</t>
        </is>
      </c>
      <c r="B740" t="inlineStr">
        <is>
          <t>jablib/src/main/java/org/jabref/logic/cleanup/UnabbreviateJournalCleanup.java</t>
        </is>
      </c>
      <c r="C740">
        <f>HYPERLINK("https://github.com/JabRef/jabref/blob/master/jablib/src/main/java/org/jabref/logic/cleanup/UnabbreviateJournalCleanup.java")</f>
        <v/>
      </c>
      <c r="D740" t="inlineStr">
        <is>
          <t>The provided code is a Java class `UnabbreviateJournalCleanup` that implements the interface `CleanupJob` from JabRef's logic package for cleaning up operations on Bibliography Database entries (`BibEntries`). It unabbreviates journal fields in the database using an instance of `JournalAbbreviationRepository` to get abbreviations and their</t>
        </is>
      </c>
      <c r="E740" t="n">
        <v>0.0051</v>
      </c>
      <c r="F740" t="n">
        <v>0.0769</v>
      </c>
      <c r="G740" t="n">
        <v>0.1304</v>
      </c>
      <c r="H740" t="inlineStr">
        <is>
          <t>The code you've provided is a Java class named UnabbreviateJournalCleanup that implements the CleanupJob interface from JabRef software library for cleaning up journal fields in BibTeX entries. The complexity of this operation can be considered as O(n), where n represents the number of entries in the database. This means it will iteratively process each entry in the database</t>
        </is>
      </c>
      <c r="I740" t="n">
        <v>0.0041</v>
      </c>
      <c r="J740" t="n">
        <v>0.0294</v>
      </c>
      <c r="K740" t="n">
        <v>0.1154</v>
      </c>
      <c r="L740" t="inlineStr">
        <is>
          <t>The provided code is a Java class named `UnabbreviateJournalCleanup` that implements the interface `CleanupJob` from JabRef software library. This class serves to unabbreviate journal names in BibTeX entries stored within a database using an instance of `JournalAbbreviationRepository`. 
It takes two parameters during instantiation</t>
        </is>
      </c>
      <c r="M740" t="n">
        <v>0.0056</v>
      </c>
      <c r="N740" t="n">
        <v>0.0392</v>
      </c>
      <c r="O740" t="n">
        <v>0.1739</v>
      </c>
    </row>
    <row r="741">
      <c r="A741" t="inlineStr">
        <is>
          <t>jabref</t>
        </is>
      </c>
      <c r="B741" t="inlineStr">
        <is>
          <t>jablib/src/main/java/org/jabref/logic/cleanup/FieldFormatterCleanupActions.java</t>
        </is>
      </c>
      <c r="C741">
        <f>HYPERLINK("https://github.com/JabRef/jabref/blob/master/jablib/src/main/java/org/jabref/logic/cleanup/FieldFormatterCleanupActions.java")</f>
        <v/>
      </c>
      <c r="D741" t="inlineStr">
        <is>
          <t>The provided code is a Java package named `org.jabref.logic.cleanup` that contains various classes for performing clean-ups on BibTeX entries. The complexity of the code is O(N), meaning it has linear time complexity as per number of elements (entries). It uses several formatting tools to normalize and convert certain fields in Bib</t>
        </is>
      </c>
      <c r="E741" t="n">
        <v>0.0036</v>
      </c>
      <c r="F741" t="n">
        <v>0.0312</v>
      </c>
      <c r="G741" t="n">
        <v>0.0813</v>
      </c>
      <c r="H741" t="inlineStr">
        <is>
          <t>The provided code is a Java class that imports various classes and interfaces from the JabRef library for use in cleaning up bibTeX entries. The main functionality of this class appears to be related to formatting fields within these entries according to specific rules defined by instances of the Formatter interface or its subclasses. This includes operations such as converting MS Citation codes into more readable formats</t>
        </is>
      </c>
      <c r="I741" t="n">
        <v>0.0036</v>
      </c>
      <c r="J741" t="n">
        <v>0.0267</v>
      </c>
      <c r="K741" t="n">
        <v>0.1079</v>
      </c>
      <c r="L741" t="inlineStr">
        <is>
          <t>The provided code is a Java class named `CleanUp` located in the package `org.jabref.logic.cleanup` of JabRef software. This class serves as an interface for various clean up operations on BibTeX entries. The main purpose of this class is to perform formatting and normalization tasks related to BibTeX fields such as converting MS</t>
        </is>
      </c>
      <c r="M741" t="n">
        <v>0.0042</v>
      </c>
      <c r="N741" t="n">
        <v>0.0635</v>
      </c>
      <c r="O741" t="n">
        <v>0.0806</v>
      </c>
    </row>
    <row r="742">
      <c r="A742" t="inlineStr">
        <is>
          <t>jabref</t>
        </is>
      </c>
      <c r="B742" t="inlineStr">
        <is>
          <t>jablib/src/main/java/org/jabref/logic/cleanup/UpgradePdfPsToFileCleanup.java</t>
        </is>
      </c>
      <c r="C742">
        <f>HYPERLINK("https://github.com/JabRef/jabref/blob/master/jablib/src/main/java/org/jabref/logic/cleanup/UpgradePdfPsToFileCleanup.java")</f>
        <v/>
      </c>
      <c r="D742" t="inlineStr">
        <is>
          <t>The provided code is a Java class named UpgradePdfPsToFileCleanup that implements the CleanupJob interface from JabRef's logic package for BibTeX entries. This class collects file links (URLs or local paths) from the PDF and PS fields of each entry in a list contained within the File field using HashMaps to map standard fields to their corresponding</t>
        </is>
      </c>
      <c r="E742" t="n">
        <v>0.0043</v>
      </c>
      <c r="F742" t="n">
        <v>0.0615</v>
      </c>
      <c r="G742" t="n">
        <v>0.1563</v>
      </c>
      <c r="H742" t="inlineStr">
        <is>
          <t>The provided code is a Java class named UpgradePdfPsToFileCleanup that implements the CleanupJob interface from JabRef's logic package. This class collects file links from the PDF and PS fields of BibEntries (which are essentially references to entries in your bibliography database), adds them to a list contained within each entryâĢĻs File field, and returns</t>
        </is>
      </c>
      <c r="I742" t="n">
        <v>0.0045</v>
      </c>
      <c r="J742" t="n">
        <v>0.0625</v>
      </c>
      <c r="K742" t="n">
        <v>0.119</v>
      </c>
      <c r="L742" t="inlineStr">
        <is>
          <t>The provided code is a Java class named `UpgradePdfPsToFileCleanup` that implements the interface `CleanupJob` from JabRef software library. This class's main purpose appears to be collecting file links (specifically PDF and PostScript files) from fields in BibTeX entries and adding them into linked files list of an entry.
The logic</t>
        </is>
      </c>
      <c r="M742" t="n">
        <v>0.0052</v>
      </c>
      <c r="N742" t="n">
        <v>0.1017</v>
      </c>
      <c r="O742" t="n">
        <v>0.1639</v>
      </c>
    </row>
    <row r="743">
      <c r="A743" t="inlineStr">
        <is>
          <t>jabref</t>
        </is>
      </c>
      <c r="B743" t="inlineStr">
        <is>
          <t>jablib/src/main/java/org/jabref/logic/cleanup/CleanupTabSelection.java</t>
        </is>
      </c>
      <c r="C743">
        <f>HYPERLINK("https://github.com/JabRef/jabref/blob/master/jablib/src/main/java/org/jabref/logic/cleanup/CleanupTabSelection.java")</f>
        <v/>
      </c>
      <c r="D743" t="inlineStr">
        <is>
          <t>The provided code defines a record named CleanupTabSelection that is used to manage the selection of clean-up jobs and formatters in JabRef software. The class has three fields - allJobs (a set of Enum values representing available clean-up steps), selectedJobs (another set representing currently selected clean-up steps), and formatters (an Optional object containing formatter actions</t>
        </is>
      </c>
      <c r="E743" t="n">
        <v>0.0033</v>
      </c>
      <c r="F743" t="n">
        <v>0.0615</v>
      </c>
      <c r="G743" t="n">
        <v>0.07870000000000001</v>
      </c>
      <c r="H743" t="inlineStr">
        <is>
          <t>The provided code is a Java record named `CleanupTabSelection` in the package org.jabref.logic.cleanup. This class represents a tab for cleanups with various options related to cleaning jobs and formatting fields. The three parameters are EnumSets of CleanupSteps (which represent different types of data cleansing), an optional FieldFormatterCleanupAction (</t>
        </is>
      </c>
      <c r="I743" t="n">
        <v>0.0045</v>
      </c>
      <c r="J743" t="n">
        <v>0.06900000000000001</v>
      </c>
      <c r="K743" t="n">
        <v>0.0833</v>
      </c>
      <c r="L743" t="inlineStr">
        <is>
          <t>The provided code is a Java class named `CleanupTabSelection` in the package `org.jabref.logic.cleanup`. This class represents a tab for cleaning up entries in JabRef, a bibliography management tool. 
It has three fields: 
1. `allJobs` - an EnumSet of all possible cleanup</t>
        </is>
      </c>
      <c r="M743" t="n">
        <v>0.0045</v>
      </c>
      <c r="N743" t="n">
        <v>0.0392</v>
      </c>
      <c r="O743" t="n">
        <v>0.0442</v>
      </c>
    </row>
    <row r="744">
      <c r="A744" t="inlineStr">
        <is>
          <t>jabref</t>
        </is>
      </c>
      <c r="B744" t="inlineStr">
        <is>
          <t>jablib/src/main/java/org/jabref/logic/cleanup/URLCleanup.java</t>
        </is>
      </c>
      <c r="C744">
        <f>HYPERLINK("https://github.com/JabRef/jabref/blob/master/jablib/src/main/java/org/jabref/logic/cleanup/URLCleanup.java")</f>
        <v/>
      </c>
      <c r="D744" t="inlineStr">
        <is>
          <t>```java
// This code is a Java implementation of URL extraction from BibEntry fields and storing it under the 'url' field if not already present. 
// The regular expression pattern used here matches various types of web URLs including http, https, www, etc., ensuring that any such url in the note or other fields of the BibEntry can be found and</t>
        </is>
      </c>
      <c r="E744" t="n">
        <v>0.0036</v>
      </c>
      <c r="F744" t="n">
        <v>0.0896</v>
      </c>
      <c r="G744" t="n">
        <v>0.1504</v>
      </c>
      <c r="H744" t="inlineStr">
        <is>
          <t>```java
// This Java code checks if a URL exists in the note field and stores it under url field. 
// It uses regular expressions to match the pattern of a URL. The complexity is O(n), where n is the number of characters in the BibEntry's fields.
package org.jabref.logic.cleanup;</t>
        </is>
      </c>
      <c r="I744" t="n">
        <v>0.0045</v>
      </c>
      <c r="J744" t="n">
        <v>0.1</v>
      </c>
      <c r="K744" t="n">
        <v>0.124</v>
      </c>
      <c r="L744" t="inlineStr">
        <is>
          <t>The provided code is a Java class named URLCleanup that implements the CleanupJob interface from JabRef software library. This class checks whether there are any URLs in the note field of BibTeX entries and if so, stores them under the url field. 
 It does this by using regular expressions to identify URL patterns within the text data. In order for</t>
        </is>
      </c>
      <c r="M744" t="n">
        <v>0.0043</v>
      </c>
      <c r="N744" t="n">
        <v>0.0588</v>
      </c>
      <c r="O744" t="n">
        <v>0.1894</v>
      </c>
    </row>
    <row r="745">
      <c r="A745" t="inlineStr">
        <is>
          <t>jabref</t>
        </is>
      </c>
      <c r="B745" t="inlineStr">
        <is>
          <t>jablib/src/main/java/org/jabref/logic/cleanup/RenamePdfCleanup.java</t>
        </is>
      </c>
      <c r="C745">
        <f>HYPERLINK("https://github.com/JabRef/jabref/blob/master/jablib/src/main/java/org/jabref/logic/cleanup/RenamePdfCleanup.java")</f>
        <v/>
      </c>
      <c r="D745" t="inlineStr">
        <is>
          <t>The code provided is a Java class named `RenamePdfCleanup` that implements the interface `CleanupJob` from JabRef software's backend components. This class performs clean-ups related to renaming PDF files in BibTeX entries based on certain conditions and preferences specified by users. The class uses several dependencies including logging (SLF4J), functional interfaces for supply</t>
        </is>
      </c>
      <c r="E745" t="n">
        <v>0.0046</v>
      </c>
      <c r="F745" t="n">
        <v>0.0645</v>
      </c>
      <c r="G745" t="n">
        <v>0.1613</v>
      </c>
      <c r="H745" t="inlineStr">
        <is>
          <t>The provided code is a Java class named RenamePdfCleanup that implements the CleanupJob interface from JabRef's logic module for cleaning up linked PDF files in BibTeX entries. The complexity of this function is O(N), where N represents the number of fields to be checked in each entry. This implementation checks all fields and applies specific cleanups based on the file</t>
        </is>
      </c>
      <c r="I745" t="n">
        <v>0.0043</v>
      </c>
      <c r="J745" t="n">
        <v>0.0857</v>
      </c>
      <c r="K745" t="n">
        <v>0.1894</v>
      </c>
      <c r="L745" t="inlineStr">
        <is>
          <t>The provided code is a Java class named "RenamePdfCleanup" that implements the interface "CleanupJob". This class serves as an implementation of a cleanup job for renaming PDF files in a bibliography database context.
It takes three parameters during initialization - a Supplier object to provide BibDatabaseContext and two boolean flags (one indicating whether only relative paths</t>
        </is>
      </c>
      <c r="M745" t="n">
        <v>0.0043</v>
      </c>
      <c r="N745" t="n">
        <v>0.09520000000000001</v>
      </c>
      <c r="O745" t="n">
        <v>0.1172</v>
      </c>
    </row>
    <row r="746">
      <c r="A746" t="inlineStr">
        <is>
          <t>jabref</t>
        </is>
      </c>
      <c r="B746" t="inlineStr">
        <is>
          <t>jablib/src/main/java/org/jabref/logic/cleanup/DoiCleanup.java</t>
        </is>
      </c>
      <c r="C746">
        <f>HYPERLINK("https://github.com/JabRef/jabref/blob/master/jablib/src/main/java/org/jabref/logic/cleanup/DoiCleanup.java")</f>
        <v/>
      </c>
      <c r="D746" t="inlineStr">
        <is>
          <t>The code provided is a Java class named `DoiCleanup` that implements the interface `CleanupJob` from JabRef software library for cleaning up DOI (Digital Object Identifier) fields in BibTeX entries. The purpose of this cleanup job is to format and infer DOIs from various input fields such as note, url, eprint or 'ee' field</t>
        </is>
      </c>
      <c r="E746" t="n">
        <v>0.0045</v>
      </c>
      <c r="F746" t="n">
        <v>0.06560000000000001</v>
      </c>
      <c r="G746" t="n">
        <v>0.16</v>
      </c>
      <c r="H746" t="inlineStr">
        <is>
          <t>The provided code is a Java class that implements the `CleanupJob` interface from JabRef software library for backend operations related to cleaning up entries in BibTeX format. The main purpose of this job is to find and clean DOI (Digital Object Identifier) fields in BibTeX entries. It does so by checking specific fields such as NOTE, URL, E</t>
        </is>
      </c>
      <c r="I746" t="n">
        <v>0.0041</v>
      </c>
      <c r="J746" t="n">
        <v>0.0606</v>
      </c>
      <c r="K746" t="n">
        <v>0.1538</v>
      </c>
      <c r="L746" t="inlineStr">
        <is>
          <t>The provided code is a Java class named DoiCleanup that implements the CleanupJob interface from JabRef software. This class formats and infers DOIs (Digital Object Identifiers) in BibTeX entries by checking specific fields such as NOTE, URL, EPRINT, or "ee" (electronic edition). The purpose of this class seems to be to clean</t>
        </is>
      </c>
      <c r="M746" t="n">
        <v>0.0046</v>
      </c>
      <c r="N746" t="n">
        <v>0.0667</v>
      </c>
      <c r="O746" t="n">
        <v>0.121</v>
      </c>
    </row>
    <row r="747">
      <c r="A747" t="inlineStr">
        <is>
          <t>jabref</t>
        </is>
      </c>
      <c r="B747" t="inlineStr">
        <is>
          <t>jablib/src/main/java/org/jabref/logic/cleanup/ConvertToBiblatexCleanup.java</t>
        </is>
      </c>
      <c r="C747">
        <f>HYPERLINK("https://github.com/JabRef/jabref/blob/master/jablib/src/main/java/org/jabref/logic/cleanup/ConvertToBiblatexCleanup.java")</f>
        <v/>
      </c>
      <c r="D747" t="inlineStr">
        <is>
          <t>The provided code is a Java class that implements the `CleanupJob` interface from JabRef's logic package for cleaning up BibTeX entries to match the BibLaTeX format. The main functionality of this code revolves around converting field aliases between BibTeX and BibLaTeX formats by replacing old fields with new ones if they exist in the entry</t>
        </is>
      </c>
      <c r="E747" t="n">
        <v>0.0044</v>
      </c>
      <c r="F747" t="n">
        <v>0.09379999999999999</v>
      </c>
      <c r="G747" t="n">
        <v>0.1575</v>
      </c>
      <c r="H747" t="inlineStr">
        <is>
          <t>The code you provided is a Java method that performs addition of two numbers. The function `add` takes in two parameters 'a' and 'b', adds them together and returns the result.
It has time complexity O(1), meaning it executes in constant time regardless of the size of input data. 
In your example, this package contains logic for converting Bib</t>
        </is>
      </c>
      <c r="I747" t="n">
        <v>0.0031</v>
      </c>
      <c r="J747" t="n">
        <v>0.0882</v>
      </c>
      <c r="K747" t="n">
        <v>0.1145</v>
      </c>
      <c r="L747" t="inlineStr">
        <is>
          <t>The provided code is a Java class named `ConvertToBiblatexCleanup` which implements the interface `CleanupJob` from JabRef's logic module. This class has one method called `cleanup` that takes in a BibEntry object and returns a list of FieldChanges. 
Here are some key details about this function:</t>
        </is>
      </c>
      <c r="M747" t="n">
        <v>0.0054</v>
      </c>
      <c r="N747" t="n">
        <v>0.0741</v>
      </c>
      <c r="O747" t="n">
        <v>0.1282</v>
      </c>
    </row>
    <row r="748">
      <c r="A748" t="inlineStr">
        <is>
          <t>jabref</t>
        </is>
      </c>
      <c r="B748" t="inlineStr">
        <is>
          <t>jablib/src/main/java/org/jabref/logic/cleanup/TimeStampToModificationDate.java</t>
        </is>
      </c>
      <c r="C748">
        <f>HYPERLINK("https://github.com/JabRef/jabref/blob/master/jablib/src/main/java/org/jabref/logic/cleanup/TimeStampToModificationDate.java")</f>
        <v/>
      </c>
      <c r="D748" t="inlineStr">
        <is>
          <t>```java
The provided code is a Java class named `TimeStampToModificationDate` that implements the interface `CleanupJob` from JabRef's logic package for handling migration of timestamp fields to creation date and modification date fields in BibTeX entries. 
It takes advantage of several classes and interfaces such as `TimestampPreferences`, `</t>
        </is>
      </c>
      <c r="E748" t="n">
        <v>0.0046</v>
      </c>
      <c r="F748" t="n">
        <v>0.0727</v>
      </c>
      <c r="G748" t="n">
        <v>0.08400000000000001</v>
      </c>
      <c r="H748" t="inlineStr">
        <is>
          <t>The provided code is a Java class named `TimeStampToModificationDate` that implements the interface `CleanupJob` from JabRef software library for backend operations related to timestamp migration to creation and modification date fields in BibTeX entries. The complexity of this operation can be considered as O(n), where n refers to the number of BibTeX entries being processed by</t>
        </is>
      </c>
      <c r="I748" t="n">
        <v>0.0043</v>
      </c>
      <c r="J748" t="n">
        <v>0.0615</v>
      </c>
      <c r="K748" t="n">
        <v>0.1563</v>
      </c>
      <c r="L748" t="inlineStr">
        <is>
          <t>The provided code is a Java class named `TimeStampToModificationDate` that implements the interface `CleanupJob` from JabRef software library for data cleaning tasks. This specific task migrates timestamp fields in Bibliography Entry (BibEntry) objects to creation date and modification date fields based on user preferences. The purpose of this migration depends on whether the old update timest</t>
        </is>
      </c>
      <c r="M748" t="n">
        <v>0.0046</v>
      </c>
      <c r="N748" t="n">
        <v>0.0625</v>
      </c>
      <c r="O748" t="n">
        <v>0.1563</v>
      </c>
    </row>
    <row r="749">
      <c r="A749" t="inlineStr">
        <is>
          <t>jabref</t>
        </is>
      </c>
      <c r="B749" t="inlineStr">
        <is>
          <t>jablib/src/main/java/org/jabref/logic/cleanup/XmpMetadataCleanup.java</t>
        </is>
      </c>
      <c r="C749">
        <f>HYPERLINK("https://github.com/JabRef/jabref/blob/master/jablib/src/main/java/org/jabref/logic/cleanup/XmpMetadataCleanup.java")</f>
        <v/>
      </c>
      <c r="D749" t="inlineStr">
        <is>
          <t>The provided code is a Java class named `XmpMetadataCleanup` that implements the interface `CleanupJob` from package org.jabref.logic.cleanup. This class contains functionality for cleaning up XMP metadata in BibTeX entries. The complexity of this function appears to be O(N), where N represents the number of fields in each entry. It's</t>
        </is>
      </c>
      <c r="E749" t="n">
        <v>0.0049</v>
      </c>
      <c r="F749" t="n">
        <v>0.0645</v>
      </c>
      <c r="G749" t="n">
        <v>0.124</v>
      </c>
      <c r="H749" t="inlineStr">
        <is>
          <t>The code provided is a Java class named XmpMetadataCleanup that implements the CleanupJob interface from JabRef software library for metadata cleanup in BibTeX entries using Extensible Metadata Platform (XMP). The complexity of this implementation appears to be O(N), where N represents the number of fields in each entry. This means it iterates over every field in all</t>
        </is>
      </c>
      <c r="I749" t="n">
        <v>0.0042</v>
      </c>
      <c r="J749" t="n">
        <v>0.0606</v>
      </c>
      <c r="K749" t="n">
        <v>0.155</v>
      </c>
      <c r="L749" t="inlineStr">
        <is>
          <t>The provided code is for a Java class named XmpMetadataCleanup that implements the CleanupJob interface from JabRef library. This class is designed to clean up and manage metadata in Bibliography entries (represented by instances of BibEntry) within a database context using Extensible Metadata Platform (XMP). 
It has several private fields including an instance of</t>
        </is>
      </c>
      <c r="M749" t="n">
        <v>0.0045</v>
      </c>
      <c r="N749" t="n">
        <v>0.0645</v>
      </c>
      <c r="O749" t="n">
        <v>0.1587</v>
      </c>
    </row>
    <row r="750">
      <c r="A750" t="inlineStr">
        <is>
          <t>jabref</t>
        </is>
      </c>
      <c r="B750" t="inlineStr">
        <is>
          <t>jablib/src/main/java/org/jabref/logic/cleanup/ConvertToBibtexCleanup.java</t>
        </is>
      </c>
      <c r="C750">
        <f>HYPERLINK("https://github.com/JabRef/jabref/blob/master/jablib/src/main/java/org/jabref/logic/cleanup/ConvertToBibtexCleanup.java")</f>
        <v/>
      </c>
      <c r="D750" t="inlineStr">
        <is>
          <t>The code provided is a Java class that implements the CleanupJob interface from JabRef's logic package for cleaning up Bibliography entries (BibEntries). The main purpose of this cleanup job is to convert an entry into its equivalent in BibLaTeX format. It accomplishes this by checking if there are any date fields present and converting them accordingly - specifically focusing on</t>
        </is>
      </c>
      <c r="E750" t="n">
        <v>0.0036</v>
      </c>
      <c r="F750" t="n">
        <v>0.0588</v>
      </c>
      <c r="G750" t="n">
        <v>0.1136</v>
      </c>
      <c r="H750" t="inlineStr">
        <is>
          <t>The provided code is a Java implementation of the Cleanup Job interface from JabRef (Java Advanced Bibliography Reference Editor), which is an open source bibliographic reference manager developed by Dmitry Krasheninnikov and others. The purpose of this class appears to be converting entries in BibTeX format for use with certain software or libraries that require it. It specifically looks</t>
        </is>
      </c>
      <c r="I750" t="n">
        <v>0.0037</v>
      </c>
      <c r="J750" t="n">
        <v>0.0597</v>
      </c>
      <c r="K750" t="n">
        <v>0.1908</v>
      </c>
      <c r="L750" t="inlineStr">
        <is>
          <t>The provided code is a Java class named `ConvertToBibtexCleanup` that implements the interface `CleanupJob`. This class's purpose seems to be converting an entry in JabRef (a bibliography reference manager) into BibTeX format by modifying fields of the entry and returning these changes as a list.
Specifically, it appears to</t>
        </is>
      </c>
      <c r="M750" t="n">
        <v>0.0049</v>
      </c>
      <c r="N750" t="n">
        <v>0.06900000000000001</v>
      </c>
      <c r="O750" t="n">
        <v>0.124</v>
      </c>
    </row>
    <row r="751">
      <c r="A751" t="inlineStr">
        <is>
          <t>jabref</t>
        </is>
      </c>
      <c r="B751" t="inlineStr">
        <is>
          <t>jablib/src/main/java/org/jabref/logic/cleanup/FieldFormatterCleanup.java</t>
        </is>
      </c>
      <c r="C751">
        <f>HYPERLINK("https://github.com/JabRef/jabref/blob/master/jablib/src/main/java/org/jabref/logic/cleanup/FieldFormatterCleanup.java")</f>
        <v/>
      </c>
      <c r="D751" t="inlineStr">
        <is>
          <t>The provided code is a Java class named `FieldFormatterCleanup` that implements the interface `CleanupJob` from JabRef software library for performing cleanups on Bibliography entries (BibEntry objects). The purpose of this class is to format a given entry field with a specified formatter. 
It does so by overriding the abstract method `clean</t>
        </is>
      </c>
      <c r="E751" t="n">
        <v>0.0043</v>
      </c>
      <c r="F751" t="n">
        <v>0.0339</v>
      </c>
      <c r="G751" t="n">
        <v>0.122</v>
      </c>
      <c r="H751" t="inlineStr">
        <is>
          <t>The code you provided is a Java class that implements the CleanupJob interface from JabRef software for field formatting in BibTeX entries. The functionality of this class involves applying a specified formatter to a given entry's specific field using an O(N) complexity algorithm where N represents the number of fields in the entry.
Here are some key points about it:</t>
        </is>
      </c>
      <c r="I751" t="n">
        <v>0.004</v>
      </c>
      <c r="J751" t="n">
        <v>0.0571</v>
      </c>
      <c r="K751" t="n">
        <v>0.1515</v>
      </c>
      <c r="L751" t="inlineStr">
        <is>
          <t>The provided code is a Java implementation of the FieldFormatterCleanup class in JabRef, an open source bibliography software application. This class serves as a cleanup job for formatting a specific field within a BibTeX entry using a specified formatter. 
It accomplishes this by implementing the CleanupJob interface and overriding its `cleanup</t>
        </is>
      </c>
      <c r="M751" t="n">
        <v>0.0047</v>
      </c>
      <c r="N751" t="n">
        <v>0.1017</v>
      </c>
      <c r="O751" t="n">
        <v>0.2033</v>
      </c>
    </row>
    <row r="752">
      <c r="A752" t="inlineStr">
        <is>
          <t>jabref</t>
        </is>
      </c>
      <c r="B752" t="inlineStr">
        <is>
          <t>jablib/src/main/java/org/jabref/logic/cleanup/CleanupPreferences.java</t>
        </is>
      </c>
      <c r="C752">
        <f>HYPERLINK("https://github.com/JabRef/jabref/blob/master/jablib/src/main/java/org/jabref/logic/cleanup/CleanupPreferences.java")</f>
        <v/>
      </c>
      <c r="D752" t="inlineStr">
        <is>
          <t>The provided code is a Java class named `CleanupPreferences` that manages the preferences for various clean-up tasks in JabRef software. It uses JavaFX properties to store its state and an enum set of `CleanupSteps` to keep track of which steps are currently active or enabled. The constructor methods allow initialization with different combinations of parameters. This class seems to be</t>
        </is>
      </c>
      <c r="E752" t="n">
        <v>0.0036</v>
      </c>
      <c r="F752" t="n">
        <v>0.058</v>
      </c>
      <c r="G752" t="n">
        <v>0.1136</v>
      </c>
      <c r="H752" t="inlineStr">
        <is>
          <t>The provided code is a Java class named `CleanupPreferences` that manages the preferences for different clean-up jobs related to fields and formatters in JabRef software. The main functionality of this class includes setting up active jobs (enum sets of CleanupSteps) and field formatter actions using FieldFormatterCleanupActions object.
It has three constructors with</t>
        </is>
      </c>
      <c r="I752" t="n">
        <v>0.0042</v>
      </c>
      <c r="J752" t="n">
        <v>0.0984</v>
      </c>
      <c r="K752" t="n">
        <v>0.121</v>
      </c>
      <c r="L752" t="inlineStr">
        <is>
          <t>The provided code is a Java class named `CleanupPreferences` which manages the preferences for different cleanup jobs related to JabRef software. It uses an observable set of enums (`CleanupSteps`) representing active jobs and an object property holding instances of another enum type (`FieldFormatterCleanupAction`). The main purpose of this class seems</t>
        </is>
      </c>
      <c r="M752" t="n">
        <v>0.0037</v>
      </c>
      <c r="N752" t="n">
        <v>0.06900000000000001</v>
      </c>
      <c r="O752" t="n">
        <v>0.123</v>
      </c>
    </row>
    <row r="753">
      <c r="A753" t="inlineStr">
        <is>
          <t>jabref</t>
        </is>
      </c>
      <c r="B753" t="inlineStr">
        <is>
          <t>jablib/src/main/java/org/jabref/logic/cleanup/EprintCleanup.java</t>
        </is>
      </c>
      <c r="C753">
        <f>HYPERLINK("https://github.com/JabRef/jabref/blob/master/jablib/src/main/java/org/jabref/logic/cleanup/EprintCleanup.java")</f>
        <v/>
      </c>
      <c r="D753" t="inlineStr">
        <is>
          <t>The provided code is a Java implementation of the CleanupJob interface from JabRef (Java bibliography reference editor), specifically designed to clean up and format fields in BibTeX entries such as DOIs or arXIV identifiers. The function `cleanup` takes a BibEntry object as input and returns a list of FieldChange objects representing changes made to the entry's</t>
        </is>
      </c>
      <c r="E753" t="n">
        <v>0.0033</v>
      </c>
      <c r="F753" t="n">
        <v>0.09229999999999999</v>
      </c>
      <c r="G753" t="n">
        <v>0.1172</v>
      </c>
      <c r="H753" t="inlineStr">
        <is>
          <t>The provided code is a Java class named EprintCleanup that implements the CleanupJob interface from JabRef software library for backend operations related to cleaning up Bibliography Entry (BibEntry) fields such as institution field and formatting DOIs in certain ways. The complexity of this operation seems to be O(n), where n represents the number of Fields present in an entry.</t>
        </is>
      </c>
      <c r="I753" t="n">
        <v>0.0041</v>
      </c>
      <c r="J753" t="n">
        <v>0.0588</v>
      </c>
      <c r="K753" t="n">
        <v>0.1527</v>
      </c>
      <c r="L753" t="inlineStr">
        <is>
          <t>The provided code is a Java class named `EPrintCleanup` that implements the interface `CleanupJob` from JabRef software library for cleaning up Bibliography entries (BibEntries). 
It's main purpose is to modify certain fields of an entry based on specific conditions. For instance, it checks if the institution field contains "arxiv</t>
        </is>
      </c>
      <c r="M753" t="n">
        <v>0.0045</v>
      </c>
      <c r="N753" t="n">
        <v>0.0345</v>
      </c>
      <c r="O753" t="n">
        <v>0.08260000000000001</v>
      </c>
    </row>
    <row r="754">
      <c r="A754" t="inlineStr">
        <is>
          <t>jabref</t>
        </is>
      </c>
      <c r="B754" t="inlineStr">
        <is>
          <t>jablib/src/main/java/org/jabref/logic/cleanup/FieldFormatterCleanupMapper.java</t>
        </is>
      </c>
      <c r="C754">
        <f>HYPERLINK("https://github.com/JabRef/jabref/blob/master/jablib/src/main/java/org/jabref/logic/cleanup/FieldFormatterCleanupMapper.java")</f>
        <v/>
      </c>
      <c r="D754" t="inlineStr">
        <is>
          <t>The provided code is a Java class named FieldFormatterCleanupMapper that performs cleanup operations on BibTeX fields using formatters. The main functionality of this class involves parsing the key and list map pairs for each field in order to perform specific cleanup actions based on defined patterns. This process may involve removing certain characters or altering string formats according to predefined</t>
        </is>
      </c>
      <c r="E754" t="n">
        <v>0.004</v>
      </c>
      <c r="F754" t="n">
        <v>0.0588</v>
      </c>
      <c r="G754" t="n">
        <v>0.1136</v>
      </c>
      <c r="H754" t="inlineStr">
        <is>
          <t>The provided code is a Java class named `FieldFormatterCleanupMapper` that contains several private static final fields and a private constructor to prevent instantiation of the class itself. The purpose seems to be handling cleanup operations for BibTeX entries (specifically, parsing key/value pairs where keys are field names and values are lists of formatters). It also appears to have methods</t>
        </is>
      </c>
      <c r="I754" t="n">
        <v>0.0031</v>
      </c>
      <c r="J754" t="n">
        <v>0.0294</v>
      </c>
      <c r="K754" t="n">
        <v>0.0382</v>
      </c>
      <c r="L754" t="inlineStr">
        <is>
          <t>The provided code is a Java class named `FieldFormatterCleanupMapper` that performs various operations on Bibliography Entry fields (represented as objects of the 'BibEntry' class). The main purpose of this class seems to be parsing and cleaning up field formatters from bibliographic entries based on certain patterns defined in the static final variables CLEANUP_FOR_PAR</t>
        </is>
      </c>
      <c r="M754" t="n">
        <v>0.0035</v>
      </c>
      <c r="N754" t="n">
        <v>0.0635</v>
      </c>
      <c r="O754" t="n">
        <v>0.08</v>
      </c>
    </row>
    <row r="755">
      <c r="A755" t="inlineStr">
        <is>
          <t>jabref</t>
        </is>
      </c>
      <c r="B755" t="inlineStr">
        <is>
          <t>jablib/src/main/java/org/jabref/logic/cleanup/CleanupWorker.java</t>
        </is>
      </c>
      <c r="C755">
        <f>HYPERLINK("https://github.com/JabRef/jabref/blob/master/jablib/src/main/java/org/jabref/logic/cleanup/CleanupWorker.java")</f>
        <v/>
      </c>
      <c r="D755" t="inlineStr">
        <is>
          <t>The provided code defines a class named `CleanupWorker` which is responsible for performing cleanups on Bibliography Database entries (represented by instances of the `BibEntry` class). The cleanups are performed based on preferences set in an instance of the `FilePreferences` and `TimestampPreferences` classes. It also uses data from the `JournalAbbreviationRepository</t>
        </is>
      </c>
      <c r="E755" t="n">
        <v>0.0037</v>
      </c>
      <c r="F755" t="n">
        <v>0.0351</v>
      </c>
      <c r="G755" t="n">
        <v>0.08260000000000001</v>
      </c>
      <c r="H755" t="inlineStr">
        <is>
          <t>The provided code is a Java class named CleanupWorker that performs various cleanups on Bibliography entries (represented as instances of the `BibEntry` class). It uses several dependencies including logging with SLF4J and utilizes functional programming concepts like Consumer interface for operations to be performed on each entry in the database context. The complexity here is O(N), where N</t>
        </is>
      </c>
      <c r="I755" t="n">
        <v>0.0031</v>
      </c>
      <c r="J755" t="n">
        <v>0.0299</v>
      </c>
      <c r="K755" t="n">
        <v>0.0769</v>
      </c>
      <c r="L755" t="inlineStr">
        <is>
          <t>The provided code is a Java class named `CleanupWorker` that performs various cleanup operations on Bibliography entries (represented as instances of the `BibEntry` class). The purpose of this class seems to be to perform tasks related to data cleaning and formatting according to user preferences stored in an instance of the `FilePreferences` class. 
It uses</t>
        </is>
      </c>
      <c r="M755" t="n">
        <v>0.0033</v>
      </c>
      <c r="N755" t="n">
        <v>0.0635</v>
      </c>
      <c r="O755" t="n">
        <v>0.1181</v>
      </c>
    </row>
    <row r="756">
      <c r="A756" t="inlineStr">
        <is>
          <t>jabref</t>
        </is>
      </c>
      <c r="B756" t="inlineStr">
        <is>
          <t>jablib/src/main/java/org/jabref/logic/cleanup/MoveFilesCleanup.java</t>
        </is>
      </c>
      <c r="C756">
        <f>HYPERLINK("https://github.com/JabRef/jabref/blob/master/jablib/src/main/java/org/jabref/logic/cleanup/MoveFilesCleanup.java")</f>
        <v/>
      </c>
      <c r="D756" t="inlineStr">
        <is>
          <t>The provided code is a Java class named MoveFilesCleanup that implements the CleanupJob interface from JabRef (a bibliography reference management tool). The purpose of this class seems to be to move files into their default directory without renaming them. It uses functional programming concepts and logging for error handling and debugging purposes. This repository appears to contain backend software components with complexity O(N</t>
        </is>
      </c>
      <c r="E756" t="n">
        <v>0.0041</v>
      </c>
      <c r="F756" t="n">
        <v>0.0833</v>
      </c>
      <c r="G756" t="n">
        <v>0.1852</v>
      </c>
      <c r="H756" t="inlineStr">
        <is>
          <t>The function `moveFiles` in the class `MoveFilesCleanup` is used to move files into a default file directory without renaming them. The complexity of this operation is O(N), where N represents the number of entries in the database. It uses Java's Supplier interface for retrieving BibDatabaseContext objects and applies field changes accordingly.
Please provide an explanation</t>
        </is>
      </c>
      <c r="I756" t="n">
        <v>0.0033</v>
      </c>
      <c r="J756" t="n">
        <v>0.0615</v>
      </c>
      <c r="K756" t="n">
        <v>0.1181</v>
      </c>
      <c r="L756" t="inlineStr">
        <is>
          <t>The provided code is a Java class named MoveFilesCleanup that implements the CleanupJob interface from JabRef software library for moving file entries in a BibTeX database to their default directories without renaming them. The main purpose of this class is to facilitate cleanups related to handling linked files and managing external references. It uses functional interfaces like Supplier and Consumer to abstract away complex</t>
        </is>
      </c>
      <c r="M756" t="n">
        <v>0.0037</v>
      </c>
      <c r="N756" t="n">
        <v>0.0833</v>
      </c>
      <c r="O756" t="n">
        <v>0.1838</v>
      </c>
    </row>
    <row r="757">
      <c r="A757" t="inlineStr">
        <is>
          <t>jabref</t>
        </is>
      </c>
      <c r="B757" t="inlineStr">
        <is>
          <t>jablib/src/main/java/org/jabref/logic/cleanup/TimeStampToCreationDate.java</t>
        </is>
      </c>
      <c r="C757">
        <f>HYPERLINK("https://github.com/JabRef/jabref/blob/master/jablib/src/main/java/org/jabref/logic/cleanup/TimeStampToCreationDate.java")</f>
        <v/>
      </c>
      <c r="D757" t="inlineStr">
        <is>
          <t>The provided code is a Java class named TimeStampToCreationDate that implements the CleanupJob interface from JabRef's logic package for handling migrations of timestamp fields to creation and modification date fields in BibEntry objects. The migration depends on whether the old update timestamps setting is enabled or not. If it is enabled, each entry's timestamp field will be mig</t>
        </is>
      </c>
      <c r="E757" t="n">
        <v>0.0037</v>
      </c>
      <c r="F757" t="n">
        <v>0.0588</v>
      </c>
      <c r="G757" t="n">
        <v>0.0769</v>
      </c>
      <c r="H757" t="inlineStr">
        <is>
          <t>The provided code is a Java class that migrates the timestamp field of BibTeX entries to creation date and modification date fields using CleanUpJobs from JabRef software library. It checks if the old update timestamps setting is enabled for each entry in the database, then migrate the timestamp field data to either 'date-modified' or 'date-added'. The complexity</t>
        </is>
      </c>
      <c r="I757" t="n">
        <v>0.0038</v>
      </c>
      <c r="J757" t="n">
        <v>0.0299</v>
      </c>
      <c r="K757" t="n">
        <v>0.1163</v>
      </c>
      <c r="L757" t="inlineStr">
        <is>
          <t>The provided code is a Java class named `TimeStampToCreationDate` that implements the interface `CleanupJob` from JabRef's logic module for cleaning up BibTeX entries (represented as instances of `BibEntry`). This specific job migrates timestamp fields to creation date and modification date fields in BibTeX entries based on user preferences.</t>
        </is>
      </c>
      <c r="M757" t="n">
        <v>0.0054</v>
      </c>
      <c r="N757" t="n">
        <v>0.0702</v>
      </c>
      <c r="O757" t="n">
        <v>0.1667</v>
      </c>
    </row>
    <row r="758">
      <c r="A758" t="inlineStr">
        <is>
          <t>jabref</t>
        </is>
      </c>
      <c r="B758" t="inlineStr">
        <is>
          <t>jablib/src/main/java/org/jabref/logic/database/DatabaseMerger.java</t>
        </is>
      </c>
      <c r="C758">
        <f>HYPERLINK("https://github.com/JabRef/jabref/blob/master/jablib/src/main/java/org/jabref/logic/database/DatabaseMerger.java")</f>
        <v/>
      </c>
      <c r="D758" t="inlineStr">
        <is>
          <t>The code provided is a Java class named DatabaseMerger that merges two databases together. The class has a constructor which accepts a character as an argument for the keyword delimiter and sets it to be used in the merge process of BibTeX entries. It also includes a logger instance for logging purposes.
The functionality seems to involve handling database operations such as merging entries</t>
        </is>
      </c>
      <c r="E758" t="n">
        <v>0.0034</v>
      </c>
      <c r="F758" t="n">
        <v>0.0278</v>
      </c>
      <c r="G758" t="n">
        <v>0.0735</v>
      </c>
      <c r="H758" t="inlineStr">
        <is>
          <t>The provided code is a Java class named `DatabaseMerger` that has been used to merge two databases in JabRef software. It uses several import statements for its functionality including java utilities and jabref model classes. The complexity of this operation seems to be O(n), where n represents the number of entries in one database being merged with another. This could potentially mean that it</t>
        </is>
      </c>
      <c r="I758" t="n">
        <v>0.0037</v>
      </c>
      <c r="J758" t="n">
        <v>0.0822</v>
      </c>
      <c r="K758" t="n">
        <v>0.1103</v>
      </c>
      <c r="L758" t="inlineStr">
        <is>
          <t>The provided code is a Java class named `DatabaseMerger` that merges two databases into one. It primarily performs operations related to database management and manipulation of entries in the database. The main purpose of this class seems to be to merge multiple databases (possibly with different entry types) into a single larger database while preserving all relevant information such as metadata, groups, keywords, etc.</t>
        </is>
      </c>
      <c r="M758" t="n">
        <v>0.0028</v>
      </c>
      <c r="N758" t="n">
        <v>0.0278</v>
      </c>
      <c r="O758" t="n">
        <v>0.0735</v>
      </c>
    </row>
    <row r="759">
      <c r="A759" t="inlineStr">
        <is>
          <t>jabref</t>
        </is>
      </c>
      <c r="B759" t="inlineStr">
        <is>
          <t>jablib/src/main/java/org/jabref/logic/database/DuplicateCheck.java</t>
        </is>
      </c>
      <c r="C759">
        <f>HYPERLINK("https://github.com/JabRef/jabref/blob/master/jablib/src/main/java/org/jabref/logic/database/DuplicateCheck.java")</f>
        <v/>
      </c>
      <c r="D759" t="inlineStr">
        <is>
          <t>The provided code is a Java class that manages the database operations for JabRef software. It's designed to handle complex algorithms related to managing Bibliography Entries (BibEntries), such as searching and sorting them based on various criteria like entry type, author names, field values etc., also it handles ISBN identification of entries in the database. The complexity of</t>
        </is>
      </c>
      <c r="E759" t="n">
        <v>0.0031</v>
      </c>
      <c r="F759" t="n">
        <v>0.0597</v>
      </c>
      <c r="G759" t="n">
        <v>0.0385</v>
      </c>
      <c r="H759" t="inlineStr">
        <is>
          <t>The provided code is a Java class that contains various methods for handling and manipulating entries in a Bibliography Database (`BibDatabase`). The main functionality includes adding new entries to the database, managing entry types, working with fields such as authors or identifiers like ISBNs, among others. It also provides functionalities related to OS detection and string utilities. This repository appears to be</t>
        </is>
      </c>
      <c r="I759" t="n">
        <v>0.0039</v>
      </c>
      <c r="J759" t="n">
        <v>0.0571</v>
      </c>
      <c r="K759" t="n">
        <v>0.1119</v>
      </c>
      <c r="L759" t="inlineStr">
        <is>
          <t>The provided code is a part of the JabRef software's backend component which handles database operations such as creating databases, managing entries and performing search queries on them. The main purpose of this class seems to be handling Bibliography Database related tasks like adding or removing entries from it, checking for duplicates in terms of title/author combination etc. 
It uses Hash</t>
        </is>
      </c>
      <c r="M759" t="n">
        <v>0.003</v>
      </c>
      <c r="N759" t="n">
        <v>0.0563</v>
      </c>
      <c r="O759" t="n">
        <v>0.1128</v>
      </c>
    </row>
    <row r="760">
      <c r="A760" t="inlineStr">
        <is>
          <t>jabref</t>
        </is>
      </c>
      <c r="B760" t="inlineStr">
        <is>
          <t>jablib/src/main/java/org/jabref/logic/groups/GroupsFactory.java</t>
        </is>
      </c>
      <c r="C760">
        <f>HYPERLINK("https://github.com/JabRef/jabref/blob/master/jablib/src/main/java/org/jabref/logic/groups/GroupsFactory.java")</f>
        <v/>
      </c>
      <c r="D760" t="inlineStr">
        <is>
          <t>The code provided is a factory class for creating different types of groups in the JabRef application. The purpose seems to be to create predefined group configurations that can then be used by users or other parts of the software. 
There are three static methods defined within this class:
- `createAllEntriesGroup` creates an AllEntriesGroup which represents all entries in</t>
        </is>
      </c>
      <c r="E760" t="n">
        <v>0</v>
      </c>
      <c r="F760" t="n">
        <v>0.0303</v>
      </c>
      <c r="G760" t="n">
        <v>0.07630000000000001</v>
      </c>
      <c r="H760" t="inlineStr">
        <is>
          <t>The code you provided is a Java class named `package org.jabref.logic.groups` that contains several static methods for creating different types of groups in the JabRef application. The complexity seems to be O(N), as it involves looping over an EnumSet and returning new instances of SearchGroup objects with specific properties. 
Here's a concise</t>
        </is>
      </c>
      <c r="I760" t="n">
        <v>0.0035</v>
      </c>
      <c r="J760" t="n">
        <v>0.0308</v>
      </c>
      <c r="K760" t="n">
        <v>0.0403</v>
      </c>
      <c r="L760" t="inlineStr">
        <is>
          <t>The provided code is a Java class named `GroupsFactory` that serves as a factory for creating different types of groups in the JabRef application. 
It has two static methods to create an 'all entries' group and a search group without files respectively. The all entries group contains information about all references in the database while the second one represents entries which do not have any linked file</t>
        </is>
      </c>
      <c r="M760" t="n">
        <v>0.0027</v>
      </c>
      <c r="N760" t="n">
        <v>0.0267</v>
      </c>
      <c r="O760" t="n">
        <v>0.036</v>
      </c>
    </row>
    <row r="761">
      <c r="A761" t="inlineStr">
        <is>
          <t>jabref</t>
        </is>
      </c>
      <c r="B761" t="inlineStr">
        <is>
          <t>jablib/src/main/java/org/jabref/logic/bibtex/BibEntryWriter.java</t>
        </is>
      </c>
      <c r="C761">
        <f>HYPERLINK("https://github.com/JabRef/jabref/blob/master/jablib/src/main/java/org/jabref/logic/bibtex/BibEntryWriter.java")</f>
        <v/>
      </c>
      <c r="D761" t="inlineStr">
        <is>
          <t>The provided code is a Java program that deals with BibTeX entries and operations on them. It uses various libraries for handling different data structures such as collections (e.g., List, Set), comparators, streams etc. The main class seems to be responsible for writing out the content of a collection of `BibEntries` in BibTeX format using the</t>
        </is>
      </c>
      <c r="E761" t="n">
        <v>0.0033</v>
      </c>
      <c r="F761" t="n">
        <v>0.0308</v>
      </c>
      <c r="G761" t="n">
        <v>0.0781</v>
      </c>
      <c r="H761" t="inlineStr">
        <is>
          <t>The code you provided is a Java class that contains import statements for various packages and classes used in the JabRef software project. It appears to be part of its backend logic components related to Bibliography Database Management (DBMS). The complexity seems to be O(N), where N represents some form of data size or number of operations based on how it's implemented. This could potentially vary</t>
        </is>
      </c>
      <c r="I761" t="n">
        <v>0.0036</v>
      </c>
      <c r="J761" t="n">
        <v>0.0526</v>
      </c>
      <c r="K761" t="n">
        <v>0.1449</v>
      </c>
      <c r="L761" t="inlineStr">
        <is>
          <t>The provided code is part of a Java application that deals with manipulation and generation of BibTeX entries from various sources. It uses several libraries such as JabRef (a bibliography management tool) to handle the logic behind managing and exporting references in different formats including BibTeX. 
It primarily contains classes for handling BibEntries which represent</t>
        </is>
      </c>
      <c r="M761" t="n">
        <v>0.0033</v>
      </c>
      <c r="N761" t="n">
        <v>0.0635</v>
      </c>
      <c r="O761" t="n">
        <v>0.07870000000000001</v>
      </c>
    </row>
    <row r="762">
      <c r="A762" t="inlineStr">
        <is>
          <t>jabref</t>
        </is>
      </c>
      <c r="B762" t="inlineStr">
        <is>
          <t>jablib/src/main/java/org/jabref/logic/bibtex/InvalidFieldValueException.java</t>
        </is>
      </c>
      <c r="C762">
        <f>HYPERLINK("https://github.com/JabRef/jabref/blob/master/jablib/src/main/java/org/jabref/logic/bibtex/InvalidFieldValueException.java")</f>
        <v/>
      </c>
      <c r="D762" t="inlineStr">
        <is>
          <t>```java
// This is a deprecated class in JabRef backend software components that extends Exception to handle invalid field value exceptions. 
// It's complexity is O(1), as it only contains one method with constant time complexity. The code size of this file is 485 lines long.
```</t>
        </is>
      </c>
      <c r="E762" t="n">
        <v>0.0046</v>
      </c>
      <c r="F762" t="n">
        <v>0.0741</v>
      </c>
      <c r="G762" t="n">
        <v>0.08400000000000001</v>
      </c>
      <c r="H762" t="inlineStr">
        <is>
          <t>ThisJava code is deprecated and should not be used directly as it extends an exception class with a custom message. The `@deprecated` annotation indicates that this method will likely be removed in future versions of the JabRef software. Instead of using this method, developers should implement their functionality through {@link org.jabref.logic.integrity.IntegrityCheck}. IntelliJ</t>
        </is>
      </c>
      <c r="I762" t="n">
        <v>0.0042</v>
      </c>
      <c r="J762" t="n">
        <v>0.1562</v>
      </c>
      <c r="K762" t="n">
        <v>0.1613</v>
      </c>
      <c r="L762" t="inlineStr">
        <is>
          <t>&lt;!-- This is a code summary --&gt;
The provided Java code defines an exception class `InvalidFieldValueException` that extends the built-in `Exception` class in Java. The purpose of this class appears to be for handling exceptions related to invalid field values within BibTeX entries used by JabRef software. 
It has one constructor which accepts a string message and</t>
        </is>
      </c>
      <c r="M762" t="n">
        <v>0.0038</v>
      </c>
      <c r="N762" t="n">
        <v>0.09379999999999999</v>
      </c>
      <c r="O762" t="n">
        <v>0.1163</v>
      </c>
    </row>
    <row r="763">
      <c r="A763" t="inlineStr">
        <is>
          <t>jabref</t>
        </is>
      </c>
      <c r="B763" t="inlineStr">
        <is>
          <t>jablib/src/main/java/org/jabref/logic/bibtex/FileFieldWriter.java</t>
        </is>
      </c>
      <c r="C763">
        <f>HYPERLINK("https://github.com/JabRef/jabref/blob/master/jablib/src/main/java/org/jabref/logic/bibtex/FileFieldWriter.java")</f>
        <v/>
      </c>
      <c r="D763" t="inlineStr">
        <is>
          <t>The provided code is a Java class named `FileFieldWriter` that handles the writing of BibTeX fields related to linked files (e.g., URLs for online resources or local file paths). The functionality includes creating an array representation of these LinkedFiles and then encoding this array into a string format suitable for use in BibTeX entries. This process involves checking if any source URL</t>
        </is>
      </c>
      <c r="E763" t="n">
        <v>0.0039</v>
      </c>
      <c r="F763" t="n">
        <v>0.0563</v>
      </c>
      <c r="G763" t="n">
        <v>0.1119</v>
      </c>
      <c r="H763" t="inlineStr">
        <is>
          <t>The provided code is a Java class named `FileFieldWriter` that contains two static methods for converting LinkedFiles into strings. The first method takes in a list of LinkedFiles and returns the string representation of each one as an array of arrays (2D String). If any LinkedFile's source URL field is null or empty, it will only include description, link, file type fields. Otherwise</t>
        </is>
      </c>
      <c r="I763" t="n">
        <v>0.0029</v>
      </c>
      <c r="J763" t="n">
        <v>0.0278</v>
      </c>
      <c r="K763" t="n">
        <v>0.037</v>
      </c>
      <c r="L763" t="inlineStr">
        <is>
          <t>The provided code snippet is part of a Java program that deals with the conversion of LinkedFiles into strings for BibTeX formatting purposes. The main purpose of this class `FileFieldWriter` is to convert a list or single instance of LinkedFile objects into their string representation suitable for inclusion in a BibTeX entry.
The function `getStringRepresentation`</t>
        </is>
      </c>
      <c r="M763" t="n">
        <v>0</v>
      </c>
      <c r="N763" t="n">
        <v>0.0635</v>
      </c>
      <c r="O763" t="n">
        <v>0.07870000000000001</v>
      </c>
    </row>
    <row r="764">
      <c r="A764" t="inlineStr">
        <is>
          <t>jabref</t>
        </is>
      </c>
      <c r="B764" t="inlineStr">
        <is>
          <t>jablib/src/main/java/org/jabref/logic/bibtex/TypedBibEntry.java</t>
        </is>
      </c>
      <c r="C764">
        <f>HYPERLINK("https://github.com/JabRef/jabref/blob/master/jablib/src/main/java/org/jabref/logic/bibtex/TypedBibEntry.java")</f>
        <v/>
      </c>
      <c r="D764" t="inlineStr">
        <is>
          <t>The provided code is a wrapper class `TypedBibEntry` that provides methods for handling BibTeX entries and database-specific results. It takes in two parameters - an instance of the abstract base class `BibEntry` (which represents a single entry in a bibliography file), and optionally, an instance of `BibDatabaseMode` which specifies the mode of operation</t>
        </is>
      </c>
      <c r="E764" t="n">
        <v>0.0035</v>
      </c>
      <c r="F764" t="n">
        <v>0.0328</v>
      </c>
      <c r="G764" t="n">
        <v>0.04</v>
      </c>
      <c r="H764" t="inlineStr">
        <is>
          <t>The provided code is a Java class that wraps around the BibEntry object from JabRef library and provides methods for handling database-dependent results. The complexity of this function appears to be O(n), where n represents the number of entries in the database context passed during initialization. This suggests it may iterate over these entries when performing certain operations.
In summary, this package</t>
        </is>
      </c>
      <c r="I764" t="n">
        <v>0.0035</v>
      </c>
      <c r="J764" t="n">
        <v>0.0556</v>
      </c>
      <c r="K764" t="n">
        <v>0.1119</v>
      </c>
      <c r="L764" t="inlineStr">
        <is>
          <t>The provided code is a wrapper class named `TypedBibEntry` that provides methods for handling results based on the mode of a BibDatabase (i.e., bibliography database). 
The main purpose of this class appears to be managing and providing additional functionality related to entries in a BibTeX format within a specific context of a given database. The inputs are</t>
        </is>
      </c>
      <c r="M764" t="n">
        <v>0.0038</v>
      </c>
      <c r="N764" t="n">
        <v>0.0606</v>
      </c>
      <c r="O764" t="n">
        <v>0.1163</v>
      </c>
    </row>
    <row r="765">
      <c r="A765" t="inlineStr">
        <is>
          <t>jabref</t>
        </is>
      </c>
      <c r="B765" t="inlineStr">
        <is>
          <t>jablib/src/main/java/org/jabref/logic/bibtex/FieldWriter.java</t>
        </is>
      </c>
      <c r="C765">
        <f>HYPERLINK("https://github.com/JabRef/jabref/blob/master/jablib/src/main/java/org/jabref/logic/bibtex/FieldWriter.java")</f>
        <v/>
      </c>
      <c r="D765" t="inlineStr">
        <is>
          <t>The provided code is a Java class named `FieldWriter` that converts JabRef's internal BibTeX representation of a BibTeX field into the corresponding textual representation in BibTeX format. The conversion process involves checking for special characters like hashes and converting them to their escaped versions if necessary. 
It uses an array deque data</t>
        </is>
      </c>
      <c r="E765" t="n">
        <v>0.0035</v>
      </c>
      <c r="F765" t="n">
        <v>0.0328</v>
      </c>
      <c r="G765" t="n">
        <v>0.0806</v>
      </c>
      <c r="H765" t="inlineStr">
        <is>
          <t>The provided code is a Java class named FieldWriter that handles the conversion of JabRef's internal BibTeX representation to standard BibTeX text format. The complexity of this operation appears to be O(n), with n being the number of fields in the input data. This could potentially increase if there are many custom field types or complex nested structures within the inputs.</t>
        </is>
      </c>
      <c r="I765" t="n">
        <v>0.003</v>
      </c>
      <c r="J765" t="n">
        <v>0.0282</v>
      </c>
      <c r="K765" t="n">
        <v>0.0376</v>
      </c>
      <c r="L765" t="inlineStr">
        <is>
          <t>The provided code is a Java class named `FieldWriter` that converts JabRef's internal BibTeX representation of a BibTeX field to its textual representation. It does this by utilizing various private fields and methods for handling the conversion process, including an array deque (`Deque&lt;String&gt;`) used as a buffer to store intermediate results</t>
        </is>
      </c>
      <c r="M765" t="n">
        <v>0.0036</v>
      </c>
      <c r="N765" t="n">
        <v>0.06560000000000001</v>
      </c>
      <c r="O765" t="n">
        <v>0.122</v>
      </c>
    </row>
    <row r="766">
      <c r="A766" t="inlineStr">
        <is>
          <t>jabref</t>
        </is>
      </c>
      <c r="B766" t="inlineStr">
        <is>
          <t>jablib/src/main/java/org/jabref/logic/bibtex/FieldPreferences.java</t>
        </is>
      </c>
      <c r="C766">
        <f>HYPERLINK("https://github.com/JabRef/jabref/blob/master/jablib/src/main/java/org/jabref/logic/bibtex/FieldPreferences.java")</f>
        <v/>
      </c>
      <c r="D766" t="inlineStr">
        <is>
          <t>This code defines a class named `FieldPreferences` that manages the preferences for resolving strings and non-wrapping fields in BibTeX entries. It uses JavaFX properties to store whether string resolution is enabled or not (`resolveStrings`), as well as two observable lists of Field objects representing the list of resolvable and non-wrappable fields</t>
        </is>
      </c>
      <c r="E766" t="n">
        <v>0.0043</v>
      </c>
      <c r="F766" t="n">
        <v>0.06560000000000001</v>
      </c>
      <c r="G766" t="n">
        <v>0.122</v>
      </c>
      <c r="H766" t="inlineStr">
        <is>
          <t>This Java code is part of a larger software system that manages BibTeX entries and their fields. It defines the class `FieldPreferences` which maintains preferences for resolving strings (fields with special characters in them), as well as non-wrappable field types (like PDF or URL). The complexity here is O(N) because it iterates over collections to populate its</t>
        </is>
      </c>
      <c r="I766" t="n">
        <v>0.0042</v>
      </c>
      <c r="J766" t="n">
        <v>0.0896</v>
      </c>
      <c r="K766" t="n">
        <v>0.155</v>
      </c>
      <c r="L766" t="inlineStr">
        <is>
          <t>This code is part of a Java application that manages the preferences for BibTeX fields in JabRef software. It provides functionality to set and get whether strings should be resolved or not (`resolveStrings` property). The resolvable fields are defined as `author`, `booktitle`, etc., while non-wrappable fields include PDF, PS URLs, DO</t>
        </is>
      </c>
      <c r="M766" t="n">
        <v>0.0047</v>
      </c>
      <c r="N766" t="n">
        <v>0.1333</v>
      </c>
      <c r="O766" t="n">
        <v>0.122</v>
      </c>
    </row>
    <row r="767">
      <c r="A767" t="inlineStr">
        <is>
          <t>jabref</t>
        </is>
      </c>
      <c r="B767" t="inlineStr">
        <is>
          <t>jablib/src/main/java/org/jabref/logic/bibtex/comparator/BibtexStringComparator.java</t>
        </is>
      </c>
      <c r="C767">
        <f>HYPERLINK("https://github.com/JabRef/jabref/blob/master/jablib/src/main/java/org/jabref/logic/bibtex/comparator/BibtexStringComparator.java")</f>
        <v/>
      </c>
      <c r="D767" t="inlineStr">
        <is>
          <t>The provided code is a comparator for BibTeX strings in Java. It compares two `BibtexString` objects based on their names and optionally considers references to other strings when sorting them alphabetically. The comparison is case-insensitive as it converts the string names to lowercase before comparing them. If the names are equal, it returns</t>
        </is>
      </c>
      <c r="E767" t="n">
        <v>0.0035</v>
      </c>
      <c r="F767" t="n">
        <v>0.0323</v>
      </c>
      <c r="G767" t="n">
        <v>0.04</v>
      </c>
      <c r="H767" t="inlineStr">
        <is>
          <t>The provided code is a comparator for BibTeX strings in Java. It compares two BibTeX string objects based on their names and whether they should be sorted considering the internal references or not. The complexity of this implementation is O(n), where n represents the number of characters in the name of each BibTeX string object being compared. This means that if there are</t>
        </is>
      </c>
      <c r="I767" t="n">
        <v>0.0034</v>
      </c>
      <c r="J767" t="n">
        <v>0.0556</v>
      </c>
      <c r="K767" t="n">
        <v>0.1111</v>
      </c>
      <c r="L767" t="inlineStr">
        <is>
          <t>The provided code is a Java implementation of the Comparator interface for BibtexString objects in JabRef software. The purpose of this class is to sort these strings based on their names (converted to lowercase) alphabetically and optionally considering references between them if specified at initialization. This comparator adheres to the standard compare method contract by returning an integer that indicates whether the</t>
        </is>
      </c>
      <c r="M767" t="n">
        <v>0.0035</v>
      </c>
      <c r="N767" t="n">
        <v>0.0571</v>
      </c>
      <c r="O767" t="n">
        <v>0.1119</v>
      </c>
    </row>
    <row r="768">
      <c r="A768" t="inlineStr">
        <is>
          <t>jcabi</t>
        </is>
      </c>
      <c r="B768" t="inlineStr">
        <is>
          <t>src/main/java/com/jcabi/github/Blobs.java</t>
        </is>
      </c>
      <c r="C768">
        <f>HYPERLINK("https://github.com/jcabi/jcabi-github/blob/master/src/main/java/com/jcabi/github/Blobs.java")</f>
        <v/>
      </c>
      <c r="D768" t="inlineStr">
        <is>
          <t>The code provided is an interface named `Blobs` that defines methods for interacting with Git blobs on a GitHub repository. The purpose of this interface seems to be managing and retrieving data from the Git object store in a GitHub repository. This includes getting specific blobs by their SHA (Secure Hash Algorithm), creating new blobs, and returning information about existing ones. It also</t>
        </is>
      </c>
      <c r="E768" t="n">
        <v>0.0034</v>
      </c>
      <c r="F768" t="n">
        <v>0.0563</v>
      </c>
      <c r="G768" t="n">
        <v>0.0741</v>
      </c>
      <c r="H768" t="inlineStr">
        <is>
          <t>The provided code is a Java interface for interacting with GitHub's Blobs API. It provides methods to get and create blobs in the repository. The complexity of these operations are O(1), meaning they have constant time complexity as it does not depend on the size of data or number of elements involved.
In this case, we can summarize the functionality by saying that it</t>
        </is>
      </c>
      <c r="I768" t="n">
        <v>0.0034</v>
      </c>
      <c r="J768" t="n">
        <v>0.0541</v>
      </c>
      <c r="K768" t="n">
        <v>0.1103</v>
      </c>
      <c r="L768" t="inlineStr">
        <is>
          <t>The provided code is a Java interface named "Blobs". It defines three methods for interacting with Git blobs on GitHub. 
Method `repo()` returns the repository owner of the blob. Method `get(String sha)` retrieves specific blob by its SHA hash. The method `create(String content, String encoding)` creates and returns new bl</t>
        </is>
      </c>
      <c r="M768" t="n">
        <v>0.0037</v>
      </c>
      <c r="N768" t="n">
        <v>0.0333</v>
      </c>
      <c r="O768" t="n">
        <v>0.041</v>
      </c>
    </row>
    <row r="769">
      <c r="A769" t="inlineStr">
        <is>
          <t>jcabi</t>
        </is>
      </c>
      <c r="B769" t="inlineStr">
        <is>
          <t>src/main/java/com/jcabi/github/Trees.java</t>
        </is>
      </c>
      <c r="C769">
        <f>HYPERLINK("https://github.com/jcabi/jcabi-github/blob/master/src/main/java/com/jcabi/github/Trees.java")</f>
        <v/>
      </c>
      <c r="D769" t="inlineStr">
        <is>
          <t>The code provided is an interface named Trees for interacting with GitHub's Tree API. This API allows interaction with tree objects in a repository on GitHub. The methods defined allow fetching of specific trees by their SHA (Secure Hash Algorithm), and creation of new ones based on parameters given to the method. It also provides recursive fetch functionality.
Note that this implementation</t>
        </is>
      </c>
      <c r="E769" t="n">
        <v>0.0035</v>
      </c>
      <c r="F769" t="n">
        <v>0.0563</v>
      </c>
      <c r="G769" t="n">
        <v>0.1119</v>
      </c>
      <c r="H769" t="inlineStr">
        <is>
          <t>The provided code is a Java interface for interacting with the GitHub Trees API. It provides methods to get specific trees by their SHA (Secure Hash Algorithm), and create new ones. The complexity of these operations are O(1) in best case scenario which means they take constant time regardless of input size.
The initial commit includes an SPDX license header indicating that this</t>
        </is>
      </c>
      <c r="I769" t="n">
        <v>0.0029</v>
      </c>
      <c r="J769" t="n">
        <v>0.0278</v>
      </c>
      <c r="K769" t="n">
        <v>0.0741</v>
      </c>
      <c r="L769" t="inlineStr">
        <is>
          <t>The provided code is a Java interface named `Trees` that interacts with the GitHub Trees API to manage and retrieve tree data from repositories on GitHub.
Here's an overview of its functionality: 
1. The purpose of this class seems to be managing git trees in a repository. It provides methods for getting specific trees by their SHA (Sec</t>
        </is>
      </c>
      <c r="M769" t="n">
        <v>0.0031</v>
      </c>
      <c r="N769" t="n">
        <v>0.0299</v>
      </c>
      <c r="O769" t="n">
        <v>0.0769</v>
      </c>
    </row>
    <row r="770">
      <c r="A770" t="inlineStr">
        <is>
          <t>jcabi</t>
        </is>
      </c>
      <c r="B770" t="inlineStr">
        <is>
          <t>src/main/java/com/jcabi/github/Repo.java</t>
        </is>
      </c>
      <c r="C770">
        <f>HYPERLINK("https://github.com/jcabi/jcabi-github/blob/master/src/main/java/com/jcabi/github/Repo.java")</f>
        <v/>
      </c>
      <c r="D770" t="inlineStr">
        <is>
          <t>The provided code is a Java interface named `Repo` that extends the interfaces `JsonReadable`, `JsonPatchable` and implements the `Comparable` interface for objects of type `Repo`. The purpose of this class seems to be managing GitHub repositories. It provides methods to get information about its owner (`getItsOwner()`), coordinates (`</t>
        </is>
      </c>
      <c r="E770" t="n">
        <v>0.0045</v>
      </c>
      <c r="F770" t="n">
        <v>0.0364</v>
      </c>
      <c r="G770" t="n">
        <v>0.125</v>
      </c>
      <c r="H770" t="inlineStr">
        <is>
          <t>The code provided is a Java interface named Repo that extends the JsonReadable and JsonPatchable interfaces from the jcabi-github library for interacting with GitHub repositories. The class has several methods to get information about its owner (getOwner), its coordinates (getCoordinates), and iterates over issues and milestones of the repository (iterateIssues, iterate</t>
        </is>
      </c>
      <c r="I770" t="n">
        <v>0.0036</v>
      </c>
      <c r="J770" t="n">
        <v>0.0333</v>
      </c>
      <c r="K770" t="n">
        <v>0.0407</v>
      </c>
      <c r="L770" t="inlineStr">
        <is>
          <t>The provided code is a Java interface named `Repo` that extends the interfaces `JsonReadable`, `JsonPatchable` and implements the `Comparable` interface for type `Repo`. 
It provides methods to get repository owner details (`getOwner()` returning `Github` object), coordinates of the repo (`getCoordinates()`</t>
        </is>
      </c>
      <c r="M770" t="n">
        <v>0.0055</v>
      </c>
      <c r="N770" t="n">
        <v>0.0417</v>
      </c>
      <c r="O770" t="n">
        <v>0.0893</v>
      </c>
    </row>
    <row r="771">
      <c r="A771" t="inlineStr">
        <is>
          <t>jcabi</t>
        </is>
      </c>
      <c r="B771" t="inlineStr">
        <is>
          <t>src/main/java/com/jcabi/github/GistComments.java</t>
        </is>
      </c>
      <c r="C771">
        <f>HYPERLINK("https://github.com/jcabi/jcabi-github/blob/master/src/main/java/com/jcabi/github/GistComments.java")</f>
        <v/>
      </c>
      <c r="D771" t="inlineStr">
        <is>
          <t>```plaintext
This code defines an interface `GistComments` for interacting with comments on a Github gist. It provides methods to get all the comments in a gist and post new ones. The implementation of these methods is not provided as it depends on specific details about how communication with GitHub API should be handled (e.g., making HTTP requests).</t>
        </is>
      </c>
      <c r="E771" t="n">
        <v>0.0038</v>
      </c>
      <c r="F771" t="n">
        <v>0.0606</v>
      </c>
      <c r="G771" t="n">
        <v>0.155</v>
      </c>
      <c r="H771" t="inlineStr">
        <is>
          <t>This code is a Java interface for interacting with GitHub Gist comments. It provides methods to get all the comments in a gist and post new ones. The complexity of these operations are O(n), where n represents the number of comments on the given Gist.
The `get` method retrieves a specific comment by its ID (number). 
The `g</t>
        </is>
      </c>
      <c r="I771" t="n">
        <v>0.0037</v>
      </c>
      <c r="J771" t="n">
        <v>0.0597</v>
      </c>
      <c r="K771" t="n">
        <v>0.1154</v>
      </c>
      <c r="L771" t="inlineStr">
        <is>
          <t>The provided code is a Java interface named GistComments that provides methods for interacting with comments on GitHub gists. The main purpose of this class seems to be accessing and manipulating the comments associated with specific gists. 
There are three key operations in place here - getting all comments from a particular gist (`get()` method), posting new comment to a g</t>
        </is>
      </c>
      <c r="M771" t="n">
        <v>0.003</v>
      </c>
      <c r="N771" t="n">
        <v>0.0588</v>
      </c>
      <c r="O771" t="n">
        <v>0.1128</v>
      </c>
    </row>
    <row r="772">
      <c r="A772" t="inlineStr">
        <is>
          <t>jcabi</t>
        </is>
      </c>
      <c r="B772" t="inlineStr">
        <is>
          <t>src/main/java/com/jcabi/github/RtReaction.java</t>
        </is>
      </c>
      <c r="C772">
        <f>HYPERLINK("https://github.com/jcabi/jcabi-github/blob/master/src/main/java/com/jcabi/github/RtReaction.java")</f>
        <v/>
      </c>
      <c r="D772" t="inlineStr">
        <is>
          <t>The provided code is a Java class named `RtReaction` that implements the interface `Reaction` from package com.jcabi.github. This class has one field called origin of type Reaction and it's final meaning its value can only be set during object creation or in constructor itself. The class also provides an implementation for method `type()` which returns either CONF</t>
        </is>
      </c>
      <c r="E772" t="n">
        <v>0.0042</v>
      </c>
      <c r="F772" t="n">
        <v>0.0588</v>
      </c>
      <c r="G772" t="n">
        <v>0.1163</v>
      </c>
      <c r="H772" t="inlineStr">
        <is>
          <t>The function provided is a simple addition operation in Python. It takes two parameters (`a` and `b`), adds them together, and returns the result. The time complexity of this function is O(1), meaning it performs a fixed number of operations regardless of the size of the input data.
Here's the code snippet for reference: 
```python</t>
        </is>
      </c>
      <c r="I772" t="n">
        <v>0.0033</v>
      </c>
      <c r="J772" t="n">
        <v>0.0615</v>
      </c>
      <c r="K772" t="n">
        <v>0.1181</v>
      </c>
      <c r="L772" t="inlineStr">
        <is>
          <t>ThegivenJava code is a class named "RtReaction" that implements an interface called "Reaction". This class has one field and two methods in it. The purpose of this class seems to be to decorate or wrap another Reaction object with additional functionality. 
It takes a Reaction as its constructor argument and stores it in the 'origin' variable. There are</t>
        </is>
      </c>
      <c r="M772" t="n">
        <v>0.0041</v>
      </c>
      <c r="N772" t="n">
        <v>0.09089999999999999</v>
      </c>
      <c r="O772" t="n">
        <v>0.1154</v>
      </c>
    </row>
    <row r="773">
      <c r="A773" t="inlineStr">
        <is>
          <t>jcabi</t>
        </is>
      </c>
      <c r="B773" t="inlineStr">
        <is>
          <t>src/main/java/com/jcabi/github/Comments.java</t>
        </is>
      </c>
      <c r="C773">
        <f>HYPERLINK("https://github.com/jcabi/jcabi-github/blob/master/src/main/java/com/jcabi/github/Comments.java")</f>
        <v/>
      </c>
      <c r="D773" t="inlineStr">
        <is>
          <t>The provided code defines an interface named "Comments". This interface is used to interact with all comments in a GitHub issue. It provides two methods - `get` and `iterateAll`. The method 'get' takes a number as input and returns the comment corresponding to that number from the issue. On the other hand, 'iterateAll' does not take any parameters but iter</t>
        </is>
      </c>
      <c r="E773" t="n">
        <v>0.0036</v>
      </c>
      <c r="F773" t="n">
        <v>0.0597</v>
      </c>
      <c r="G773" t="n">
        <v>0.1136</v>
      </c>
      <c r="H773" t="inlineStr">
        <is>
          <t>This code is a Java interface for interacting with GitHub issue comments. It provides methods to get an Issue object representing the issue these comments are associated with (`issue()`), to retrieve a specific comment by its number in the repository (`get(long number)`), and to iterate over all comments of the given issue (`iterateAll()`). The complexity of each</t>
        </is>
      </c>
      <c r="I773" t="n">
        <v>0.0038</v>
      </c>
      <c r="J773" t="n">
        <v>0.0606</v>
      </c>
      <c r="K773" t="n">
        <v>0.0775</v>
      </c>
      <c r="L773" t="inlineStr">
        <is>
          <t>```
Package com.jcabi.github provides an interface for accessing all comments in a GitHub issue. It uses the Issues Comments API to get access to individual comments and post new ones. The package is immutable which means its state cannot be changed once it has been set during initialization. This makes it thread safe and easy to use. 
Main functionality includes</t>
        </is>
      </c>
      <c r="M773" t="n">
        <v>0.004</v>
      </c>
      <c r="N773" t="n">
        <v>0.058</v>
      </c>
      <c r="O773" t="n">
        <v>0.1136</v>
      </c>
    </row>
    <row r="774">
      <c r="A774" t="inlineStr">
        <is>
          <t>jcabi</t>
        </is>
      </c>
      <c r="B774" t="inlineStr">
        <is>
          <t>src/main/java/com/jcabi/github/RtPagination.java</t>
        </is>
      </c>
      <c r="C774">
        <f>HYPERLINK("https://github.com/jcabi/jcabi-github/blob/master/src/main/java/com/jcabi/github/RtPagination.java")</f>
        <v/>
      </c>
      <c r="D774" t="inlineStr">
        <is>
          <t>The code provided is a Java class named `RtPagination` that implements the Iterable interface and serves as an iterator over multiple JSON objects returned by GitHub API endpoints such as notifications (using Notifications API). The purpose of this class is to handle paginated responses from GitHub's APIs efficiently. It uses Jcabi libraries for HTTP requests and Json processing which</t>
        </is>
      </c>
      <c r="E774" t="n">
        <v>0.0037</v>
      </c>
      <c r="F774" t="n">
        <v>0.0588</v>
      </c>
      <c r="G774" t="n">
        <v>0.1527</v>
      </c>
      <c r="H774" t="inlineStr">
        <is>
          <t>The provided code is a Java class named `RtPagination` that implements the Iterable interface and serves as an iterator over multiple JSON objects returned by GitHub API endpoints such as notifications (using Notifications API). The purpose of this class is to make paginating through these responses more convenient for developers. It does so by wrapping each response in a JsonObject and providing methods</t>
        </is>
      </c>
      <c r="I774" t="n">
        <v>0.0034</v>
      </c>
      <c r="J774" t="n">
        <v>0.0563</v>
      </c>
      <c r="K774" t="n">
        <v>0.1111</v>
      </c>
      <c r="L774" t="inlineStr">
        <is>
          <t>The code provided is a Java class named `RtPagination` that implements the Iterable interface for paginating through multiple JSON objects returned by GitHub API endpoints such as notifications (using Notifications API). The purpose of this class seems to be an efficient way to handle large amounts of data from APIs in a manageable and readable manner. 
It uses J</t>
        </is>
      </c>
      <c r="M774" t="n">
        <v>0.0037</v>
      </c>
      <c r="N774" t="n">
        <v>0.0597</v>
      </c>
      <c r="O774" t="n">
        <v>0.1527</v>
      </c>
    </row>
    <row r="775">
      <c r="A775" t="inlineStr">
        <is>
          <t>jcabi</t>
        </is>
      </c>
      <c r="B775" t="inlineStr">
        <is>
          <t>src/main/java/com/jcabi/github/RepositoryStatistics.java</t>
        </is>
      </c>
      <c r="C775">
        <f>HYPERLINK("https://github.com/jcabi/jcabi-github/blob/master/src/main/java/com/jcabi/github/RepositoryStatistics.java")</f>
        <v/>
      </c>
      <c r="D775" t="inlineStr">
        <is>
          <t>The provided code is a Java class named `RepositoryStatistics` that provides statistics for a GitHub repository. The constructor takes in the repository object and stores it as an instance variable. There are two methods defined within this class - one to convert all of these statistics into a map (which can be used easily when performing operations on data), and another method which fetches JSON from the given repository using</t>
        </is>
      </c>
      <c r="E775" t="n">
        <v>0.0026</v>
      </c>
      <c r="F775" t="n">
        <v>0.0519</v>
      </c>
      <c r="G775" t="n">
        <v>0.1056</v>
      </c>
      <c r="H775" t="inlineStr">
        <is>
          <t>The provided code is a Java class named `RepositoryStatistics` that provides statistics for a GitHub repository. The constructor of this class takes in a `repositoryRepository` object and stores it as an instance variable. There are two methods defined within the class:
1. `toMap(): Map&lt;String, Object&gt;` - This method retrieves all statistics about the stored repository as a</t>
        </is>
      </c>
      <c r="I775" t="n">
        <v>0.0038</v>
      </c>
      <c r="J775" t="n">
        <v>0.0615</v>
      </c>
      <c r="K775" t="n">
        <v>0.0775</v>
      </c>
      <c r="L775" t="inlineStr">
        <is>
          <t>The provided code is a Java class named "RepositoryStatistics". This class has one private final field called 'repo' of type Repository and it represents the repository for which statistics are being gathered. The class provides a public constructor that takes in an instance of the 'Repository' class as its parameter. 
The main functionality of this class revolves around gathering various statistical data about the</t>
        </is>
      </c>
      <c r="M775" t="n">
        <v>0.0037</v>
      </c>
      <c r="N775" t="n">
        <v>0.0556</v>
      </c>
      <c r="O775" t="n">
        <v>0.1103</v>
      </c>
    </row>
    <row r="776">
      <c r="A776" t="inlineStr">
        <is>
          <t>jcabi</t>
        </is>
      </c>
      <c r="B776" t="inlineStr">
        <is>
          <t>src/main/java/com/jcabi/github/RtPullComment.java</t>
        </is>
      </c>
      <c r="C776">
        <f>HYPERLINK("https://github.com/jcabi/jcabi-github/blob/master/src/main/java/com/jcabi/github/RtPullComment.java")</f>
        <v/>
      </c>
      <c r="D776" t="inlineStr">
        <is>
          <t>The code provided is a Java class named `RtPullComment` which implements the interface `PullComment` from package `com.jcabi.github`. This class represents a GitHub pull request comment and provides functionality for interacting with it via RESTful API requests.
It has three private fields - an instance of `Request` (representing the HTTP request</t>
        </is>
      </c>
      <c r="E776" t="n">
        <v>0.0052</v>
      </c>
      <c r="F776" t="n">
        <v>0.0678</v>
      </c>
      <c r="G776" t="n">
        <v>0.1639</v>
      </c>
      <c r="H776" t="inlineStr">
        <is>
          <t>ThegivencodeisacomplexJavaapplicationthatinteractswithGitHubAPIusingJCABIlibrarytofetchinformationaboutpullcomments.ItusesvariousdesignpatternslikeSingleton,FactoryMethod,LazyLoadingetc.,amongotherfeatures.Also,itincludesunitandintegrationtestsforensuringcorrectnessoftheimplementedlogic.Thecomplexityofthisapp</t>
        </is>
      </c>
      <c r="I776" t="n">
        <v>0</v>
      </c>
      <c r="J776" t="n">
        <v>0</v>
      </c>
      <c r="K776" t="n">
        <v>0</v>
      </c>
      <c r="L776" t="inlineStr">
        <is>
          <t>The provided code is a Java class named `RtPullComment` that implements the interface `PullComment` from JCabi library for GitHub API interaction. This class represents a comment on a pull request made by an individual user or organization in a repository owned by another user or organization.
It has four private fields: 
1. A RESTful Request</t>
        </is>
      </c>
      <c r="M776" t="n">
        <v>0.004</v>
      </c>
      <c r="N776" t="n">
        <v>0.0317</v>
      </c>
      <c r="O776" t="n">
        <v>0.07870000000000001</v>
      </c>
    </row>
    <row r="777">
      <c r="A777" t="inlineStr">
        <is>
          <t>jcabi</t>
        </is>
      </c>
      <c r="B777" t="inlineStr">
        <is>
          <t>src/main/java/com/jcabi/github/Users.java</t>
        </is>
      </c>
      <c r="C777">
        <f>HYPERLINK("https://github.com/jcabi/jcabi-github/blob/master/src/main/java/com/jcabi/github/Users.java")</f>
        <v/>
      </c>
      <c r="D777" t="inlineStr">
        <is>
          <t>```java
// SPDX-FileCopyrightText: Copyright (c) 2013-2026 Yegor Bugayenko
// SPDX-License-Identifier: MIT
package com.jcabi.github;
import com.jcabi.aspects.Immutable;
/**
 *</t>
        </is>
      </c>
      <c r="E777" t="n">
        <v>0</v>
      </c>
      <c r="F777" t="n">
        <v>0</v>
      </c>
      <c r="G777" t="n">
        <v>0</v>
      </c>
      <c r="H777" t="inlineStr">
        <is>
          <t>ThisisacodeforaddingtwointegerstogetherusingJava8featureslikelambdasandstreams.ItusesJCABIlibrarieswhichallowcommunicationwithGithubAPIs.FunctionalityincludesretrievalofinformationaboutGithubusersincludingtheirlogins. ThecomplexityofthisoperationisconstanttimeO(1),meaningthatthetimetakendoesnotincre</t>
        </is>
      </c>
      <c r="I777" t="n">
        <v>0</v>
      </c>
      <c r="J777" t="n">
        <v>0</v>
      </c>
      <c r="K777" t="n">
        <v>0</v>
      </c>
      <c r="L777" t="inlineStr">
        <is>
          <t>The provided code is a Java interface named `Users` that defines several methods for interacting with the GitHub Users API. 
 This interface has four main operations defined: getting information about the currently authenticated user (self), getting another user by login name using the get method, adding a new user to the system via an add method, and iterating over all users starting from</t>
        </is>
      </c>
      <c r="M777" t="n">
        <v>0.0034</v>
      </c>
      <c r="N777" t="n">
        <v>0.0563</v>
      </c>
      <c r="O777" t="n">
        <v>0.1111</v>
      </c>
    </row>
    <row r="778">
      <c r="A778" t="inlineStr">
        <is>
          <t>jcabi</t>
        </is>
      </c>
      <c r="B778" t="inlineStr">
        <is>
          <t>src/main/java/com/jcabi/github/JsonReadable.java</t>
        </is>
      </c>
      <c r="C778">
        <f>HYPERLINK("https://github.com/jcabi/jcabi-github/blob/master/src/main/java/com/jcabi/github/JsonReadable.java")</f>
        <v/>
      </c>
      <c r="D778" t="inlineStr">
        <is>
          <t>The provided code is a Java interface named JsonReadable that describes the functionality of an object being able to be converted into a JSON object. The method json returns a JsonObject and throws IOException if there's any I/O problem. It is annotated with @Immutable which means it can't change after initialization.
It seems like this piece of software is part of some</t>
        </is>
      </c>
      <c r="E778" t="n">
        <v>0.0039</v>
      </c>
      <c r="F778" t="n">
        <v>0.0548</v>
      </c>
      <c r="G778" t="n">
        <v>0.1493</v>
      </c>
      <c r="H778" t="inlineStr">
        <is>
          <t>The function `add` in the provided code is a simple addition operation that takes two numbers as arguments and returns their sum. The time complexity of this function is O(1), indicating it performs a constant number of operations regardless of input size.
In the README file, there's information about the repository containing backend software components. It also mentions implementation of core algorithms.</t>
        </is>
      </c>
      <c r="I778" t="n">
        <v>0.0039</v>
      </c>
      <c r="J778" t="n">
        <v>0.1111</v>
      </c>
      <c r="K778" t="n">
        <v>0.2239</v>
      </c>
      <c r="L778" t="inlineStr">
        <is>
          <t>The provided code is a Java interface named `JsonReadable` that describes the functionality of an object being read as JSON (JavaScript Object Notation). The purpose of this class or interface seems to be related to interacting with GitHub's API and handling responses in JSON format. 
It defines one method called `json()` which returns a JsonObject representing the current instance and</t>
        </is>
      </c>
      <c r="M778" t="n">
        <v>0.0036</v>
      </c>
      <c r="N778" t="n">
        <v>0.058</v>
      </c>
      <c r="O778" t="n">
        <v>0.1136</v>
      </c>
    </row>
    <row r="779">
      <c r="A779" t="inlineStr">
        <is>
          <t>jcabi</t>
        </is>
      </c>
      <c r="B779" t="inlineStr">
        <is>
          <t>src/main/java/com/jcabi/github/RtHook.java</t>
        </is>
      </c>
      <c r="C779">
        <f>HYPERLINK("https://github.com/jcabi/jcabi-github/blob/master/src/main/java/com/jcabi/github/RtHook.java")</f>
        <v/>
      </c>
      <c r="D779" t="inlineStr">
        <is>
          <t>The code you provided is a Java class named `RtHook` that implements the interface `Hook` from the package `com.jcabi.github`. This class represents a GitHub hook triggered by a RESTful request to a specific repository and issue number. The constructor takes three parameters: a `Request` object representing the RESTful request, an owner of the repository (</t>
        </is>
      </c>
      <c r="E779" t="n">
        <v>0.0044</v>
      </c>
      <c r="F779" t="n">
        <v>0.0625</v>
      </c>
      <c r="G779" t="n">
        <v>0.1181</v>
      </c>
      <c r="H779" t="inlineStr">
        <is>
          <t>```python
# This repository contains backend software components. 
# Implementation of core algorithms is present in this code base.
# Initial code base commit - https://github.com/username/projectname/commit/{hash}
# Code size - 1000 lines
```
The function `add` takes two numbers as arguments and returns their sum.</t>
        </is>
      </c>
      <c r="I779" t="n">
        <v>0.0058</v>
      </c>
      <c r="J779" t="n">
        <v>0.2308</v>
      </c>
      <c r="K779" t="n">
        <v>0.2564</v>
      </c>
      <c r="L779" t="inlineStr">
        <is>
          <t>The provided code is a Java class named `RtHook` that implements the interface `Hook` from package `com.jcabi.github`. This class represents a hook for GitHub issues and provides functionality to manage them. It takes three parameters in its constructor - an HTTP request object (representing RESTful communication with GitHub API), repository owner details, and issue number.</t>
        </is>
      </c>
      <c r="M779" t="n">
        <v>0.0047</v>
      </c>
      <c r="N779" t="n">
        <v>0.09379999999999999</v>
      </c>
      <c r="O779" t="n">
        <v>0.1575</v>
      </c>
    </row>
    <row r="780">
      <c r="A780" t="inlineStr">
        <is>
          <t>jcabi</t>
        </is>
      </c>
      <c r="B780" t="inlineStr">
        <is>
          <t>src/main/java/com/jcabi/github/Checks.java</t>
        </is>
      </c>
      <c r="C780">
        <f>HYPERLINK("https://github.com/jcabi/jcabi-github/blob/master/src/main/java/com/jcabi/github/Checks.java")</f>
        <v/>
      </c>
      <c r="D780" t="inlineStr">
        <is>
          <t>The provided code is a Java interface named Checks that extends from com.jcabi.github package. This interface provides functionality to interact with GitHub's Check Runs API. It has one method all(), which retrieves and returns all checks as a Collection of objects implementing the Check interface. If there are any I/O problems during this operation, an IOException will be thrown. The</t>
        </is>
      </c>
      <c r="E780" t="n">
        <v>0.004</v>
      </c>
      <c r="F780" t="n">
        <v>0.0833</v>
      </c>
      <c r="G780" t="n">
        <v>0.1515</v>
      </c>
      <c r="H780" t="inlineStr">
        <is>
          <t>The function `add` in the provided code is a simple addition operation that takes two numbers as arguments and returns their sum. The functionality of this code can be summarized by stating it performs basic arithmetic operations which include addition. It operates with time complexity O(1), meaning its performance does not increase with an increasing input size.
In the README file, there's information</t>
        </is>
      </c>
      <c r="I780" t="n">
        <v>0.0034</v>
      </c>
      <c r="J780" t="n">
        <v>0.0548</v>
      </c>
      <c r="K780" t="n">
        <v>0.1111</v>
      </c>
      <c r="L780" t="inlineStr">
        <is>
          <t>The provided code is a Java interface named `Checks` that represents the GitHub Checks API. This interface provides one method to get all checks from a repository on GitHub via its RESTful API endpoint for Check Runs. The purpose of this class is to retrieve and manage check runs in a software development context. It uses an abstraction layer over HTTP requests towards the GitHub'</t>
        </is>
      </c>
      <c r="M780" t="n">
        <v>0.0037</v>
      </c>
      <c r="N780" t="n">
        <v>0.0548</v>
      </c>
      <c r="O780" t="n">
        <v>0.146</v>
      </c>
    </row>
    <row r="781">
      <c r="A781" t="inlineStr">
        <is>
          <t>jcabi</t>
        </is>
      </c>
      <c r="B781" t="inlineStr">
        <is>
          <t>src/main/java/com/jcabi/github/Comment.java</t>
        </is>
      </c>
      <c r="C781">
        <f>HYPERLINK("https://github.com/jcabi/jcabi-github/blob/master/src/main/java/com/jcabi/github/Comment.java")</f>
        <v/>
      </c>
      <c r="D781" t="inlineStr">
        <is>
          <t>The provided code is a Java class named GitHubIssueComment that implements the JsonReadable interface from jcabi-github library for reading issue comments in JSON format from GitHub API. The comment can be retrieved with its full details and then accessed to get specific elements such as author's login name using decorators like @ToString or @EqualsAndHashCode from Lombok framework</t>
        </is>
      </c>
      <c r="E781" t="n">
        <v>0.0038</v>
      </c>
      <c r="F781" t="n">
        <v>0.0597</v>
      </c>
      <c r="G781" t="n">
        <v>0.1163</v>
      </c>
      <c r="H781" t="inlineStr">
        <is>
          <t>The function provided is a simple addition operation between two numbers 'a' and 'b'. It returns the sum of these two inputs. The time complexity of this function is O(1), meaning it performs a constant number of operations regardless of input size.
In terms of functionality, it takes in two parameters (numbers or variables representing numbers), adds them together using the standard arithmetic</t>
        </is>
      </c>
      <c r="I781" t="n">
        <v>0.0029</v>
      </c>
      <c r="J781" t="n">
        <v>0.0556</v>
      </c>
      <c r="K781" t="n">
        <v>0.1481</v>
      </c>
      <c r="L781" t="inlineStr">
        <is>
          <t>The provided code is a Java class named `GitHubIssueComment` that implements the interface `JsonReadable` and serves as an abstraction for GitHub issue comments. The purpose of this class seems to be to provide methods for reading JSON objects related to these issues in a structured way. 
It uses several external libraries including JCabi (Java Content Analysis</t>
        </is>
      </c>
      <c r="M781" t="n">
        <v>0.0039</v>
      </c>
      <c r="N781" t="n">
        <v>0.0625</v>
      </c>
      <c r="O781" t="n">
        <v>0.1563</v>
      </c>
    </row>
    <row r="782">
      <c r="A782" t="inlineStr">
        <is>
          <t>jcabi</t>
        </is>
      </c>
      <c r="B782" t="inlineStr">
        <is>
          <t>src/main/java/com/jcabi/github/Tag.java</t>
        </is>
      </c>
      <c r="C782">
        <f>HYPERLINK("https://github.com/jcabi/jcabi-github/blob/master/src/main/java/com/jcabi/github/Tag.java")</f>
        <v/>
      </c>
      <c r="D782" t="inlineStr">
        <is>
          <t>The code provided is an interface named `Tage` in the package `com.jcabi.github` of a GitHub API client library for Java. This interface extends from `JsonReadable` and it's marked as immutable to ensure its state cannot be changed after initialization. The interface defines two methods - `repo()` and `key()` which return respective details about</t>
        </is>
      </c>
      <c r="E782" t="n">
        <v>0.0041</v>
      </c>
      <c r="F782" t="n">
        <v>0.0635</v>
      </c>
      <c r="G782" t="n">
        <v>0.08</v>
      </c>
      <c r="H782" t="inlineStr">
        <is>
          <t>The provided code is a Java interface named "Tagextends JsonReadable". This interface has two methods - one for getting the repository ("repo") and another for getting the key (which seems to be SHA). The complexity of this function appears to be O(1), as it performs constant time operations regardless of input size. It's designed in such way that once data is set</t>
        </is>
      </c>
      <c r="I782" t="n">
        <v>0.0035</v>
      </c>
      <c r="J782" t="n">
        <v>0.0563</v>
      </c>
      <c r="K782" t="n">
        <v>0.1119</v>
      </c>
      <c r="L782" t="inlineStr">
        <is>
          <t>The provided code is a Java interface named `TagextendsJsonReadable` which represents the tag of Git data on GitHub. The purpose of this class is to provide accessors for its owner repository and SHA (Secure Hash Algorithm). This information can be read in JSON format from an instance of this class. It has two methods - `repo()` that returns the name of</t>
        </is>
      </c>
      <c r="M782" t="n">
        <v>0.0036</v>
      </c>
      <c r="N782" t="n">
        <v>0.0588</v>
      </c>
      <c r="O782" t="n">
        <v>0.0752</v>
      </c>
    </row>
    <row r="783">
      <c r="A783" t="inlineStr">
        <is>
          <t>jcabi</t>
        </is>
      </c>
      <c r="B783" t="inlineStr">
        <is>
          <t>src/main/java/com/jcabi/github/CommitsComparison.java</t>
        </is>
      </c>
      <c r="C783">
        <f>HYPERLINK("https://github.com/jcabi/jcabi-github/blob/master/src/main/java/com/jcabi/github/CommitsComparison.java")</f>
        <v/>
      </c>
      <c r="D783" t="inlineStr">
        <is>
          <t>The provided code is a Java interface named `CommitsComparison` that extends the `JsonReadable` class from the JCabi library for GitHub API interaction. This interface provides methods to get parent repository of commits and iterate over file changes between two compared commits. The implementation of core algorithms related to this functionality has been given in comments but not shown here. It also appears to</t>
        </is>
      </c>
      <c r="E783" t="n">
        <v>0.0041</v>
      </c>
      <c r="F783" t="n">
        <v>0.1127</v>
      </c>
      <c r="G783" t="n">
        <v>0.1852</v>
      </c>
      <c r="H783" t="inlineStr">
        <is>
          <t>The provided code is a Java interface for comparing two commits in GitHub using their API. It defines methods to get the parent repository of the commits and iterate over the file changes between them. The complexity is O(N), where N represents the number of files changed between the two commits.
It also contains comments explaining what each method does as well as some general information</t>
        </is>
      </c>
      <c r="I783" t="n">
        <v>0.0028</v>
      </c>
      <c r="J783" t="n">
        <v>0.0267</v>
      </c>
      <c r="K783" t="n">
        <v>0.0725</v>
      </c>
      <c r="L783" t="inlineStr">
        <is>
          <t>The provided code is a Java interface named `CommitsComparison` that extends the `JsonReadable` class from JCabi library for GitHub API interactions. This interface provides methods to get parent repository of commits and iterates over file changes between two compared commits in Github repositories. The main purpose of this code seems to be comparing differences (i.e., file changes)</t>
        </is>
      </c>
      <c r="M783" t="n">
        <v>0.0038</v>
      </c>
      <c r="N783" t="n">
        <v>0.0606</v>
      </c>
      <c r="O783" t="n">
        <v>0.0775</v>
      </c>
    </row>
    <row r="784">
      <c r="A784" t="inlineStr">
        <is>
          <t>jcabi</t>
        </is>
      </c>
      <c r="B784" t="inlineStr">
        <is>
          <t>src/main/java/com/jcabi/github/UserOrganizations.java</t>
        </is>
      </c>
      <c r="C784">
        <f>HYPERLINK("https://github.com/jcabi/jcabi-github/blob/master/src/main/java/com/jcabi/github/UserOrganizations.java")</f>
        <v/>
      </c>
      <c r="D784" t="inlineStr">
        <is>
          <t>The provided code is a Java interface named `UserOrganizations` that interacts with the GitHub API to fetch and iterate over an organization list of a particular user. The functionality includes fetching details about the owner (user), returning the GitHub instance, and iterating through all organizations associated with the authenticated user or unauthenticated users via the GitHub API. If there are</t>
        </is>
      </c>
      <c r="E784" t="n">
        <v>0.0036</v>
      </c>
      <c r="F784" t="n">
        <v>0.0588</v>
      </c>
      <c r="G784" t="n">
        <v>0.07580000000000001</v>
      </c>
      <c r="H784" t="inlineStr">
        <is>
          <t>The provided code is a Java interface for interacting with GitHub Organizations API. The main functionality of the class includes fetching an instance of `GitHub` and `User` objects representing the owner of the organization, as well as iterating over all organizations associated with that user account. It also has methods to handle exceptions related to I/O operations. This summary does not repeat any code</t>
        </is>
      </c>
      <c r="I784" t="n">
        <v>0.0037</v>
      </c>
      <c r="J784" t="n">
        <v>0.0548</v>
      </c>
      <c r="K784" t="n">
        <v>0.1103</v>
      </c>
      <c r="L784" t="inlineStr">
        <is>
          <t>The provided code is a Java interface named `UserOrganizations` that interacts with the GitHub API to fetch and iterate over organizations of a particular user. The main purpose of this class is to provide an abstraction for interacting with organization data on GitHub. It does so by returning instances of the `GitHub` and `User` classes representing the respective repositories and users respectively</t>
        </is>
      </c>
      <c r="M784" t="n">
        <v>0.0029</v>
      </c>
      <c r="N784" t="n">
        <v>0.0571</v>
      </c>
      <c r="O784" t="n">
        <v>0.0746</v>
      </c>
    </row>
    <row r="785">
      <c r="A785" t="inlineStr">
        <is>
          <t>jcabi</t>
        </is>
      </c>
      <c r="B785" t="inlineStr">
        <is>
          <t>src/main/java/com/jcabi/github/Gist.java</t>
        </is>
      </c>
      <c r="C785">
        <f>HYPERLINK("https://github.com/jcabi/jcabi-github/blob/master/src/main/java/com/jcabi/github/Gist.java")</f>
        <v/>
      </c>
      <c r="D785" t="inlineStr">
        <is>
          <t>The provided code is a Java interface named `Gist` that extends the interfaces `JsonReadable` and `JsonPatchable` from JCabi library for GitHub API interaction. 
It defines several methods related to Github gist operations such as getting the identifier of a gist or reading file content from it. The class also has annotations like @Immutable</t>
        </is>
      </c>
      <c r="E785" t="n">
        <v>0.0035</v>
      </c>
      <c r="F785" t="n">
        <v>0.0328</v>
      </c>
      <c r="G785" t="n">
        <v>0.08</v>
      </c>
      <c r="H785" t="inlineStr">
        <is>
          <t>The provided code is a Java interface for interacting with GitHub Gists API. It defines methods to get the gist identifier and read file content from it. The complexity of these operations are O(1), as they do not involve any loops or recursive calls that scale with input size.
Here is an example summary of this code: 
```plaintext
Title:</t>
        </is>
      </c>
      <c r="I785" t="n">
        <v>0.0031</v>
      </c>
      <c r="J785" t="n">
        <v>0.0294</v>
      </c>
      <c r="K785" t="n">
        <v>0.1145</v>
      </c>
      <c r="L785" t="inlineStr">
        <is>
          <t>r.github.com/v3/gists/#get-a-single-gist"&gt;Gists API - Get a single gist&lt;/a&gt;*/JsonValuefiles(@NotNull String name);}
``` 
The code summary is as follows: This Java package provides an interface for interacting with the GitHub Gists API. The main purpose of this class</t>
        </is>
      </c>
      <c r="M785" t="n">
        <v>0.0053</v>
      </c>
      <c r="N785" t="n">
        <v>0.0377</v>
      </c>
      <c r="O785" t="n">
        <v>0.0935</v>
      </c>
    </row>
    <row r="786">
      <c r="A786" t="inlineStr">
        <is>
          <t>jcabi</t>
        </is>
      </c>
      <c r="B786" t="inlineStr">
        <is>
          <t>src/main/java/com/jcabi/github/UserEmails.java</t>
        </is>
      </c>
      <c r="C786">
        <f>HYPERLINK("https://github.com/jcabi/jcabi-github/blob/master/src/main/java/com/jcabi/github/UserEmails.java")</f>
        <v/>
      </c>
      <c r="D786" t="inlineStr">
        <is>
          <t>The provided code is an interface named UserEmails that extends JsonReadable and has three methods for managing user emails on GitHub. The first method iterates over all the user's emails while the second one adds new emails to a list and returns them after adding. The third method removes certain emails from the list of user's emails. All these operations are performed using HTTP requests which can</t>
        </is>
      </c>
      <c r="E786" t="n">
        <v>0.0027</v>
      </c>
      <c r="F786" t="n">
        <v>0.026</v>
      </c>
      <c r="G786" t="n">
        <v>0.07190000000000001</v>
      </c>
      <c r="H786" t="inlineStr">
        <is>
          <t>The function `add` is a simple addition operation that takes two parameters (numbers), adds them together and returns the result. The time complexity of this function is O(1).
Here are some examples on how to use it:
```python
print(add(5, 4)) # Output: 9
print(add(-2, 3)) # Output</t>
        </is>
      </c>
      <c r="I786" t="n">
        <v>0.0039</v>
      </c>
      <c r="J786" t="n">
        <v>0.06900000000000001</v>
      </c>
      <c r="K786" t="n">
        <v>0.1261</v>
      </c>
      <c r="L786" t="inlineStr">
        <is>
          <t>The provided code is an interface named UserEmailses that extends JsonReadable and provides methods for managing emails of a user on GitHub. The main purpose of this class seems to be handling the email addresses associated with a specific user account on GitHub via CRUD operations (Create, Read, Update, Delete). It uses JCabi library which allows interaction with various services including GitHub through Java</t>
        </is>
      </c>
      <c r="M786" t="n">
        <v>0.0028</v>
      </c>
      <c r="N786" t="n">
        <v>0.0278</v>
      </c>
      <c r="O786" t="n">
        <v>0.1103</v>
      </c>
    </row>
    <row r="787">
      <c r="A787" t="inlineStr">
        <is>
          <t>jcabi</t>
        </is>
      </c>
      <c r="B787" t="inlineStr">
        <is>
          <t>src/main/java/com/jcabi/github/IssueLabels.java</t>
        </is>
      </c>
      <c r="C787">
        <f>HYPERLINK("https://github.com/jcabi/jcabi-github/blob/master/src/main/java/com/jcabi/github/IssueLabels.java")</f>
        <v/>
      </c>
      <c r="D787" t="inlineStr">
        <is>
          <t>```plaintext
This code defines an interface named `IssueLabels` that represents the labels of a GitHub issue. It provides methods to retrieve and modify these labels through the GitHub API. The implementation is immutable (unchangeable after creation), has logging capabilities, and uses Lombok for boilerplate code generation such as getters, setters,</t>
        </is>
      </c>
      <c r="E787" t="n">
        <v>0.0044</v>
      </c>
      <c r="F787" t="n">
        <v>0.1034</v>
      </c>
      <c r="G787" t="n">
        <v>0.1639</v>
      </c>
      <c r="H787" t="inlineStr">
        <is>
          <t>```python
def add(a, b):
    """
    This function takes two numbers as arguments and returns their sum. 
    Parameters:
        a (int or float): The first number to be added.
        b (int or float): The second number to be added.
    Returns:
        int or float:</t>
        </is>
      </c>
      <c r="I787" t="n">
        <v>0.0054</v>
      </c>
      <c r="J787" t="n">
        <v>0.1224</v>
      </c>
      <c r="K787" t="n">
        <v>0.1327</v>
      </c>
      <c r="L787" t="inlineStr">
        <is>
          <t>```python
class IssueLabels:
    def __init__(self):
        self._labels = []  # list to store labels for an issue
    @property
    def issue(self):
        return "Return the issue we are in."
    def add(self, labels):  
        """ Add new labels to the</t>
        </is>
      </c>
      <c r="M787" t="n">
        <v>0</v>
      </c>
      <c r="N787" t="n">
        <v>0</v>
      </c>
      <c r="O787" t="n">
        <v>0</v>
      </c>
    </row>
    <row r="788">
      <c r="A788" t="inlineStr">
        <is>
          <t>jcabi</t>
        </is>
      </c>
      <c r="B788" t="inlineStr">
        <is>
          <t>src/main/java/com/jcabi/github/Fork.java</t>
        </is>
      </c>
      <c r="C788">
        <f>HYPERLINK("https://github.com/jcabi/jcabi-github/blob/master/src/main/java/com/jcabi/github/Fork.java")</f>
        <v/>
      </c>
      <c r="D788" t="inlineStr">
        <is>
          <t>The provided code is a Java interface named `Forkextends JsonReadable, JsonPatchable` from the package `com.jcabi.github`. This interface represents GitHub's Forks API which allows interaction with forked repositories on GitHub. It has one method `number()` that returns an integer representing the id of the Fork. There is also</t>
        </is>
      </c>
      <c r="E788" t="n">
        <v>0.0039</v>
      </c>
      <c r="F788" t="n">
        <v>0.0345</v>
      </c>
      <c r="G788" t="n">
        <v>0.042</v>
      </c>
      <c r="H788" t="inlineStr">
        <is>
          <t>The provided code is a Java implementation of the GitHub Forks API interface 'Fork'. It defines methods for getting and manipulating fork information from a repository on GitHub. The complexity of this function is O(1), as it performs constant time operations regardless of input size. 
It also includes an immutable class 'Smart' that implements the Fork interface with additional</t>
        </is>
      </c>
      <c r="I788" t="n">
        <v>0.0037</v>
      </c>
      <c r="J788" t="n">
        <v>0.0588</v>
      </c>
      <c r="K788" t="n">
        <v>0.1527</v>
      </c>
      <c r="L788" t="inlineStr">
        <is>
          <t>The provided code is a Java interface named `Forkextends JsonReadable, JsonPatchable` in the package `com.jcabi.github` that represents a GitHub fork of a repository. This interface has one method `number()` which returns an integer representing the id of the fork. The class `Smartimplements Fork` encapsulates this functionality and</t>
        </is>
      </c>
      <c r="M788" t="n">
        <v>0.0091</v>
      </c>
      <c r="N788" t="n">
        <v>0.1053</v>
      </c>
      <c r="O788" t="n">
        <v>0.2148</v>
      </c>
    </row>
    <row r="789">
      <c r="A789" t="inlineStr">
        <is>
          <t>jcabi</t>
        </is>
      </c>
      <c r="B789" t="inlineStr">
        <is>
          <t>src/main/java/com/jcabi/github/RtGists.java</t>
        </is>
      </c>
      <c r="C789">
        <f>HYPERLINK("https://github.com/jcabi/jcabi-github/blob/master/src/main/java/com/jcabi/github/RtGists.java")</f>
        <v/>
      </c>
      <c r="D789" t="inlineStr">
        <is>
          <t>ThegivenJava code is a part of the GitHub API client library for Java named "JCabi". It defines an immutable class `RtGists` that implements the Gists interface from JCabi and provides methods to interact with GitHub's gist functionality. The class has two fields - 'ghub', which represents the GitHub instance, and 'request', representing</t>
        </is>
      </c>
      <c r="E789" t="n">
        <v>0.0042</v>
      </c>
      <c r="F789" t="n">
        <v>0.1</v>
      </c>
      <c r="G789" t="n">
        <v>0.1613</v>
      </c>
      <c r="H789" t="inlineStr">
        <is>
          <t>Yourconcisesummaryis:"ThegivenJava8coderepresentsabackupsoftwarecomponentforagithubaccountthatperformsoperationsrelatedtoapigistscreation."
# Task 4 - Code Review (Pair Programming Session)
## Pair Programming Exercise
In this exercise you will write a simple Java program that uses the GitHub</t>
        </is>
      </c>
      <c r="I789" t="n">
        <v>0</v>
      </c>
      <c r="J789" t="n">
        <v>0.0588</v>
      </c>
      <c r="K789" t="n">
        <v>0.1</v>
      </c>
      <c r="L789" t="inlineStr">
        <is>
          <t>Thegivencodeisafinalclassnamed'RtGists'.ItappearsintobeingusedforinteractingwiththeGitHubAPIspecificallyrelatedtothehandlingoffilesknownas'gists',usingJCabiHTTPlibraryforthecommunication. Theclasshasbeenmarkedasimmutablewhichmeansthatonceinitializedpropertiescannotbedirectlychanged.</t>
        </is>
      </c>
      <c r="M789" t="n">
        <v>0</v>
      </c>
      <c r="N789" t="n">
        <v>0</v>
      </c>
      <c r="O789" t="n">
        <v>0</v>
      </c>
    </row>
    <row r="790">
      <c r="A790" t="inlineStr">
        <is>
          <t>jcabi</t>
        </is>
      </c>
      <c r="B790" t="inlineStr">
        <is>
          <t>src/main/java/com/jcabi/github/ThreadSubscription.java</t>
        </is>
      </c>
      <c r="C790">
        <f>HYPERLINK("https://github.com/jcabi/jcabi-github/blob/master/src/main/java/com/jcabi/github/ThreadSubscription.java")</f>
        <v/>
      </c>
      <c r="D790" t="inlineStr">
        <is>
          <t>The code provided is a Java interface named `ThreadSubscription` which encapsulates data from the response of GitHub Notification API's get and set subscription calls. The class provides properties such as subscribed (Boolean), ignored (Boolean), created at date (Date), url (String), thread URL (String). It also contains comments about its implementation and complexity.
Please note</t>
        </is>
      </c>
      <c r="E790" t="n">
        <v>0.0034</v>
      </c>
      <c r="F790" t="n">
        <v>0.0635</v>
      </c>
      <c r="G790" t="n">
        <v>0.0794</v>
      </c>
      <c r="H790" t="inlineStr">
        <is>
          <t>```python
import requests
import json
def get_user_repos(username):
    response = requests.get('https://api.github.com/users/{username}/repos'.format(username=username))
    if response.status_code == 200:
        return json.loads(response.text)</t>
        </is>
      </c>
      <c r="I790" t="n">
        <v>0</v>
      </c>
      <c r="J790" t="n">
        <v>0</v>
      </c>
      <c r="K790" t="n">
        <v>0</v>
      </c>
      <c r="L790" t="inlineStr">
        <is>
          <t>ThegivenJavacoderepresentsanencapsulationofdatathroughoutheresponseforagithubnotificationapi.ItusesTwitterBootstrapclassesforthesocialmediaplugin.
import com.google.common.collect.Iterables;import org.apache.commons.lang3.builder.*;import java.util.*;import javax.annotation.*;...//rest</t>
        </is>
      </c>
      <c r="M790" t="n">
        <v>0</v>
      </c>
      <c r="N790" t="n">
        <v>0</v>
      </c>
      <c r="O790" t="n">
        <v>0</v>
      </c>
    </row>
    <row r="791">
      <c r="A791" t="inlineStr">
        <is>
          <t>jcabi</t>
        </is>
      </c>
      <c r="B791" t="inlineStr">
        <is>
          <t>src/main/java/com/jcabi/github/Reaction.java</t>
        </is>
      </c>
      <c r="C791">
        <f>HYPERLINK("https://github.com/jcabi/jcabi-github/blob/master/src/main/java/com/jcabi/github/Reaction.java")</f>
        <v/>
      </c>
      <c r="D791" t="inlineStr">
        <is>
          <t>The provided code defines an interface named `Reaction` that represents reactions to issues or comments on GitHub via the API. 
 It has four constants representing different types of reactions - thumbs up (represented by "+1"), thumbs down ("-1"), laughs and confuses ("confused"). This interface is used for adding reaction support to elements like</t>
        </is>
      </c>
      <c r="E791" t="n">
        <v>0.0041</v>
      </c>
      <c r="F791" t="n">
        <v>0.0333</v>
      </c>
      <c r="G791" t="n">
        <v>0.12</v>
      </c>
      <c r="H791" t="inlineStr">
        <is>
          <t>The functionality of the provided code is to add two numbers together and return their sum. The time complexity of this function is O(1), meaning it performs a fixed number of operations regardless of input size. It does not repeat any code or provide an unnecessary summary.
    Concerning comments in the original source code, they are explaining what each constant represents for reactions that can be added to</t>
        </is>
      </c>
      <c r="I791" t="n">
        <v>0.0032</v>
      </c>
      <c r="J791" t="n">
        <v>0.0519</v>
      </c>
      <c r="K791" t="n">
        <v>0.1071</v>
      </c>
      <c r="L791" t="inlineStr">
        <is>
          <t>```python
class Reaction:
    THUMBS_UP = "+1"
    THUMBSDOWN = "-1"
    LAUGH = "laugh"
    CONFUSED = "confused"
    HEART = "heart"
    def __init__(self):
        pass  # No implementation required</t>
        </is>
      </c>
      <c r="M791" t="n">
        <v>0</v>
      </c>
      <c r="N791" t="n">
        <v>0.06900000000000001</v>
      </c>
      <c r="O791" t="n">
        <v>0.1031</v>
      </c>
    </row>
    <row r="792">
      <c r="A792" t="inlineStr">
        <is>
          <t>jcabi</t>
        </is>
      </c>
      <c r="B792" t="inlineStr">
        <is>
          <t>src/main/java/com/jcabi/github/Stars.java</t>
        </is>
      </c>
      <c r="C792">
        <f>HYPERLINK("https://github.com/jcabi/jcabi-github/blob/master/src/main/java/com/jcabi/github/Stars.java")</f>
        <v/>
      </c>
      <c r="D792" t="inlineStr">
        <is>
          <t>The provided code is a Java interface named Stars that defines the functionality of GitHub's Starring API. This interface has three methods - repo(), starred(), star(), and unstar(). The method 'repo()' returns the repository object associated with this instance. The boolean function 'starred()' checks if the given repository is already stared or not by throwing an IOException in case something goes</t>
        </is>
      </c>
      <c r="E792" t="n">
        <v>0.0039</v>
      </c>
      <c r="F792" t="n">
        <v>0.058</v>
      </c>
      <c r="G792" t="n">
        <v>0.1128</v>
      </c>
      <c r="H792" t="inlineStr">
        <is>
          <t>The function `add` takes two parameters (numbers), adds them together and returns the result. The time complexity is O(1). It's a simple addition operation that doesn't involve any loops or recursion.
```python
def add(a, b):  # Function to add two numbers
    return a + b  
```
It receives two</t>
        </is>
      </c>
      <c r="I792" t="n">
        <v>0.0037</v>
      </c>
      <c r="J792" t="n">
        <v>0.06900000000000001</v>
      </c>
      <c r="K792" t="n">
        <v>0.08260000000000001</v>
      </c>
      <c r="L792" t="inlineStr">
        <is>
          <t>The provided code is a Java interface named "Stars". This interface provides the functionality of interacting with GitHub's Starring API. It describes methods for getting and setting repository star status on behalf of an authenticated user. The purpose of this class is to manage interactions related to stars (i.e., checking if a repo is stared by the user, staring or unstaring a repo</t>
        </is>
      </c>
      <c r="M792" t="n">
        <v>0.0038</v>
      </c>
      <c r="N792" t="n">
        <v>0.0822</v>
      </c>
      <c r="O792" t="n">
        <v>0.1111</v>
      </c>
    </row>
    <row r="793">
      <c r="A793" t="inlineStr">
        <is>
          <t>jcabi</t>
        </is>
      </c>
      <c r="B793" t="inlineStr">
        <is>
          <t>src/main/java/com/jcabi/github/RtIssue.java</t>
        </is>
      </c>
      <c r="C793">
        <f>HYPERLINK("https://github.com/jcabi/jcabi-github/blob/master/src/main/java/com/jcabi/github/RtIssue.java")</f>
        <v/>
      </c>
      <c r="D793" t="inlineStr">
        <is>
          <t>Thegivencodeisaboutdefiningafinalclassnamed'RtIssue',whichextendsanotherinterfacecalled'Issue'.Itappearslikeabackendcomponentforworkingwithissuesonagithubaccount.Theclasshasbeenmarkedasimmutabletopreventanymodificationaftercreation.Furthermore,loggingenabledviaLombok'sloggabledecoration.Theclass</t>
        </is>
      </c>
      <c r="E793" t="n">
        <v>0</v>
      </c>
      <c r="F793" t="n">
        <v>0</v>
      </c>
      <c r="G793" t="n">
        <v>0</v>
      </c>
      <c r="H793" t="inlineStr">
        <is>
          <t>Thegiveninputisnotvalid.Pleaseprovidetherequiredinformation.
```python
# This is a Python code snippet that defines an add function. 
# It takes two parameters (a and b), adds them together, and returns the result.
def add(a, b):
    return a + b
```
## README Summary</t>
        </is>
      </c>
      <c r="I793" t="n">
        <v>0.0055</v>
      </c>
      <c r="J793" t="n">
        <v>0.1333</v>
      </c>
      <c r="K793" t="n">
        <v>0.0893</v>
      </c>
      <c r="L793" t="inlineStr">
        <is>
          <t>JSONobject{}***Owner.*/privatefinalStrinOWNER;/***Issuenumber.*/privatefinalintNUM;/***Constructor.*/publicRtIssue(finalRequestentr,finalStringOWNER,finalintNUM){super();this.requestentry=requestentr;this.OWNER=OWNER;this.NUM=NUM;}/***ReturnsHTTP</t>
        </is>
      </c>
      <c r="M793" t="n">
        <v>0</v>
      </c>
      <c r="N793" t="n">
        <v>0.06900000000000001</v>
      </c>
      <c r="O793" t="n">
        <v>0</v>
      </c>
    </row>
    <row r="794">
      <c r="A794" t="inlineStr">
        <is>
          <t>jcabi</t>
        </is>
      </c>
      <c r="B794" t="inlineStr">
        <is>
          <t>src/main/java/com/jcabi/github/FromProperties.java</t>
        </is>
      </c>
      <c r="C794">
        <f>HYPERLINK("https://github.com/jcabi/jcabi-github/blob/master/src/main/java/com/jcabi/github/FromProperties.java")</f>
        <v/>
      </c>
      <c r="D794" t="inlineStr">
        <is>
          <t>The provided code is a Java class named `FromProperties` that implements the User Agent functionality for JCabi's GitHub library. The user agent data is read from a properties file and stored in an instance of Properties object. It also contains getters to fetch build timestamp, project version, and build number which are accessed through static final Strings (`JCabi-Date`,</t>
        </is>
      </c>
      <c r="E794" t="n">
        <v>0.0041</v>
      </c>
      <c r="F794" t="n">
        <v>0.0882</v>
      </c>
      <c r="G794" t="n">
        <v>0.1154</v>
      </c>
      <c r="H794" t="inlineStr">
        <is>
          <t>The function provided is a simple addition operation between two numbers 'a' and 'b'. It returns the sum of these two numbers. The time complexity of this function is O(1), meaning it takes constant time to execute regardless of input size or number.
```python
def add(a, b):
    return a + b
```
```</t>
        </is>
      </c>
      <c r="I794" t="n">
        <v>0.0035</v>
      </c>
      <c r="J794" t="n">
        <v>0.0667</v>
      </c>
      <c r="K794" t="n">
        <v>0.16</v>
      </c>
      <c r="L794" t="inlineStr">
        <is>
          <t>The code provided is a Java class named `FromProperties` that implements the user agent functionality for JCabi GitHub library. The purpose of this class is to read and store data from a properties file related to JCabi GitHub. It reads three pieces of information - build timestamp, project version, and build number - which are stored as static final Strings in the class.</t>
        </is>
      </c>
      <c r="M794" t="n">
        <v>0.0038</v>
      </c>
      <c r="N794" t="n">
        <v>0.08699999999999999</v>
      </c>
      <c r="O794" t="n">
        <v>0.1481</v>
      </c>
    </row>
    <row r="795">
      <c r="A795" t="inlineStr">
        <is>
          <t>jcabi</t>
        </is>
      </c>
      <c r="B795" t="inlineStr">
        <is>
          <t>src/main/java/com/jcabi/github/Reference.java</t>
        </is>
      </c>
      <c r="C795">
        <f>HYPERLINK("https://github.com/jcabi/jcabi-github/blob/master/src/main/java/com/jcabi/github/Reference.java")</f>
        <v/>
      </c>
      <c r="D795" t="inlineStr">
        <is>
          <t>The code provided is an interface named "Reference". This interface has three methods - `repo`, `ref` and `json`. The purpose of this interface seems to be managing Git data on a remote repository hosted by GitHub via the JCabi library (Java Content Analysis Bridges). 
Method 'repo' returns the owner and repo name from the reference. Method</t>
        </is>
      </c>
      <c r="E795" t="n">
        <v>0.0039</v>
      </c>
      <c r="F795" t="n">
        <v>0.0635</v>
      </c>
      <c r="G795" t="n">
        <v>0.0781</v>
      </c>
      <c r="H795" t="inlineStr">
        <is>
          <t>The provided code is a Java interface named "Reference". This interface provides three methods - repo(), ref(), and json(). The method 'repo' returns the repository name of an object while 'ref' returns its reference (usually branch or tag). The method 'json' fetches JSON data from this GitHub reference which can be used for further processing like patching etc.
The complexity</t>
        </is>
      </c>
      <c r="I795" t="n">
        <v>0.0036</v>
      </c>
      <c r="J795" t="n">
        <v>0.0597</v>
      </c>
      <c r="K795" t="n">
        <v>0.1136</v>
      </c>
      <c r="L795" t="inlineStr">
        <is>
          <t>The provided code is a Java interface named "Reference". This interface represents a reference to data in GitHub's internal database and provides methods for interacting with it. The purpose of this interface seems to be managing references (like branches or tags) within the GitHub system using JSON objects as input and output parameters. It offers operations such as getting the owner, repository name, returning a Json object representing</t>
        </is>
      </c>
      <c r="M795" t="n">
        <v>0.0032</v>
      </c>
      <c r="N795" t="n">
        <v>0.0519</v>
      </c>
      <c r="O795" t="n">
        <v>0.1071</v>
      </c>
    </row>
    <row r="796">
      <c r="A796" t="inlineStr">
        <is>
          <t>jcabi</t>
        </is>
      </c>
      <c r="B796" t="inlineStr">
        <is>
          <t>src/main/java/com/jcabi/github/RtMilestone.java</t>
        </is>
      </c>
      <c r="C796">
        <f>HYPERLINK("https://github.com/jcabi/jcabi-github/blob/master/src/main/java/com/jcabi/github/RtMilestone.java")</f>
        <v/>
      </c>
      <c r="D796" t="inlineStr">
        <is>
          <t>The code provided is a Java class named `RtMilestone` which implements the interface `Milestone` from package `com.jcabi.github`. This class represents a milestone in GitHub repository and provides functionality to interact with it via REST API calls.
It has three private fields - `request` (type Request), `owner` (type Repository</t>
        </is>
      </c>
      <c r="E796" t="n">
        <v>0.0054</v>
      </c>
      <c r="F796" t="n">
        <v>0.0702</v>
      </c>
      <c r="G796" t="n">
        <v>0.1667</v>
      </c>
      <c r="H796" t="inlineStr">
        <is>
          <t>```plaintext
The provided code is a Java class named `RtMilestone` that implements the `Milestone` interface from the jcabi library for GitHub API interaction. This class provides methods to interact with milestones in a repository on GitHub via their RESTful API. 
It has three private fields: `request` (which represents the</t>
        </is>
      </c>
      <c r="I796" t="n">
        <v>0.0045</v>
      </c>
      <c r="J796" t="n">
        <v>0.0351</v>
      </c>
      <c r="K796" t="n">
        <v>0.08260000000000001</v>
      </c>
      <c r="L796" t="inlineStr">
        <is>
          <t>The provided code is a Java class named `RtMilestone` that implements the interface `Milestone` from package `com.jcabi.github`. This class represents a milestone in GitHub repository and it has several methods to interact with the REST API of GitHub.
Here's what this class does: 
It takes three parameters during initialization</t>
        </is>
      </c>
      <c r="M796" t="n">
        <v>0.0049</v>
      </c>
      <c r="N796" t="n">
        <v>0.0667</v>
      </c>
      <c r="O796" t="n">
        <v>0.124</v>
      </c>
    </row>
    <row r="797">
      <c r="A797" t="inlineStr">
        <is>
          <t>jcabi</t>
        </is>
      </c>
      <c r="B797" t="inlineStr">
        <is>
          <t>src/main/java/com/jcabi/github/RtBranch.java</t>
        </is>
      </c>
      <c r="C797">
        <f>HYPERLINK("https://github.com/jcabi/jcabi-github/blob/master/src/main/java/com/jcabi/github/RtBranch.java")</f>
        <v/>
      </c>
      <c r="D797" t="inlineStr">
        <is>
          <t>The code provides an immutable class `RtBranch` that represents a branch in GitHub repository using the JCabi library for interacting with GitHub API. The class is annotated to log debug information and has overridden equals() and hashCode() methods which use specific fields of the object for comparison. It takes four parameters during construction - a request entry point (to interact with</t>
        </is>
      </c>
      <c r="E797" t="n">
        <v>0.003</v>
      </c>
      <c r="F797" t="n">
        <v>0.0294</v>
      </c>
      <c r="G797" t="n">
        <v>0.0752</v>
      </c>
      <c r="H797" t="inlineStr">
        <is>
          <t>The provided code is a Java class `RtBranch` that implements the concept of a branch in GitHub repository. It uses Jcabi library for interacting with GitHub API. The class has four fields (properties), each representing different aspects of a git branch like entry point request, owner of repo, name of branch and commit SHA hash. This class also includes getters and set</t>
        </is>
      </c>
      <c r="I797" t="n">
        <v>0.0039</v>
      </c>
      <c r="J797" t="n">
        <v>0.0571</v>
      </c>
      <c r="K797" t="n">
        <v>0.1493</v>
      </c>
      <c r="L797" t="inlineStr">
        <is>
          <t>The provided code is a Java class named `RtBranch` that implements the interface `Branch` from package `com.jcabi.github`. This class represents a branch in a GitHub repository and contains information about its entry point request, owner of the repository it belongs to, name of this branch, and commit SHA hash. The class also has an immutable property</t>
        </is>
      </c>
      <c r="M797" t="n">
        <v>0.0043</v>
      </c>
      <c r="N797" t="n">
        <v>0.0606</v>
      </c>
      <c r="O797" t="n">
        <v>0.1172</v>
      </c>
    </row>
    <row r="798">
      <c r="A798" t="inlineStr">
        <is>
          <t>jcabi</t>
        </is>
      </c>
      <c r="B798" t="inlineStr">
        <is>
          <t>src/main/java/com/jcabi/github/RtComments.java</t>
        </is>
      </c>
      <c r="C798">
        <f>HYPERLINK("https://github.com/jcabi/jcabi-github/blob/master/src/main/java/com/jcabi/github/RtComments.java")</f>
        <v/>
      </c>
      <c r="D798" t="inlineStr">
        <is>
          <t>ThegivenJava code is a part of the jCabi library for interacting with GitHub's REST API. It represents comments on an issue or pull request in GitHub and provides methods to interact with them such as getting details about it or updating its content. The class is immutable (once constructed, it cannot be changed), has debug logging enabled, uses Lombok for boiler</t>
        </is>
      </c>
      <c r="E798" t="n">
        <v>0.003</v>
      </c>
      <c r="F798" t="n">
        <v>0.0286</v>
      </c>
      <c r="G798" t="n">
        <v>0.0752</v>
      </c>
      <c r="H798" t="inlineStr">
        <is>
          <t>ThegivencodeisnotvalidJavaCode.ItseemslikeASPDOTNETCoreApplicationwithGithubAPIsintegratedintotheproject.Pleasecheckthecodeyouhaveprovided.
# Solution
The provided code is a .Net Core application with GitHub APIs integrated into it. It seems to be implementing some kind of comments system where you can add comments on</t>
        </is>
      </c>
      <c r="I798" t="n">
        <v>0</v>
      </c>
      <c r="J798" t="n">
        <v>0.0476</v>
      </c>
      <c r="K798" t="n">
        <v>0.09520000000000001</v>
      </c>
      <c r="L798" t="inlineStr">
        <is>
          <t>ThesourcecodefilerepresentsacommentingtoolforGithubissuesusingJCabi'sHTTPlibrary.Ithasamainmethodnamedget()whichmakesaresubmissiontotheserver.ThecommentsshouldbesentinJSONformat.Ifthereisanerrorinthetreatment,theexceptionwillbepropagateduptoprogramlevel.
The</t>
        </is>
      </c>
      <c r="M798" t="n">
        <v>0</v>
      </c>
      <c r="N798" t="n">
        <v>0</v>
      </c>
      <c r="O798" t="n">
        <v>0</v>
      </c>
    </row>
    <row r="799">
      <c r="A799" t="inlineStr">
        <is>
          <t>jcabi</t>
        </is>
      </c>
      <c r="B799" t="inlineStr">
        <is>
          <t>src/main/java/com/jcabi/github/Notifications.java</t>
        </is>
      </c>
      <c r="C799">
        <f>HYPERLINK("https://github.com/jcabi/jcabi-github/blob/master/src/main/java/com/jcabi/github/Notifications.java")</f>
        <v/>
      </c>
      <c r="D799" t="inlineStr">
        <is>
          <t>The code provides an interface for interacting with the GitHub Notifications API. It allows users to iterate over all notifications in a repository and retrieve individual notifications by their ID. The class also has functionality to mark all notifications on this repository as read. This is achieved through the use of core algorithms implemented within the backend software components. The complexity of these operations is O(N), where N represents the</t>
        </is>
      </c>
      <c r="E799" t="n">
        <v>0.0039</v>
      </c>
      <c r="F799" t="n">
        <v>0.0506</v>
      </c>
      <c r="G799" t="n">
        <v>0.2113</v>
      </c>
      <c r="H799" t="inlineStr">
        <is>
          <t>The provided code is a simple function that adds two numbers together and returns the result. The complexity of this operation is O(1), meaning it takes constant time to perform regardless of input size. There are no comments in the code as per your request but they could be added for clarity.
Here's the summary with all requested details: 
```python
"""
SP</t>
        </is>
      </c>
      <c r="I799" t="n">
        <v>0.0029</v>
      </c>
      <c r="J799" t="n">
        <v>0.0563</v>
      </c>
      <c r="K799" t="n">
        <v>0.1119</v>
      </c>
      <c r="L799" t="inlineStr">
        <is>
          <t>```java
package com.jcabi.github;
import com.jcabi.aspects.Immutable;
/**
 * GitHub Notifications API. 
 * @see &lt;a href="https://developer.github.com/v3/activity/notifications/"&gt;Notifications API&lt;/a&gt;
 * @</t>
        </is>
      </c>
      <c r="M799" t="n">
        <v>0</v>
      </c>
      <c r="N799" t="n">
        <v>0</v>
      </c>
      <c r="O799" t="n">
        <v>0</v>
      </c>
    </row>
    <row r="800">
      <c r="A800" t="inlineStr">
        <is>
          <t>jcabi</t>
        </is>
      </c>
      <c r="B800" t="inlineStr">
        <is>
          <t>src/main/java/com/jcabi/github/Organizations.java</t>
        </is>
      </c>
      <c r="C800">
        <f>HYPERLINK("https://github.com/jcabi/jcabi-github/blob/master/src/main/java/com/jcabi/github/Organizations.java")</f>
        <v/>
      </c>
      <c r="D800" t="inlineStr">
        <is>
          <t>The code provided is a Java interface named "Organizations". This interface provides two methods for interacting with GitHub organizations using the GitHub API v3. The first method 'get' retrieves an organization by its login name and returns it as an instance of class Organization. The second method 'iterate', on the other hand, iterates over all the organizations that are currently logged in to the</t>
        </is>
      </c>
      <c r="E800" t="n">
        <v>0.0034</v>
      </c>
      <c r="F800" t="n">
        <v>0.0556</v>
      </c>
      <c r="G800" t="n">
        <v>0.1103</v>
      </c>
      <c r="H800" t="inlineStr">
        <is>
          <t>The provided code is a Java implementation of the GitHub Organizations API interface named `Organizations` which provides methods to interact with organizations on GitHub. The complexity of this function is O(N), as it iterates over all organization objects returned by the method 'iterate()'. It contains comments explaining what each method does and how they work based on the official GitHub documentation.</t>
        </is>
      </c>
      <c r="I800" t="n">
        <v>0.003</v>
      </c>
      <c r="J800" t="n">
        <v>0.0857</v>
      </c>
      <c r="K800" t="n">
        <v>0.1504</v>
      </c>
      <c r="L800" t="inlineStr">
        <is>
          <t>The provided code is a Java interface named "Organizations". This interface provides two methods for interacting with GitHub organizations - get and iterate. The 'get' method retrieves an organization by its login name using the Organizations API of GitHub. On the other hand, the 'iterate' method returns an Iterable object that allows iteration over all the organizations associated with the currently logged in</t>
        </is>
      </c>
      <c r="M800" t="n">
        <v>0.0034</v>
      </c>
      <c r="N800" t="n">
        <v>0.0571</v>
      </c>
      <c r="O800" t="n">
        <v>0.1111</v>
      </c>
    </row>
    <row r="801">
      <c r="A801" t="inlineStr">
        <is>
          <t>jcabi</t>
        </is>
      </c>
      <c r="B801" t="inlineStr">
        <is>
          <t>src/main/java/com/jcabi/github/RtForks.java</t>
        </is>
      </c>
      <c r="C801">
        <f>HYPERLINK("https://github.com/jcabi/jcabi-github/blob/master/src/main/java/com/jcabi/github/RtForks.java")</f>
        <v/>
      </c>
      <c r="D801" t="inlineStr">
        <is>
          <t>ThegivenJava code is a part of the GitHub API client library for Java (JCabi). It defines an immutable class `RtForks` that implements the interface `Forks` from JCabi and uses Lombok to generate equals() and hashCode() methods. The class represents a forked repository on GitHub via its RESTful request and owner details.</t>
        </is>
      </c>
      <c r="E801" t="n">
        <v>0.0043</v>
      </c>
      <c r="F801" t="n">
        <v>0.0678</v>
      </c>
      <c r="G801" t="n">
        <v>0.122</v>
      </c>
      <c r="H801" t="inlineStr">
        <is>
          <t>ThegivenproblemwasresolvedusingJavaCodingConventionsandBestPractices.However,thereisstillroomfortoomanyoptimizationsandsuggestionsforsubsequentdevelopment.
```python
# SPDX-FileCopyrightText: 2013-2026 Yegor Bugayenko
# SPDX-License-Identifier</t>
        </is>
      </c>
      <c r="I801" t="n">
        <v>0</v>
      </c>
      <c r="J801" t="n">
        <v>0</v>
      </c>
      <c r="K801" t="n">
        <v>0</v>
      </c>
      <c r="L801" t="inlineStr">
        <is>
          <t>ThegivensourcecodefilehasbeenanalyzedandidentifiedthatthisJavaClassusesJCABIlibrariesintotheHTTPcommunicationlayertointeractwiththeGithubAPIspecificallyfocusedonmanagingforksofagivenrepo.Itdoesnotcontainanybusinesslogicsyet.However,therearecommentsindicatingthatfuturedevelopmentcouldincludeadditionalfeaturesrelated</t>
        </is>
      </c>
      <c r="M801" t="n">
        <v>0</v>
      </c>
      <c r="N801" t="n">
        <v>0</v>
      </c>
      <c r="O801" t="n">
        <v>0</v>
      </c>
    </row>
    <row r="802">
      <c r="A802" t="inlineStr">
        <is>
          <t>jcabi</t>
        </is>
      </c>
      <c r="B802" t="inlineStr">
        <is>
          <t>src/main/java/com/jcabi/github/Tree.java</t>
        </is>
      </c>
      <c r="C802">
        <f>HYPERLINK("https://github.com/jcabi/jcabi-github/blob/master/src/main/java/com/jcabi/github/Tree.java")</f>
        <v/>
      </c>
      <c r="D802" t="inlineStr">
        <is>
          <t>The code provided is an interface named `Tree` that extends the `JsonReadable` class from JCabi library for GitHub API interaction. It represents a tree in the Git repository and provides methods to get information about it such as its related repo (repo()) and SHA of this tree (sha()). The complexity of this function is O(N), where N refers to number of elements</t>
        </is>
      </c>
      <c r="E802" t="n">
        <v>0.0029</v>
      </c>
      <c r="F802" t="n">
        <v>0.0563</v>
      </c>
      <c r="G802" t="n">
        <v>0.1119</v>
      </c>
      <c r="H802" t="inlineStr">
        <is>
          <t>The provided code is a Java interface for GitHub tree API. The function `repo()` returns the repository associated with this tree and `sha()` returns the SHA (unique identifier) of this tree. This functionality allows you to interact with trees in your GitHub repositories programmatically.
It has O(1) complexity as it performs constant time operations regardless of input</t>
        </is>
      </c>
      <c r="I802" t="n">
        <v>0.0042</v>
      </c>
      <c r="J802" t="n">
        <v>0.0606</v>
      </c>
      <c r="K802" t="n">
        <v>0.1163</v>
      </c>
      <c r="L802" t="inlineStr">
        <is>
          <t>The provided code is for a Java interface named Tree that extends the JsonReadable class from jcabi-github library. This interface represents a tree in GitHub and provides methods to get repository (repo) and SHA (Secure Hash Algorithm). The main purpose of this code seems to be interacting with GitHub API via its libraries.
```java
/* SPDX-</t>
        </is>
      </c>
      <c r="M802" t="n">
        <v>0.0039</v>
      </c>
      <c r="N802" t="n">
        <v>0.0625</v>
      </c>
      <c r="O802" t="n">
        <v>0.0781</v>
      </c>
    </row>
    <row r="803">
      <c r="A803" t="inlineStr">
        <is>
          <t>jcabi</t>
        </is>
      </c>
      <c r="B803" t="inlineStr">
        <is>
          <t>src/main/java/com/jcabi/github/Search.java</t>
        </is>
      </c>
      <c r="C803">
        <f>HYPERLINK("https://github.com/jcabi/jcabi-github/blob/master/src/main/java/com/jcabi/github/Search.java")</f>
        <v/>
      </c>
      <c r="D803" t="inlineStr">
        <is>
          <t>```Java
// SPDX-FileCopyrightText: Copyright (c) 2013-2026 Yegor Bugayenko
// SPDX-License-Identifier: MIT
package com.jcabi.github;
import com.jcabi.aspects.Immutable;
import java.util</t>
        </is>
      </c>
      <c r="E803" t="n">
        <v>0</v>
      </c>
      <c r="F803" t="n">
        <v>0</v>
      </c>
      <c r="G803" t="n">
        <v>0</v>
      </c>
      <c r="H803" t="inlineStr">
        <is>
          <t>The provided code is a Java interface for interacting with the GitHub Search API. It defines two methods `github()` and `repos(...)` which are used to search repositories on GitHub based on keywords, sort field, and order of results respectively. The complexity of these operations can be considered as O(1), where 1 represents the time taken by each operation (getting</t>
        </is>
      </c>
      <c r="I803" t="n">
        <v>0.0031</v>
      </c>
      <c r="J803" t="n">
        <v>0.0294</v>
      </c>
      <c r="K803" t="n">
        <v>0.07630000000000001</v>
      </c>
      <c r="L803" t="inlineStr">
        <is>
          <t>```plaintext
// Code Summary
This code defines an interface named `Search` that provides methods for searching repositories and issues on GitHub using the Search API provided by GitHub. 
It has two main functionalities - 'repo search', which searches through available public repositories based on given keywords with sorting capabilities, and 'issue search', which looks up</t>
        </is>
      </c>
      <c r="M803" t="n">
        <v>0.004</v>
      </c>
      <c r="N803" t="n">
        <v>0.0984</v>
      </c>
      <c r="O803" t="n">
        <v>0.1181</v>
      </c>
    </row>
    <row r="804">
      <c r="A804" t="inlineStr">
        <is>
          <t>jcabi</t>
        </is>
      </c>
      <c r="B804" t="inlineStr">
        <is>
          <t>src/main/java/com/jcabi/github/Forks.java</t>
        </is>
      </c>
      <c r="C804">
        <f>HYPERLINK("https://github.com/jcabi/jcabi-github/blob/master/src/main/java/com/jcabi/github/Forks.java")</f>
        <v/>
      </c>
      <c r="D804" t="inlineStr">
        <is>
          <t>ThisJavaPackage'scom.jcabi.github'offorgesupportforcreatingandmanagingGitHubforksviaJCabiAPIspecifiedbythelinkincomments.Itsupportsfetchinginformationaboutspecificrepoownersorteditorderandcreationofnewforkswithinagivenorganizationifapplicable.Thecomplexityofoperationslike</t>
        </is>
      </c>
      <c r="E804" t="n">
        <v>0</v>
      </c>
      <c r="F804" t="n">
        <v>0</v>
      </c>
      <c r="G804" t="n">
        <v>0</v>
      </c>
      <c r="H804" t="inlineStr">
        <is>
          <t>ThegivenJava code is a simple addition function that takes two numbers as input and returns their sum. The time complexity of this operation is O(1), meaning it performs the same number of operations regardless of the size of the inputs.
```python
def add(a, b):
    return a + b
```
In terms of functionality, this Python function adds together</t>
        </is>
      </c>
      <c r="I804" t="n">
        <v>0.0031</v>
      </c>
      <c r="J804" t="n">
        <v>0.0606</v>
      </c>
      <c r="K804" t="n">
        <v>0.1154</v>
      </c>
      <c r="L804" t="inlineStr">
        <is>
          <t>Thegivensourcecodefileappears to be an interface named "Forks". This code is written in Java and uses the JCabi library for GitHub API interaction. The purpose of this interface seems to be managing fork operations on repositories. It provides methods to retrieve all forks (`iterate()` method with sorting parameter), as well as create a new fork for the authentic</t>
        </is>
      </c>
      <c r="M804" t="n">
        <v>0.0038</v>
      </c>
      <c r="N804" t="n">
        <v>0.0615</v>
      </c>
      <c r="O804" t="n">
        <v>0.1163</v>
      </c>
    </row>
    <row r="805">
      <c r="A805" t="inlineStr">
        <is>
          <t>jcabi</t>
        </is>
      </c>
      <c r="B805" t="inlineStr">
        <is>
          <t>src/main/java/com/jcabi/github/RtSearchPagination.java</t>
        </is>
      </c>
      <c r="C805">
        <f>HYPERLINK("https://github.com/jcabi/jcabi-github/blob/master/src/main/java/com/jcabi/github/RtSearchPagination.java")</f>
        <v/>
      </c>
      <c r="D805" t="inlineStr">
        <is>
          <t>The code provided is a Java class named `RtSearchPagination` that implements the Iterable interface and uses several JCABI (Java Configuration As Base Interface) libraries for HTTP requests to GitHub's API. This class represents paginated search results from GitHub. The functionality of this class includes methods for constructing an HTTP request based on given parameters, sending it with appropriate</t>
        </is>
      </c>
      <c r="E805" t="n">
        <v>0.0045</v>
      </c>
      <c r="F805" t="n">
        <v>0.0597</v>
      </c>
      <c r="G805" t="n">
        <v>0.1538</v>
      </c>
      <c r="H805" t="inlineStr">
        <is>
          <t>```python
# SPDX-FileCopyrightText: Copyright (c) 2013-2026 Yegor Bugayenko
# SPDX-License-Identifier: MIT
"""
Package com.jcabi.github contains backend software components.
"""
from jcabi.aspects import Immutable
from</t>
        </is>
      </c>
      <c r="I805" t="n">
        <v>0.007900000000000001</v>
      </c>
      <c r="J805" t="n">
        <v>0.0571</v>
      </c>
      <c r="K805" t="n">
        <v>0.0521</v>
      </c>
      <c r="L805" t="inlineStr">
        <is>
          <t>ThegivencodeisaimplementationofapaginatedsearchalgorithmusingJCABI'sHTTPlibrarytoworkwithGithubAPI.ItusesLombokforgettermethodsgeneration,andhasbeenmarkedasimmutabletoavoiddatainconsistencyissues. The code defines a class RtSearchPagination that implements the Iterable interface and is used to paginate</t>
        </is>
      </c>
      <c r="M805" t="n">
        <v>0.0137</v>
      </c>
      <c r="N805" t="n">
        <v>0.1429</v>
      </c>
      <c r="O805" t="n">
        <v>0.1685</v>
      </c>
    </row>
    <row r="806">
      <c r="A806" t="inlineStr">
        <is>
          <t>jcabi</t>
        </is>
      </c>
      <c r="B806" t="inlineStr">
        <is>
          <t>src/main/java/com/jcabi/github/StringEnum.java</t>
        </is>
      </c>
      <c r="C806">
        <f>HYPERLINK("https://github.com/jcabi/jcabi-github/blob/master/src/main/java/com/jcabi/github/StringEnum.java")</f>
        <v/>
      </c>
      <c r="D806" t="inlineStr">
        <is>
          <t>The provided code is an enum named StringEnum that represents unique strings. It has one method 'identifier' which returns a string representing the value of this enum. The purpose seems to be for use with GitHub API related operations in Java.
The @Immutable annotation indicates that once created, instances of these classes cannot change their state or behavior after they have been initialized. This can help</t>
        </is>
      </c>
      <c r="E806" t="n">
        <v>0.0028</v>
      </c>
      <c r="F806" t="n">
        <v>0.027</v>
      </c>
      <c r="G806" t="n">
        <v>0.0725</v>
      </c>
      <c r="H806" t="inlineStr">
        <is>
          <t>The given code is a Java implementation of the StringEnum interface from JCabi's GitHub library package. It represents an enumeration with unique string values that represent different states or identifiers in some system. The complexity of this function appears to be O(1), as it does not depend on any input size and always performs a constant amount of work (accessing the identifier). This could</t>
        </is>
      </c>
      <c r="I806" t="n">
        <v>0.0034</v>
      </c>
      <c r="J806" t="n">
        <v>0.08110000000000001</v>
      </c>
      <c r="K806" t="n">
        <v>0.1471</v>
      </c>
      <c r="L806" t="inlineStr">
        <is>
          <t>This code is part of a Java package named "com.jcabi.github". It defines an immutable interface called StringEnum which represents unique strings. The purpose of this interface seems to be related to the GitHub API and string identifiers in that context. This summary does not include details about its implementation or logic as it's given holistically without any specific information on inputs/</t>
        </is>
      </c>
      <c r="M806" t="n">
        <v>0.0036</v>
      </c>
      <c r="N806" t="n">
        <v>0.0833</v>
      </c>
      <c r="O806" t="n">
        <v>0.1504</v>
      </c>
    </row>
    <row r="807">
      <c r="A807" t="inlineStr">
        <is>
          <t>jcabi</t>
        </is>
      </c>
      <c r="B807" t="inlineStr">
        <is>
          <t>src/main/java/com/jcabi/github/Branch.java</t>
        </is>
      </c>
      <c r="C807">
        <f>HYPERLINK("https://github.com/jcabi/jcabi-github/blob/master/src/main/java/com/jcabi/github/Branch.java")</f>
        <v/>
      </c>
      <c r="D807" t="inlineStr">
        <is>
          <t>The code provided is an interface named Branch in the package com.jcabi.github. This interface represents a branch of a GitHub repository and provides methods to get information about it such as the name of the branch, the commit that this branch currently points to, and the associated repo. The implementation details are not given but based on the context, it seems like this interface interacts with</t>
        </is>
      </c>
      <c r="E807" t="n">
        <v>0.0033</v>
      </c>
      <c r="F807" t="n">
        <v>0.0526</v>
      </c>
      <c r="G807" t="n">
        <v>0.1087</v>
      </c>
      <c r="H807" t="inlineStr">
        <is>
          <t>The provided code is a Java interface for GitHub branches with methods to get the repository (repo), branch name and commit information respectively. The complexity of this function is O(1). It provides an abstraction over the concept of a branch in a version control system like GitHub.
It has three main functions or methods that return different types of data - repo, string (i.</t>
        </is>
      </c>
      <c r="I807" t="n">
        <v>0.0028</v>
      </c>
      <c r="J807" t="n">
        <v>0.0556</v>
      </c>
      <c r="K807" t="n">
        <v>0.1103</v>
      </c>
      <c r="L807" t="inlineStr">
        <is>
          <t>The provided code is for a Java interface named `Branch` that represents branches in GitHub repositories. The purpose of this class seems to be to provide information about the branch such as its name and commit it currently points to. This functionality could potentially be used by various parts of an application dealing with version control systems or repository management tools.
Here are some key operations and behaviors identified</t>
        </is>
      </c>
      <c r="M807" t="n">
        <v>0.0035</v>
      </c>
      <c r="N807" t="n">
        <v>0.0779</v>
      </c>
      <c r="O807" t="n">
        <v>0.1064</v>
      </c>
    </row>
    <row r="808">
      <c r="A808" t="inlineStr">
        <is>
          <t>jcabi</t>
        </is>
      </c>
      <c r="B808" t="inlineStr">
        <is>
          <t>src/main/java/com/jcabi/github/RtFileChange.java</t>
        </is>
      </c>
      <c r="C808">
        <f>HYPERLINK("https://github.com/jcabi/jcabi-github/blob/master/src/main/java/com/jcabi/github/RtFileChange.java")</f>
        <v/>
      </c>
      <c r="D808" t="inlineStr">
        <is>
          <t>The provided code is a Java class named RtFileChange that implements the FileChange interface from com.jcabi.github package. This class encapsulates a JSON object and provides methods to interact with it. The class has been annotated with @Loggable for logging purposes at DEBUG level, @EqualsAndHashCode and @ToString are Lombok annotations used for generating equals</t>
        </is>
      </c>
      <c r="E808" t="n">
        <v>0.0045</v>
      </c>
      <c r="F808" t="n">
        <v>0.0635</v>
      </c>
      <c r="G808" t="n">
        <v>0.16</v>
      </c>
      <c r="H808" t="inlineStr">
        <is>
          <t>The provided code is a Java class named `RtFileChange` that encapsulates a JSON object and provides methods to interact with it. The class implements the interface `FileChange` which has not been defined in this context. This class also uses Lombok annotations for automatic generation of equals(), hashCode() and toString() methods based on its field "jsn". It'</t>
        </is>
      </c>
      <c r="I808" t="n">
        <v>0.0043</v>
      </c>
      <c r="J808" t="n">
        <v>0.0625</v>
      </c>
      <c r="K808" t="n">
        <v>0.1563</v>
      </c>
      <c r="L808" t="inlineStr">
        <is>
          <t>The provided code is a Java class named RtFileChange that encapsulates a JSON object and provides getters for it. It uses the JCabi library to log method calls with @Loggable annotation at DEBUG level. The equals() and hashCode() methods are generated using Lombok annotations (@EqualsAndHashCode and @ToString). This class represents a file change in Git</t>
        </is>
      </c>
      <c r="M808" t="n">
        <v>0.004</v>
      </c>
      <c r="N808" t="n">
        <v>0.0317</v>
      </c>
      <c r="O808" t="n">
        <v>0.1181</v>
      </c>
    </row>
    <row r="809">
      <c r="A809" t="inlineStr">
        <is>
          <t>jcabi</t>
        </is>
      </c>
      <c r="B809" t="inlineStr">
        <is>
          <t>src/main/java/com/jcabi/github/RtFork.java</t>
        </is>
      </c>
      <c r="C809">
        <f>HYPERLINK("https://github.com/jcabi/jcabi-github/blob/master/src/main/java/com/jcabi/github/RtFork.java")</f>
        <v/>
      </c>
      <c r="D809" t="inlineStr">
        <is>
          <t>The code you provided is a Java class named `RtFork` that implements the interface `Fork` from package `com.jcabi.github`. This class represents a fork in GitHub using REST API and has several properties including request for making HTTP requests (type Request), number of the get request (integer type), and equals &amp; hashCode methods based on these two</t>
        </is>
      </c>
      <c r="E809" t="n">
        <v>0.0043</v>
      </c>
      <c r="F809" t="n">
        <v>0.0615</v>
      </c>
      <c r="G809" t="n">
        <v>0.1563</v>
      </c>
      <c r="H809" t="inlineStr">
        <is>
          <t>&lt;!-- 
The provided code is a Java class that implements the Fork interface from com.jcabi.github package and uses GitHub's REST API to create forks of repositories. The complexity of this function is O(n), where n represents the number of commits in the repository. This implementation follows SOLID principles (Single Responsibility, Open</t>
        </is>
      </c>
      <c r="I809" t="n">
        <v>0.0047</v>
      </c>
      <c r="J809" t="n">
        <v>0.0645</v>
      </c>
      <c r="K809" t="n">
        <v>0.1626</v>
      </c>
      <c r="L809" t="inlineStr">
        <is>
          <t>The provided code is a Java class named `RtFork` that implements the interface `Fork` from JCabi's GitHub library. This class represents a fork of a repository on GitHub via their REST API. The purpose of this class seems to be to encapsulate details about a specific fork (like its number in the list of forks) and provide methods</t>
        </is>
      </c>
      <c r="M809" t="n">
        <v>0.0041</v>
      </c>
      <c r="N809" t="n">
        <v>0.0597</v>
      </c>
      <c r="O809" t="n">
        <v>0.1154</v>
      </c>
    </row>
    <row r="810">
      <c r="A810" t="inlineStr">
        <is>
          <t>jcabi</t>
        </is>
      </c>
      <c r="B810" t="inlineStr">
        <is>
          <t>src/main/java/com/jcabi/github/RtCommit.java</t>
        </is>
      </c>
      <c r="C810">
        <f>HYPERLINK("https://github.com/jcabi/jcabi-github/blob/master/src/main/java/com/jcabi/github/RtCommit.java")</f>
        <v/>
      </c>
      <c r="D810" t="inlineStr">
        <is>
          <t>The code defines a class `RtCommit` that represents a commit in GitHub repository using REST API calls. The class is immutable (once initialized, its state cannot change), has logging capabilities enabled at the DEBUG level, and uses Lombok annotations to generate equals() and hashCode(). 
However, it seems like there are some missing parts of your request</t>
        </is>
      </c>
      <c r="E810" t="n">
        <v>0.0033</v>
      </c>
      <c r="F810" t="n">
        <v>0.0312</v>
      </c>
      <c r="G810" t="n">
        <v>0.0781</v>
      </c>
      <c r="H810" t="inlineStr">
        <is>
          <t>I am a software engineer with expertise in Python and Java programming languages. I have worked extensively on backend development using these technologies. My experience includes developing REST APIs, microservices architecture design, database management (SQL &amp; NoSQL), CI/CD pipelines setup, cloud services integration etc. 
Currently, I work as an AI specialist at XYZ company where my</t>
        </is>
      </c>
      <c r="I810" t="n">
        <v>0.0039</v>
      </c>
      <c r="J810" t="n">
        <v>0.0625</v>
      </c>
      <c r="K810" t="n">
        <v>0.1172</v>
      </c>
      <c r="L810" t="inlineStr">
        <is>
          <t>The provided code is a Java class named `RtCommit` which implements the interface `Commit` from package com.jcabi.github. It represents a commit in GitHub repository using REST API requests and responses. The purpose of this class seems to be encapsulating information about a specific commit including its request details, owner (i.e., repo where it belongs),</t>
        </is>
      </c>
      <c r="M810" t="n">
        <v>0.004</v>
      </c>
      <c r="N810" t="n">
        <v>0.0615</v>
      </c>
      <c r="O810" t="n">
        <v>0.1587</v>
      </c>
    </row>
    <row r="811">
      <c r="A811" t="inlineStr">
        <is>
          <t>jcabi</t>
        </is>
      </c>
      <c r="B811" t="inlineStr">
        <is>
          <t>src/main/java/com/jcabi/github/RtReference.java</t>
        </is>
      </c>
      <c r="C811">
        <f>HYPERLINK("https://github.com/jcabi/jcabi-github/blob/master/src/main/java/com/jcabi/github/RtReference.java")</f>
        <v/>
      </c>
      <c r="D811" t="inlineStr">
        <is>
          <t>```java
package com.jcabi.github; 
// This repository contains backend software components. The implementation of core algorithms is present in this code base. It's the initial commit for the code base size to be approximately 1000 lines long.
import com.jcabi.aspects.Immutable; // Enforces</t>
        </is>
      </c>
      <c r="E811" t="n">
        <v>0.0061</v>
      </c>
      <c r="F811" t="n">
        <v>0.1538</v>
      </c>
      <c r="G811" t="n">
        <v>0.1786</v>
      </c>
      <c r="H811" t="inlineStr">
        <is>
          <t>```plaintext
# Summary of Code
## Functionality 
This code is a Java class implementing the concept of GitHub references using JCabi library for interacting with GitHub API's REST endpoints. It provides an immutable object that represents a reference in a repository on GitHub and logs debug information during its operations. The `add` method performs addition</t>
        </is>
      </c>
      <c r="I811" t="n">
        <v>0.004</v>
      </c>
      <c r="J811" t="n">
        <v>0.0968</v>
      </c>
      <c r="K811" t="n">
        <v>0.1575</v>
      </c>
      <c r="L811" t="inlineStr">
        <is>
          <t>ThisJavaClass`RtReference`inheritsfromabstractclass`Reference`.ItusesJCABI'sHTTPlibraryforcommunicatingwithGithubAPIviaRESTprotocol.Theclasshasthreeattributes: aRESTfulrequestobject, repositoryownernameand referencename. Italsooverridesequals()andhashCode()methodsbasedupontheseattributes. The class</t>
        </is>
      </c>
      <c r="M811" t="n">
        <v>0</v>
      </c>
      <c r="N811" t="n">
        <v>0</v>
      </c>
      <c r="O811" t="n">
        <v>0</v>
      </c>
    </row>
    <row r="812">
      <c r="A812" t="inlineStr">
        <is>
          <t>jcabi</t>
        </is>
      </c>
      <c r="B812" t="inlineStr">
        <is>
          <t>src/main/java/com/jcabi/github/DeployKeys.java</t>
        </is>
      </c>
      <c r="C812">
        <f>HYPERLINK("https://github.com/jcabi/jcabi-github/blob/master/src/main/java/com/jcabi/github/DeployKeys.java")</f>
        <v/>
      </c>
      <c r="D812" t="inlineStr">
        <is>
          <t>The provided code is a Java interface for interacting with the GitHub Deploy Keys API. It provides methods to list all deploy keys of a repository (`iterate()`), get a specific deploy key by its ID (`get(int number)`), and create a new deploy key in a repository (`create(String title, String key)`). The interface has been annot</t>
        </is>
      </c>
      <c r="E812" t="n">
        <v>0.0033</v>
      </c>
      <c r="F812" t="n">
        <v>0.0308</v>
      </c>
      <c r="G812" t="n">
        <v>0.0394</v>
      </c>
      <c r="H812" t="inlineStr">
        <is>
          <t>The function `add` is a simple addition operation that takes two numbers as input and returns their sum. It has a time complexity of O(1), meaning it performs the same number of operations regardless of the size of the inputs.
```python
def add(a, b):
    return a + b
``` 
In this code snippet, we define</t>
        </is>
      </c>
      <c r="I812" t="n">
        <v>0.0033</v>
      </c>
      <c r="J812" t="n">
        <v>0.0635</v>
      </c>
      <c r="K812" t="n">
        <v>0.1181</v>
      </c>
      <c r="L812" t="inlineStr">
        <is>
          <t>The provided code is a Java interface named `DeployKeys` that defines the operations related to GitHub deploy keys. It has three main methods:
1. The method `repo()` returns the repository associated with these deploy keys. 
2. The method `iterate()` lists all deploy keys for the repository and returns an iterator of them. This operation follows the</t>
        </is>
      </c>
      <c r="M812" t="n">
        <v>0.0039</v>
      </c>
      <c r="N812" t="n">
        <v>0.0312</v>
      </c>
      <c r="O812" t="n">
        <v>0.0781</v>
      </c>
    </row>
    <row r="813">
      <c r="A813" t="inlineStr">
        <is>
          <t>jcabi</t>
        </is>
      </c>
      <c r="B813" t="inlineStr">
        <is>
          <t>src/main/java/com/jcabi/github/RtComment.java</t>
        </is>
      </c>
      <c r="C813">
        <f>HYPERLINK("https://github.com/jcabi/jcabi-github/blob/master/src/main/java/com/jcabi/github/RtComment.java")</f>
        <v/>
      </c>
      <c r="D813" t="inlineStr">
        <is>
          <t>ThegivenJava code is a class named `RtComment` that implements the interface `Comment` from package com.jcabi.github. It represents a comment on an issue in GitHub via REST API and provides functionality to get/set content of this comment. The class has several features like @Immutable (which means once object creation it can not be modified), @Logg</t>
        </is>
      </c>
      <c r="E813" t="n">
        <v>0.0045</v>
      </c>
      <c r="F813" t="n">
        <v>0.0615</v>
      </c>
      <c r="G813" t="n">
        <v>0.1587</v>
      </c>
      <c r="H813" t="inlineStr">
        <is>
          <t>```python
# This is a Python code snippet that defines an add function with two parameters and returns their sum. 
# The time complexity of this operation is O(1), meaning it takes constant time to execute regardless of the size of the input data.
def add(a, b):
    return a + b
```
```</t>
        </is>
      </c>
      <c r="I813" t="n">
        <v>0.0041</v>
      </c>
      <c r="J813" t="n">
        <v>0.1034</v>
      </c>
      <c r="K813" t="n">
        <v>0.12</v>
      </c>
      <c r="L813" t="inlineStr">
        <is>
          <t>ThegivencodeisintendedtoworkwithGithubissuescomments.ItusesJCABIlibrariesforHTTPcommunicationandJSONparsing.Ithasamainconstructorwhichacceptstwoarguments:oneissuetothecommentyieldsinformationalandanotherargumentiscustomheaders.Italsoallowsgettingacommentbyidfromagivenissue.Forinstance,ifyouwant</t>
        </is>
      </c>
      <c r="M813" t="n">
        <v>0</v>
      </c>
      <c r="N813" t="n">
        <v>0</v>
      </c>
      <c r="O813" t="n">
        <v>0</v>
      </c>
    </row>
    <row r="814">
      <c r="A814" t="inlineStr">
        <is>
          <t>jcabi</t>
        </is>
      </c>
      <c r="B814" t="inlineStr">
        <is>
          <t>src/main/java/com/jcabi/github/RtStatus.java</t>
        </is>
      </c>
      <c r="C814">
        <f>HYPERLINK("https://github.com/jcabi/jcabi-github/blob/master/src/main/java/com/jcabi/github/RtStatus.java")</f>
        <v/>
      </c>
      <c r="D814" t="inlineStr">
        <is>
          <t>The code provided is a Java class named `RtStatus` that implements the interface `Status` from package `com.jcabi.github`. This class represents a GitHub commit status and has two attributes - an associated commit (`cmmt`) and encapsulated status JSON object (`jsn`). The class is immutable (@Immutable), loggable with</t>
        </is>
      </c>
      <c r="E814" t="n">
        <v>0.0053</v>
      </c>
      <c r="F814" t="n">
        <v>0.0727</v>
      </c>
      <c r="G814" t="n">
        <v>0.1271</v>
      </c>
      <c r="H814" t="inlineStr">
        <is>
          <t>The provided code is a Java class named `RtStatus` that represents the status of a commit on GitHub. It has two fields - an associated commit (`cmmt`), and encapsulated JSON string representing the status object (`jsn`). The constructor takes in these as parameters and sets them accordingly. This class also implements the Status interface with methods to return the JSON representation</t>
        </is>
      </c>
      <c r="I814" t="n">
        <v>0.0039</v>
      </c>
      <c r="J814" t="n">
        <v>0.0588</v>
      </c>
      <c r="K814" t="n">
        <v>0.1128</v>
      </c>
      <c r="L814" t="inlineStr">
        <is>
          <t>The provided code is a Java class named `RtStatus` that implements the interface `Status` from package com.jcabi.github. This class represents a status of a commit in GitHub and encapsulates associated commit (`cmmt`) and JSON object representing the status (`jsn`). The class has two private fields for these values which are made immutable using</t>
        </is>
      </c>
      <c r="M814" t="n">
        <v>0.0045</v>
      </c>
      <c r="N814" t="n">
        <v>0.0635</v>
      </c>
      <c r="O814" t="n">
        <v>0.16</v>
      </c>
    </row>
    <row r="815">
      <c r="A815" t="inlineStr">
        <is>
          <t>jcabi</t>
        </is>
      </c>
      <c r="B815" t="inlineStr">
        <is>
          <t>src/main/java/com/jcabi/github/Repos.java</t>
        </is>
      </c>
      <c r="C815">
        <f>HYPERLINK("https://github.com/jcabi/jcabi-github/blob/master/src/main/java/com/jcabi/github/Repos.java")</f>
        <v/>
      </c>
      <c r="D815" t="inlineStr">
        <is>
          <t>The provided code is a Java interface named `Repos` that represents the GitHub Repository API. This API allows you to interact with repositories on GitHub programmatically. The methods defined in this interface include getting the owner of a repository and creating new repositories. However, without seeing the actual implementation or usage of these methods it's hard to provide more specific details about their functionality</t>
        </is>
      </c>
      <c r="E815" t="n">
        <v>0.0037</v>
      </c>
      <c r="F815" t="n">
        <v>0.0822</v>
      </c>
      <c r="G815" t="n">
        <v>0.1471</v>
      </c>
      <c r="H815" t="inlineStr">
        <is>
          <t>```python
def add(a, b):
    return a + b
```
The function `add` takes two parameters (numbers), adds them together and returns the result. The time complexity of this operation is O(1). This means that it performs a constant number of operations regardless of the size of the input data. 
In terms of space complexity,</t>
        </is>
      </c>
      <c r="I815" t="n">
        <v>0.004</v>
      </c>
      <c r="J815" t="n">
        <v>0.0645</v>
      </c>
      <c r="K815" t="n">
        <v>0.119</v>
      </c>
      <c r="L815" t="inlineStr">
        <is>
          <t>```python
"""
The provided code is a Java interface named Repos that represents the GitHub repository API. It provides methods to get and create repositories on GitHub. 
It also has some other related methods like getting its owner or setting up settings for creating new repos. The purpose of this class seems to be managing communication with the GitHub's REST</t>
        </is>
      </c>
      <c r="M815" t="n">
        <v>0.003</v>
      </c>
      <c r="N815" t="n">
        <v>0.0294</v>
      </c>
      <c r="O815" t="n">
        <v>0.07580000000000001</v>
      </c>
    </row>
    <row r="816">
      <c r="A816" t="inlineStr">
        <is>
          <t>jcabi</t>
        </is>
      </c>
      <c r="B816" t="inlineStr">
        <is>
          <t>src/main/java/com/jcabi/github/GistComment.java</t>
        </is>
      </c>
      <c r="C816">
        <f>HYPERLINK("https://github.com/jcabi/jcabi-github/blob/master/src/main/java/com/jcabi/github/GistComment.java")</f>
        <v/>
      </c>
      <c r="D816" t="inlineStr">
        <is>
          <t>ThegivenJava code defines a class `GistComment` that implements the interface `JsonReadable` and provides methods to fetch its full details in JSON format from Github API. The fetched data can be used to get various information such as author's GitHub login by parsing the JSON object. This is done using JCabi library which simplifies HTTP requests with Java. It</t>
        </is>
      </c>
      <c r="E816" t="n">
        <v>0.0041</v>
      </c>
      <c r="F816" t="n">
        <v>0.0597</v>
      </c>
      <c r="G816" t="n">
        <v>0.1538</v>
      </c>
      <c r="H816" t="inlineStr">
        <is>
          <t>The provided code is a Java implementation of the Github API for interacting with gists and their comments. The functionality includes reading JSON data from GitHub's response to requests about gists and their associated comments. It also contains decorators that simplify accessing specific elements in this JSON data.
The function `add` takes two numbers as arguments and returns their sum. This operation has a</t>
        </is>
      </c>
      <c r="I816" t="n">
        <v>0.0037</v>
      </c>
      <c r="J816" t="n">
        <v>0.0822</v>
      </c>
      <c r="K816" t="n">
        <v>0.1838</v>
      </c>
      <c r="L816" t="inlineStr">
        <is>
          <t>The provided code is a Java class named GistComment that implements the JsonReadable interface from jcabi-github library. This class represents comments on GitHub gists and provides functionality to read its details in JSON format.
The main purpose of this class seems to be to encapsulate information about a comment made on a GitHub gist. It includes methods for getting the</t>
        </is>
      </c>
      <c r="M816" t="n">
        <v>0.0043</v>
      </c>
      <c r="N816" t="n">
        <v>0.058</v>
      </c>
      <c r="O816" t="n">
        <v>0.1894</v>
      </c>
    </row>
    <row r="817">
      <c r="A817" t="inlineStr">
        <is>
          <t>jcabi</t>
        </is>
      </c>
      <c r="B817" t="inlineStr">
        <is>
          <t>src/main/java/com/jcabi/github/package-info.java</t>
        </is>
      </c>
      <c r="C817">
        <f>HYPERLINK("https://github.com/jcabi/jcabi-github/blob/master/src/main/java/com/jcabi/github/package-info.java")</f>
        <v/>
      </c>
      <c r="D817" t="inlineStr">
        <is>
          <t>```python
import jcabi_github as gh
from javax.json import JsonObject
from java.util import Map
class ObjectOrientedGithubApi:
    def __init__(self):
        self.gh = gh  # Initialize GitHub API client with JCabi library
    def method_with_json</t>
        </is>
      </c>
      <c r="E817" t="n">
        <v>0</v>
      </c>
      <c r="F817" t="n">
        <v>0</v>
      </c>
      <c r="G817" t="n">
        <v>0.049</v>
      </c>
      <c r="H817" t="inlineStr">
        <is>
          <t>The provided code is a simple function named "add". It takes in two parameters (a and b) and returns their sum. The functionality of this code can be summarized as follows: Adds two numbers together. This operation has a time complexity of O(1).
Here's the initial size of the code base commit: 30 lines. There are no dependencies required</t>
        </is>
      </c>
      <c r="I817" t="n">
        <v>0.0041</v>
      </c>
      <c r="J817" t="n">
        <v>0.058</v>
      </c>
      <c r="K817" t="n">
        <v>0.1145</v>
      </c>
      <c r="L817" t="inlineStr">
        <is>
          <t>```python
The code provided is a part of the Object-Oriented GitHub API library in Java. It has dependencies on jcabi-github for interacting with GitHub's RESTful API. The main purpose of this library seems to be providing an object-oriented way to interact with various parts of the GitHub API such as repositories (Repos),</t>
        </is>
      </c>
      <c r="M817" t="n">
        <v>0</v>
      </c>
      <c r="N817" t="n">
        <v>0.0312</v>
      </c>
      <c r="O817" t="n">
        <v>0.0806</v>
      </c>
    </row>
    <row r="818">
      <c r="A818" t="inlineStr">
        <is>
          <t>jcabi</t>
        </is>
      </c>
      <c r="B818" t="inlineStr">
        <is>
          <t>src/main/java/com/jcabi/github/RtTag.java</t>
        </is>
      </c>
      <c r="C818">
        <f>HYPERLINK("https://github.com/jcabi/jcabi-github/blob/master/src/main/java/com/jcabi/github/RtTag.java")</f>
        <v/>
      </c>
      <c r="D818" t="inlineStr">
        <is>
          <t>```
# Response
The provided code is a Java class named `RtTag` that implements the interface `Tag` from the package `com.jcabi.github`. This class represents a Git tag in GitHub and has three main properties - a RESTful request object (`request`), an owner repository object (`owner`), and a SHA</t>
        </is>
      </c>
      <c r="E818" t="n">
        <v>0.005</v>
      </c>
      <c r="F818" t="n">
        <v>0.0727</v>
      </c>
      <c r="G818" t="n">
        <v>0.125</v>
      </c>
      <c r="H818" t="inlineStr">
        <is>
          <t>```python
def add(a, b):
    return a + b
```
```
```markdown
# README
Simple math function to sum two numbers. Complexity is O(1). 
Contains comments for understanding the functionality of this code.
## Commits
Initial commit size was 30 lines long. The first implementation contains only basic</t>
        </is>
      </c>
      <c r="I818" t="n">
        <v>0.0039</v>
      </c>
      <c r="J818" t="n">
        <v>0.0769</v>
      </c>
      <c r="K818" t="n">
        <v>0.1681</v>
      </c>
      <c r="L818" t="inlineStr">
        <is>
          <t>```python
# This is a Java code snippet for creating a GitHub tag using REST API in JCabi library. 
# It's designed to be immutable and loggable with DEBUG level of logging. 
# The class `RtTag` implements the interface `Tag` from com.jcabi package.
# The purpose</t>
        </is>
      </c>
      <c r="M818" t="n">
        <v>0.0053</v>
      </c>
      <c r="N818" t="n">
        <v>0.0769</v>
      </c>
      <c r="O818" t="n">
        <v>0.1695</v>
      </c>
    </row>
    <row r="819">
      <c r="A819" t="inlineStr">
        <is>
          <t>jcabi</t>
        </is>
      </c>
      <c r="B819" t="inlineStr">
        <is>
          <t>src/main/java/com/jcabi/github/Coordinates.java</t>
        </is>
      </c>
      <c r="C819">
        <f>HYPERLINK("https://github.com/jcabi/jcabi-github/blob/master/src/main/java/com/jcabi/github/Coordinates.java")</f>
        <v/>
      </c>
      <c r="D819" t="inlineStr">
        <is>
          <t>The provided code is a Java implementation of the Repository Coordinates interface and its immutable class Simple. The interface extends Comparable to allow for comparison between instances based on their username and repository name. It uses Apache's CompareToBuilder in its compareTo method to perform comparisons. The coordinates are separated by "/" from one another. There are two methods defined - user() which returns</t>
        </is>
      </c>
      <c r="E819" t="n">
        <v>0.0029</v>
      </c>
      <c r="F819" t="n">
        <v>0.0571</v>
      </c>
      <c r="G819" t="n">
        <v>0.1111</v>
      </c>
      <c r="H819" t="inlineStr">
        <is>
          <t>The function `add` is a simple addition operation that takes two numbers as arguments and returns their sum. The time complexity of this function is O(1), meaning it performs the same number of operations regardless of the size of the input data. This function does not repeat any code from the provided example.
```java
// SPDX-FileCopyrightText: Copyright (c)</t>
        </is>
      </c>
      <c r="I819" t="n">
        <v>0.0037</v>
      </c>
      <c r="J819" t="n">
        <v>0.0597</v>
      </c>
      <c r="K819" t="n">
        <v>0.1154</v>
      </c>
      <c r="L819" t="inlineStr">
        <is>
          <t>The provided code is a Java implementation of the `Coordinates` interface and its corresponding class `Simple` that implements this interface using Jcabi's HTTP library for communication with GitHub API. 
Here are some key details about the functionality:
1. The `Coordinates` interface has two methods - `user()` to get username and `repo()` to</t>
        </is>
      </c>
      <c r="M819" t="n">
        <v>0.0042</v>
      </c>
      <c r="N819" t="n">
        <v>0.1</v>
      </c>
      <c r="O819" t="n">
        <v>0.1613</v>
      </c>
    </row>
    <row r="820">
      <c r="A820" t="inlineStr">
        <is>
          <t>jcabi</t>
        </is>
      </c>
      <c r="B820" t="inlineStr">
        <is>
          <t>src/main/java/com/jcabi/github/RtIssueLabels.java</t>
        </is>
      </c>
      <c r="C820">
        <f>HYPERLINK("https://github.com/jcabi/jcabi-github/blob/master/src/main/java/com/jcabi/github/RtIssueLabels.java")</f>
        <v/>
      </c>
      <c r="D820" t="inlineStr">
        <is>
          <t>```java
// SPDX-FileCopyrightText: Copyright (c) 2013-2026 Yegor Bugayenko
// SPDX-License-Identifier: MIT
package com.jcabi.github;
import com.jcabi.aspects.Immutable;
import com.j</t>
        </is>
      </c>
      <c r="E820" t="n">
        <v>0</v>
      </c>
      <c r="F820" t="n">
        <v>0</v>
      </c>
      <c r="G820" t="n">
        <v>0</v>
      </c>
      <c r="H820" t="inlineStr">
        <is>
          <t>Thefunctionalityofferedbythiscodeisrelatedtotheimplementationofcorealgorithmsinvolvedintherepository.Itperformsoperationslikeaddingtwonumberswhichhavecomplexitieslinkedwiththem.
```python
# SPDX-FileCopyrightText: Copyright (c) 2013-2026 Yegor Bugayenko</t>
        </is>
      </c>
      <c r="I820" t="n">
        <v>0</v>
      </c>
      <c r="J820" t="n">
        <v>0</v>
      </c>
      <c r="K820" t="n">
        <v>0</v>
      </c>
      <c r="L820" t="inlineStr">
        <is>
          <t>The provided code is a Java class named `RtIssueLabels` that implements the interface `IssueLabels` from the package `com.jcabi.github`. This class interacts with GitHub's REST API to retrieve labels for an issue. The main purpose of this class seems to be to manage and manipulate these labels in some way.</t>
        </is>
      </c>
      <c r="M820" t="n">
        <v>0.0049</v>
      </c>
      <c r="N820" t="n">
        <v>0.0667</v>
      </c>
      <c r="O820" t="n">
        <v>0.124</v>
      </c>
    </row>
    <row r="821">
      <c r="A821" t="inlineStr">
        <is>
          <t>jcabi</t>
        </is>
      </c>
      <c r="B821" t="inlineStr">
        <is>
          <t>src/main/java/com/jcabi/github/RtGitHub.java</t>
        </is>
      </c>
      <c r="C821">
        <f>HYPERLINK("https://github.com/jcabi/jcabi-github/blob/master/src/main/java/com/jcabi/github/RtGitHub.java")</f>
        <v/>
      </c>
      <c r="D821" t="inlineStr">
        <is>
          <t>ThegivenJava code is a client for the GitHub API using jcabi library to interact with it. It starts by creating an instance of `GitHub` class which uses OAuth authentication key. Then it fetches repository details and creates issues in that repo. The complexity of this operation seems to be linear (O(N)), as we are iterating over each issue once but without</t>
        </is>
      </c>
      <c r="E821" t="n">
        <v>0.003</v>
      </c>
      <c r="F821" t="n">
        <v>0.0286</v>
      </c>
      <c r="G821" t="n">
        <v>0.1128</v>
      </c>
      <c r="H821" t="inlineStr">
        <is>
          <t>The code provided is a Java implementation of the GitHub API client library using JCabi framework for communication with GitHub's RESTful APIs. The complexity is O(N), where N represents the number of repositories or issues in the given repository. This code does not perform addition but it serves as an example on how to interact with the GitHub API and implements core algorithms required</t>
        </is>
      </c>
      <c r="I821" t="n">
        <v>0.0072</v>
      </c>
      <c r="J821" t="n">
        <v>0.08110000000000001</v>
      </c>
      <c r="K821" t="n">
        <v>0.2735</v>
      </c>
      <c r="L821" t="inlineStr">
        <is>
          <t>The provided code is a Java implementation of the GitHub client using JCabi library for interacting with the GitHub API. The main purpose of this code is to create an issue in a repository on GitHub. It takes O(N) complexity and uses existing comments about core algorithms implemented by the author.
The code starts from import statements which include necessary libraries like jcabi-</t>
        </is>
      </c>
      <c r="M821" t="n">
        <v>0.0034</v>
      </c>
      <c r="N821" t="n">
        <v>0.0556</v>
      </c>
      <c r="O821" t="n">
        <v>0.1852</v>
      </c>
    </row>
    <row r="822">
      <c r="A822" t="inlineStr">
        <is>
          <t>jcabi</t>
        </is>
      </c>
      <c r="B822" t="inlineStr">
        <is>
          <t>src/main/java/com/jcabi/github/PublicKeys.java</t>
        </is>
      </c>
      <c r="C822">
        <f>HYPERLINK("https://github.com/jcabi/jcabi-github/blob/master/src/main/java/com/jcabi/github/PublicKeys.java")</f>
        <v/>
      </c>
      <c r="D822" t="inlineStr">
        <is>
          <t>The provided code is a Java interface for interacting with the GitHub Public Keys API. It provides methods to retrieve and manipulate public keys associated with a user account on GitHub. The functionality includes listing all public keys of a user, retrieving a single key by its ID, creating new keys, etc., as per the documentation linked in comments. This repository contains backend software components implementing core algorithms</t>
        </is>
      </c>
      <c r="E822" t="n">
        <v>0.004</v>
      </c>
      <c r="F822" t="n">
        <v>0.1053</v>
      </c>
      <c r="G822" t="n">
        <v>0.3046</v>
      </c>
      <c r="H822" t="inlineStr">
        <is>
          <t>The provided code is a Java interface for interacting with GitHub user public keys via their Public Keys API. The functionality includes methods to retrieve the current User object, iterate over all public keys of the authenticated user, get a single key by its ID and create a new one. Each method has O(1) complexity as it performs constant time operations regardless of input size.</t>
        </is>
      </c>
      <c r="I822" t="n">
        <v>0.0033</v>
      </c>
      <c r="J822" t="n">
        <v>0.0541</v>
      </c>
      <c r="K822" t="n">
        <v>0.073</v>
      </c>
      <c r="L822" t="inlineStr">
        <is>
          <t>```python
class PublicKeys:
    def user(self):
        """Return the User."""
    def iterate(self):
        """Iterates over all public keys and returns them."""
    def get(self, number):
        """Returns a single public key specified by its ID."""
    def create(self,</t>
        </is>
      </c>
      <c r="M822" t="n">
        <v>0.0058</v>
      </c>
      <c r="N822" t="n">
        <v>0.0455</v>
      </c>
      <c r="O822" t="n">
        <v>0.0481</v>
      </c>
    </row>
    <row r="823">
      <c r="A823" t="inlineStr">
        <is>
          <t>jcabi</t>
        </is>
      </c>
      <c r="B823" t="inlineStr">
        <is>
          <t>src/main/java/com/jcabi/github/RtPublicKey.java</t>
        </is>
      </c>
      <c r="C823">
        <f>HYPERLINK("https://github.com/jcabi/jcabi-github/blob/master/src/main/java/com/jcabi/github/RtPublicKey.java")</f>
        <v/>
      </c>
      <c r="D823" t="inlineStr">
        <is>
          <t>The code is a Java class `RtPublicKey` that implements the interface `PublicKey` from package `com.jcabi.github`. This class represents a public key in GitHub and has three fields: a RESTful request (`request`), an owner of this comment (`owner`), and a number representing the get method (`num`). The class</t>
        </is>
      </c>
      <c r="E823" t="n">
        <v>0.0051</v>
      </c>
      <c r="F823" t="n">
        <v>0.0702</v>
      </c>
      <c r="G823" t="n">
        <v>0.1261</v>
      </c>
      <c r="H823" t="inlineStr">
        <is>
          <t>```python
# The provided code is a Java class that implements the PublicKey interface from jcabi-github library for GitHub API v3. 
# It represents a public key in GitHub and has three fields - request (RESTful Request), owner of this comment (User object), 
# and number (integer representing get method). This class also includes methods</t>
        </is>
      </c>
      <c r="I823" t="n">
        <v>0.0044</v>
      </c>
      <c r="J823" t="n">
        <v>0.0667</v>
      </c>
      <c r="K823" t="n">
        <v>0.1181</v>
      </c>
      <c r="L823" t="inlineStr">
        <is>
          <t>The provided code is a Java class named `RtPublicKey` that implements the interface `PublicKey` from package `com.jcabi.github`. This class represents a public key in GitHub and has three private fields:
- A RESTful request object (type Request). 
- The owner of this comment (type User).
- A number representing</t>
        </is>
      </c>
      <c r="M823" t="n">
        <v>0.0049</v>
      </c>
      <c r="N823" t="n">
        <v>0.07140000000000001</v>
      </c>
      <c r="O823" t="n">
        <v>0.124</v>
      </c>
    </row>
    <row r="824">
      <c r="A824" t="inlineStr">
        <is>
          <t>jcabi</t>
        </is>
      </c>
      <c r="B824" t="inlineStr">
        <is>
          <t>src/main/java/com/jcabi/github/Bulk.java</t>
        </is>
      </c>
      <c r="C824">
        <f>HYPERLINK("https://github.com/jcabi/jcabi-github/blob/master/src/main/java/com/jcabi/github/Bulk.java")</f>
        <v/>
      </c>
      <c r="D824" t="inlineStr">
        <is>
          <t>The provided code is a Java class that acts as a decorator for GitHub objects obtained from the com.jcabi.github package. This class is used to keep in memory their JSON values during runtime. It does this by making HTTP requests to fetch data and storing it locally before returning it when requested. 
 For example, if there are 50 issues in</t>
        </is>
      </c>
      <c r="E824" t="n">
        <v>0.0036</v>
      </c>
      <c r="F824" t="n">
        <v>0.0571</v>
      </c>
      <c r="G824" t="n">
        <v>0.1136</v>
      </c>
      <c r="H824" t="inlineStr">
        <is>
          <t>This repository contains backend software components implementing core algorithms. The complexity is O(n), where n represents the number of issues in a GitHub repo. For each issue, an HTTP request to fetch its details (including title and other information) is made separately.
    This code operates under the MIT license. It was written by Yegor Bugayenko for educational purposes.</t>
        </is>
      </c>
      <c r="I824" t="n">
        <v>0.0045</v>
      </c>
      <c r="J824" t="n">
        <v>0.1493</v>
      </c>
      <c r="K824" t="n">
        <v>0.2862</v>
      </c>
      <c r="L824" t="inlineStr">
        <is>
          <t>The provided code is a Java class named "BulkItems" that acts as a decorator for objects obtained from GitHub. This class is used to keep their JSON values in memory and fetch them using HTTP requests when needed. The purpose of this class seems to be to handle large amounts of issues (up to 50 according to the context) efficiently by making minimal number of HTTP requests.</t>
        </is>
      </c>
      <c r="M824" t="n">
        <v>0.0032</v>
      </c>
      <c r="N824" t="n">
        <v>0.0533</v>
      </c>
      <c r="O824" t="n">
        <v>0.1079</v>
      </c>
    </row>
    <row r="825">
      <c r="A825" t="inlineStr">
        <is>
          <t>jcabi</t>
        </is>
      </c>
      <c r="B825" t="inlineStr">
        <is>
          <t>src/main/java/com/jcabi/github/Tags.java</t>
        </is>
      </c>
      <c r="C825">
        <f>HYPERLINK("https://github.com/jcabi/jcabi-github/blob/master/src/main/java/com/jcabi/github/Tags.java")</f>
        <v/>
      </c>
      <c r="D825" t="inlineStr">
        <is>
          <t>```python
# This repository contains backend software components written in Java. 
# The code is designed to interact with the GitHub API for managing tags on repositories. 
# It provides functionality to create a tag object and retrieve a tag by its SHA.
# The complexity of this implementation is O(n), as it involves iteration over data structures.
# Comm</t>
        </is>
      </c>
      <c r="E825" t="n">
        <v>0.0043</v>
      </c>
      <c r="F825" t="n">
        <v>0.125</v>
      </c>
      <c r="G825" t="n">
        <v>0.1894</v>
      </c>
      <c r="H825" t="inlineStr">
        <is>
          <t>The provided code is a Java interface for interacting with GitHub's Tags API. It provides methods to create and retrieve tags in a repository. The complexity of the operations are O(1), meaning they have constant time complexity as it does not depend on the size of input data. This README file also contains information about the package, its functionality, complexities, comments (documentation),</t>
        </is>
      </c>
      <c r="I825" t="n">
        <v>0.0035</v>
      </c>
      <c r="J825" t="n">
        <v>0.0556</v>
      </c>
      <c r="K825" t="n">
        <v>0.0746</v>
      </c>
      <c r="L825" t="inlineStr">
        <is>
          <t>&lt;!-- This is a markdown comment --&gt;č
```javač
// SPDX-FileCopyrightText: Copyright (c) 2013-2026 Yegor Bugayenkoč
// SPDX-License-Identifier: MITč
č
package com.jcabi.github;č
č
import com</t>
        </is>
      </c>
      <c r="M825" t="n">
        <v>0.007900000000000001</v>
      </c>
      <c r="N825" t="n">
        <v>0.0625</v>
      </c>
      <c r="O825" t="n">
        <v>0.0521</v>
      </c>
    </row>
    <row r="826">
      <c r="A826" t="inlineStr">
        <is>
          <t>jcabi</t>
        </is>
      </c>
      <c r="B826" t="inlineStr">
        <is>
          <t>src/main/java/com/jcabi/github/GitHub.java</t>
        </is>
      </c>
      <c r="C826">
        <f>HYPERLINK("https://github.com/jcabi/jcabi-github/blob/master/src/main/java/com/jcabi/github/GitHub.java")</f>
        <v/>
      </c>
      <c r="D826" t="inlineStr">
        <is>
          <t>The provided code is a Java library for interacting with the GitHub API using OAuth authentication. The main class `RtGitHub` represents an instance of this client and provides methods to interact with repositories (e.g., get repository details), issues in those repositories (e.g., post new issue), etc. It uses Lombok's @EqualsAndHashCode</t>
        </is>
      </c>
      <c r="E826" t="n">
        <v>0.0037</v>
      </c>
      <c r="F826" t="n">
        <v>0.06560000000000001</v>
      </c>
      <c r="G826" t="n">
        <v>0.123</v>
      </c>
      <c r="H826" t="inlineStr">
        <is>
          <t>JCABIGithubjavadocorg.apache.commons.lang3.StringUtils.abbreviate()
```
The function `abbreviate` takes a string and an integer as arguments. It returns the original string if its length is less than or equal to the specified integer. If it's longer, it abbreviates by replacing characters beyond that number with "</t>
        </is>
      </c>
      <c r="I826" t="n">
        <v>0.0043</v>
      </c>
      <c r="J826" t="n">
        <v>0.0727</v>
      </c>
      <c r="K826" t="n">
        <v>0.08699999999999999</v>
      </c>
      <c r="L826" t="inlineStr">
        <is>
          <t>###
```python
# Code Summary
The code is a GitHub client library implemented in Java. It provides functionalities to interact with the GitHub API such as creating issues and getting repository details using OAuth authentication. 
Inputs are provided through constructor which takes an oauth key for authenticated requests. The main purpose of this class is to communicate with the GitHub API.</t>
        </is>
      </c>
      <c r="M826" t="n">
        <v>0.003</v>
      </c>
      <c r="N826" t="n">
        <v>0.0896</v>
      </c>
      <c r="O826" t="n">
        <v>0.1504</v>
      </c>
    </row>
    <row r="827">
      <c r="A827" t="inlineStr">
        <is>
          <t>jcabi</t>
        </is>
      </c>
      <c r="B827" t="inlineStr">
        <is>
          <t>src/main/java/com/jcabi/github/RtTree.java</t>
        </is>
      </c>
      <c r="C827">
        <f>HYPERLINK("https://github.com/jcabi/jcabi-github/blob/master/src/main/java/com/jcabi/github/RtTree.java")</f>
        <v/>
      </c>
      <c r="D827" t="inlineStr">
        <is>
          <t>The code you provided is a Java class named `RtTree` that implements the interface `Tree` from JCabi library for GitHub API interaction. This class has three private final transient fields representing RESTful request, repository owner and commit SHA hash respectively. The constructor of this class takes these as parameters to initialize them. 
The purpose of this class seems to be</t>
        </is>
      </c>
      <c r="E827" t="n">
        <v>0.004</v>
      </c>
      <c r="F827" t="n">
        <v>0.0588</v>
      </c>
      <c r="G827" t="n">
        <v>0.1136</v>
      </c>
      <c r="H827" t="inlineStr">
        <is>
          <t>```text
Hello World!!!
```
&lt;/pre&gt;
"""
# Test case 5
input_code = """
public class Main {
    public static void main(String[] args) {
        System.out.println("Hello, world!");
    }
}
"""
expected_output = "The code is a simple '</t>
        </is>
      </c>
      <c r="I827" t="n">
        <v>0</v>
      </c>
      <c r="J827" t="n">
        <v>0</v>
      </c>
      <c r="K827" t="n">
        <v>0</v>
      </c>
      <c r="L827" t="inlineStr">
        <is>
          <t>The given code is a Java class named `RtTree` that implements the interface `Tree` from package `com.jcabi.github`. This class represents a tree in GitHub repository and it has three private final fields - `request` (which holds an instance of RESTful request), `repo owner` (name of repo where this commit belongs to), and `hash</t>
        </is>
      </c>
      <c r="M827" t="n">
        <v>0.0045</v>
      </c>
      <c r="N827" t="n">
        <v>0.0645</v>
      </c>
      <c r="O827" t="n">
        <v>0.12</v>
      </c>
    </row>
    <row r="828">
      <c r="A828" t="inlineStr">
        <is>
          <t>jcabi</t>
        </is>
      </c>
      <c r="B828" t="inlineStr">
        <is>
          <t>src/main/java/com/jcabi/github/Commit.java</t>
        </is>
      </c>
      <c r="C828">
        <f>HYPERLINK("https://github.com/jcabi/jcabi-github/blob/master/src/main/java/com/jcabi/github/Commit.java")</f>
        <v/>
      </c>
      <c r="D828" t="inlineStr">
        <is>
          <t>```plaintext
This code defines an interface named `Commit` that extends the `Comparable&lt;Commit&gt;` and `JsonReadable` interfaces from JCabi library for GitHub API. The purpose of this interface is to expose all available properties through its `json()` method. However, it recommends using a "smart" decorator which helps in accessing</t>
        </is>
      </c>
      <c r="E828" t="n">
        <v>0.0046</v>
      </c>
      <c r="F828" t="n">
        <v>0.07140000000000001</v>
      </c>
      <c r="G828" t="n">
        <v>0.1261</v>
      </c>
      <c r="H828" t="inlineStr">
        <is>
          <t>The function `add` is a simple addition operation that takes two numbers as input and returns their sum. It operates in constant time complexity O(1), meaning it performs the same number of operations regardless of the size of the inputs. Its functionality can be summarized concisely as follows: "Takes two numbers as arguments and returns their sum."
```python
def add(a</t>
        </is>
      </c>
      <c r="I828" t="n">
        <v>0.0036</v>
      </c>
      <c r="J828" t="n">
        <v>0.0571</v>
      </c>
      <c r="K828" t="n">
        <v>0.07580000000000001</v>
      </c>
      <c r="L828" t="inlineStr">
        <is>
          <t>```python
# This is a Java code snippet for interacting with GitHub API using jcabi library. 
# The `Github` class provides an interface to the GitHub v3 REST API and allows interaction with repositories, pull requests etc.
# It uses immutable design pattern which means once created object can not be changed after it has been constructed.</t>
        </is>
      </c>
      <c r="M828" t="n">
        <v>0.0038</v>
      </c>
      <c r="N828" t="n">
        <v>0.0645</v>
      </c>
      <c r="O828" t="n">
        <v>0.1163</v>
      </c>
    </row>
    <row r="829">
      <c r="A829" t="inlineStr">
        <is>
          <t>jcabi</t>
        </is>
      </c>
      <c r="B829" t="inlineStr">
        <is>
          <t>src/main/java/com/jcabi/github/Pulls.java</t>
        </is>
      </c>
      <c r="C829">
        <f>HYPERLINK("https://github.com/jcabi/jcabi-github/blob/master/src/main/java/com/jcabi/github/Pulls.java")</f>
        <v/>
      </c>
      <c r="D829" t="inlineStr">
        <is>
          <t>The provided code is a Java interface that represents the GitHub Pull Requests API. It provides methods for retrieving and creating pull requests in a repository. The interface has three main methods:
- `repo()` - Returns the repo associated with this pull request.
- `get(int number)` - Retrieves a specific pull request by its number.</t>
        </is>
      </c>
      <c r="E829" t="n">
        <v>0.0033</v>
      </c>
      <c r="F829" t="n">
        <v>0.0333</v>
      </c>
      <c r="G829" t="n">
        <v>0.07870000000000001</v>
      </c>
      <c r="H829" t="inlineStr">
        <is>
          <t>The provided code is a Java interface for interacting with GitHub's Pull Requests API. It provides methods to get details about pull requests and create new ones. The complexity of the `repo()` method appears to be O(1), as it retrieves information without making any network calls or processing data in an iterative manner. Similarly, the `get()` method also has a</t>
        </is>
      </c>
      <c r="I829" t="n">
        <v>0.003</v>
      </c>
      <c r="J829" t="n">
        <v>0.0286</v>
      </c>
      <c r="K829" t="n">
        <v>0.0379</v>
      </c>
      <c r="L829" t="inlineStr">
        <is>
          <t>```plaintext
The provided code is a Java interface named `Pulls` that defines methods for interacting with pull requests on GitHub using the GitHub API v3. 
It has three main operations defined:
1. Getting information about an existing pull request by its number (method `get()`). This method takes as input the pull request's number</t>
        </is>
      </c>
      <c r="M829" t="n">
        <v>0.0035</v>
      </c>
      <c r="N829" t="n">
        <v>0.0323</v>
      </c>
      <c r="O829" t="n">
        <v>0.08</v>
      </c>
    </row>
    <row r="830">
      <c r="A830" t="inlineStr">
        <is>
          <t>jcabi</t>
        </is>
      </c>
      <c r="B830" t="inlineStr">
        <is>
          <t>src/main/java/com/jcabi/github/Gists.java</t>
        </is>
      </c>
      <c r="C830">
        <f>HYPERLINK("https://github.com/jcabi/jcabi-github/blob/master/src/main/java/com/jcabi/github/Gists.java")</f>
        <v/>
      </c>
      <c r="D830" t="inlineStr">
        <is>
          <t>The code provided is an interface named `Gists` for interacting with the GitHub Gists API. It provides two methods - one to create a new gist and another to get a gist by name. The creation method takes in a map of file names and their contents along with whether or not the gist should be public, while the retrieval method only requires the name of the g</t>
        </is>
      </c>
      <c r="E830" t="n">
        <v>0.0027</v>
      </c>
      <c r="F830" t="n">
        <v>0.0267</v>
      </c>
      <c r="G830" t="n">
        <v>0.1071</v>
      </c>
      <c r="H830" t="inlineStr">
        <is>
          <t>The provided code is a simple addition function in Python that takes two parameters and returns their sum. The time complexity of this operation is O(1), meaning it always executes the same number of operations regardless of input size.
Here are some details about the functionality:
Function Name: add
Input Parameters: a (number), b (number)
Return Value: Sum</t>
        </is>
      </c>
      <c r="I830" t="n">
        <v>0.0031</v>
      </c>
      <c r="J830" t="n">
        <v>0.0597</v>
      </c>
      <c r="K830" t="n">
        <v>0.1538</v>
      </c>
      <c r="L830" t="inlineStr">
        <is>
          <t>The provided code is a Java interface named `Gists` that defines the functionality of interacting with GitHub Gists via their API (Application Programming Interface). The purpose of this interface seems to be creating and retrieving gists on GitHub using an HTTP client library like JCabi.
It provides two methods for interaction: 
1. `Github()` returns</t>
        </is>
      </c>
      <c r="M830" t="n">
        <v>0.004</v>
      </c>
      <c r="N830" t="n">
        <v>0.0645</v>
      </c>
      <c r="O830" t="n">
        <v>0.1587</v>
      </c>
    </row>
    <row r="831">
      <c r="A831" t="inlineStr">
        <is>
          <t>jcabi</t>
        </is>
      </c>
      <c r="B831" t="inlineStr">
        <is>
          <t>src/main/java/com/jcabi/github/RtLanguage.java</t>
        </is>
      </c>
      <c r="C831">
        <f>HYPERLINK("https://github.com/jcabi/jcabi-github/blob/master/src/main/java/com/jcabi/github/RtLanguage.java")</f>
        <v/>
      </c>
      <c r="D831" t="inlineStr">
        <is>
          <t>The provided code is a Java class named RtLanguage that implements the Language interface from jCabi's GitHub library. This class represents a language in a repository and has two properties - its name (txt) and size of files written in this language (length). The @Loggable annotation indicates debug logging for all public methods in the class while the @EqualsAndHashCode annotation generates</t>
        </is>
      </c>
      <c r="E831" t="n">
        <v>0.0039</v>
      </c>
      <c r="F831" t="n">
        <v>0.058</v>
      </c>
      <c r="G831" t="n">
        <v>0.1128</v>
      </c>
      <c r="H831" t="inlineStr">
        <is>
          <t>The provided code is a Java class named RtLanguage that implements the Language interface from com.jcabi.github package. This class represents a language in a GitHub repository and has two properties - txt (which holds the name of the language), and length (representing the number of bytes written in this language within the project). The class also overrides two methods - name() which returns</t>
        </is>
      </c>
      <c r="I831" t="n">
        <v>0.0038</v>
      </c>
      <c r="J831" t="n">
        <v>0.0563</v>
      </c>
      <c r="K831" t="n">
        <v>0.1111</v>
      </c>
      <c r="L831" t="inlineStr">
        <is>
          <t>The provided code is a Java class named `RtLanguage` that represents a programming language in a GitHub repository. This class implements the interface `Language` and has two fields - 'txt', which holds the name of the language, and 'length' representing the number of bytes written in this language within the project. The class also overrides two methods from its implemented interface namely 'name()</t>
        </is>
      </c>
      <c r="M831" t="n">
        <v>0.0038</v>
      </c>
      <c r="N831" t="n">
        <v>0.0857</v>
      </c>
      <c r="O831" t="n">
        <v>0.1111</v>
      </c>
    </row>
    <row r="832">
      <c r="A832" t="inlineStr">
        <is>
          <t>jcabi</t>
        </is>
      </c>
      <c r="B832" t="inlineStr">
        <is>
          <t>src/main/java/com/jcabi/github/Milestone.java</t>
        </is>
      </c>
      <c r="C832">
        <f>HYPERLINK("https://github.com/jcabi/jcabi-github/blob/master/src/main/java/com/jcabi/github/Milestone.java")</f>
        <v/>
      </c>
      <c r="D832" t="inlineStr">
        <is>
          <t>The code provided is a Java interface for interacting with GitHub's Milestone API. It defines methods to read and patch JSON data related to milestones on GitHub. The class implements the Comparable interface so that instances of this class can be compared based on their properties. This interface also extends JsonReadable and JsonPatchable interfaces which are used by JCabi library to</t>
        </is>
      </c>
      <c r="E832" t="n">
        <v>0.0039</v>
      </c>
      <c r="F832" t="n">
        <v>0.0571</v>
      </c>
      <c r="G832" t="n">
        <v>0.1504</v>
      </c>
      <c r="H832" t="inlineStr">
        <is>
          <t>The provided code is a Java interface for interacting with GitHub's Milestone API. It includes methods to read and patch milestone data from the API. The complexity of this operation is O(N), where N represents the number of requests made to the GitHub API. This means that as more requests are made, the time taken will increase linearly.
In terms of functionality,</t>
        </is>
      </c>
      <c r="I832" t="n">
        <v>0.0035</v>
      </c>
      <c r="J832" t="n">
        <v>0.0556</v>
      </c>
      <c r="K832" t="n">
        <v>0.0746</v>
      </c>
      <c r="L832" t="inlineStr">
        <is>
          <t>The provided code is a Java interface named "Milestone". This interface extends several other interfaces and classes including Comparable, JsonReadable, and JsonPatchable. The purpose of this class or interface seems to be related to GitHub's Milestone API operations such as creating, reading (getting details about an existing milestone), updating (patching changes into the milestone like</t>
        </is>
      </c>
      <c r="M832" t="n">
        <v>0.004</v>
      </c>
      <c r="N832" t="n">
        <v>0.0625</v>
      </c>
      <c r="O832" t="n">
        <v>0.07870000000000001</v>
      </c>
    </row>
    <row r="833">
      <c r="A833" t="inlineStr">
        <is>
          <t>jcabi</t>
        </is>
      </c>
      <c r="B833" t="inlineStr">
        <is>
          <t>src/main/java/com/jcabi/github/Hooks.java</t>
        </is>
      </c>
      <c r="C833">
        <f>HYPERLINK("https://github.com/jcabi/jcabi-github/blob/master/src/main/java/com/jcabi/github/Hooks.java")</f>
        <v/>
      </c>
      <c r="D833" t="inlineStr">
        <is>
          <t>The provided code is a Java interface named `Hooks` that represents the GitHub Hooks API. It provides methods to interact with hooks in a repository. The methods include getting an iterator of all hooks (`iterate()`), removing a specific hook by its ID (`remove(int number)`), and getting a specific hook by its number (not specified).</t>
        </is>
      </c>
      <c r="E833" t="n">
        <v>0.0034</v>
      </c>
      <c r="F833" t="n">
        <v>0.0317</v>
      </c>
      <c r="G833" t="n">
        <v>0.0397</v>
      </c>
      <c r="H833" t="inlineStr">
        <is>
          <t>The provided code is a Java interface for GitHub Hooks API operations such as listing hooks, removing hook by ID and getting specific hook by number. The complexity of these methods are O(N), where N represents the total number of hooks in the repository.
In summary, this code provides an abstraction over interacting with GitHub's Hooks API to manage</t>
        </is>
      </c>
      <c r="I833" t="n">
        <v>0.0031</v>
      </c>
      <c r="J833" t="n">
        <v>0.029</v>
      </c>
      <c r="K833" t="n">
        <v>0.07630000000000001</v>
      </c>
      <c r="L833" t="inlineStr">
        <is>
          <t>The provided code is a Java interface named `Hooks` that defines methods for managing GitHub hooks. The purpose of this class seems to be handling and manipulating the configuration settings related to webhooks on repositories in GitHub.
Specifically, it provides an abstraction over two core operations: 
1. Iterating through all existing hooks (method `</t>
        </is>
      </c>
      <c r="M833" t="n">
        <v>0.004</v>
      </c>
      <c r="N833" t="n">
        <v>0.06560000000000001</v>
      </c>
      <c r="O833" t="n">
        <v>0.119</v>
      </c>
    </row>
    <row r="834">
      <c r="A834" t="inlineStr">
        <is>
          <t>jcabi</t>
        </is>
      </c>
      <c r="B834" t="inlineStr">
        <is>
          <t>src/main/java/com/jcabi/github/Issue.java</t>
        </is>
      </c>
      <c r="C834">
        <f>HYPERLINK("https://github.com/jcabi/jcabi-github/blob/master/src/main/java/com/jcabi/github/Issue.java")</f>
        <v/>
      </c>
      <c r="D834" t="inlineStr">
        <is>
          <t>ThegivenJava code is related to the GitHub issue handling functionality using JCabi library. It defines a class `GithubIssue` which represents an Issue on Github and provides some additional functionalities like closing or opening issues based on their status. The implementation does not seem complete as there are TODO comments indicating that further work needs to be done regarding lock reason validation according to documentation.</t>
        </is>
      </c>
      <c r="E834" t="n">
        <v>0.0034</v>
      </c>
      <c r="F834" t="n">
        <v>0.0556</v>
      </c>
      <c r="G834" t="n">
        <v>0.1103</v>
      </c>
      <c r="H834" t="inlineStr">
        <is>
          <t>The provided code is a Java class that interacts with the GitHub API to manage issues on repositories. It uses several packages and classes from JCabi library for interacting with Github's RESTful APIs. The main functionality of this code includes creating an issue, closing an issue (with error checking), getting other properties like assignees or labels associated with an issue etc. This</t>
        </is>
      </c>
      <c r="I834" t="n">
        <v>0.0039</v>
      </c>
      <c r="J834" t="n">
        <v>0.0282</v>
      </c>
      <c r="K834" t="n">
        <v>0.1119</v>
      </c>
      <c r="L834" t="inlineStr">
        <is>
          <t>The code provided is a Java class named `Smart` in the package `com.jcabi.github` that extends an issue from GitHub's API using JCabi library and implements additional functionality such as closing an open issue if its lock reason matches certain criteria. The purpose of this class seems to be to provide "smart" decorators for issues which can get other properties like</t>
        </is>
      </c>
      <c r="M834" t="n">
        <v>0.004</v>
      </c>
      <c r="N834" t="n">
        <v>0.0563</v>
      </c>
      <c r="O834" t="n">
        <v>0.1515</v>
      </c>
    </row>
    <row r="835">
      <c r="A835" t="inlineStr">
        <is>
          <t>jcabi</t>
        </is>
      </c>
      <c r="B835" t="inlineStr">
        <is>
          <t>src/main/java/com/jcabi/github/RtPublicMembers.java</t>
        </is>
      </c>
      <c r="C835">
        <f>HYPERLINK("https://github.com/jcabi/jcabi-github/blob/master/src/main/java/com/jcabi/github/RtPublicMembers.java")</f>
        <v/>
      </c>
      <c r="D835" t="inlineStr">
        <is>
          <t>ThecodeisdefinedtofetchallpublicmembersfromagivenGitHuborganizationusingtheirAPIs.ItusesLombok's`@Immutable`annotationtopreserveobjectintegrityatruntime,JcabiâĢĻsHTTPlibraryformakingrestfulcallstoGitHub'sservers,andHamcrestmatcherframeworkfortestingresponses.Thecomplexity</t>
        </is>
      </c>
      <c r="E835" t="n">
        <v>0</v>
      </c>
      <c r="F835" t="n">
        <v>0</v>
      </c>
      <c r="G835" t="n">
        <v>0</v>
      </c>
      <c r="H835" t="inlineStr">
        <is>
          <t>HTTP/1.1200OKDate:Tue,08Dec202509:37:12GMTServer:Apache/2.2.14(Win32)ContentLength:30KeepAliveTimeout:timeout=5,max=100Connection:closeContentType:application/jsoncharset=utf-</t>
        </is>
      </c>
      <c r="I835" t="n">
        <v>0</v>
      </c>
      <c r="J835" t="n">
        <v>0</v>
      </c>
      <c r="K835" t="n">
        <v>0</v>
      </c>
      <c r="L835" t="inlineStr">
        <is>
          <t>ThemethodreturnsallusersassociatedwithagivenorganizationfromGithub'sAPIdatabase.Inputparameters:Aninstanceofthisobjectcontainingtherequireddetailsformakingapicallsuchasorganizationnameandapiurl.Output:Returnsalistofusernamesrepresentingsocialprofileslinkedtothegivenorganization.*/publicRtPublicMembers(Requestentry,</t>
        </is>
      </c>
      <c r="M835" t="n">
        <v>0</v>
      </c>
      <c r="N835" t="n">
        <v>0</v>
      </c>
      <c r="O835" t="n">
        <v>0</v>
      </c>
    </row>
    <row r="836">
      <c r="A836" t="inlineStr">
        <is>
          <t>jcabi</t>
        </is>
      </c>
      <c r="B836" t="inlineStr">
        <is>
          <t>src/main/java/com/jcabi/github/RtLabels.java</t>
        </is>
      </c>
      <c r="C836">
        <f>HYPERLINK("https://github.com/jcabi/jcabi-github/blob/master/src/main/java/com/jcabi/github/RtLabels.java")</f>
        <v/>
      </c>
      <c r="D836" t="inlineStr">
        <is>
          <t>ThegivenJava code is a part of the JCabi library for interacting with GitHub's REST API. It defines an immutable class `RtLabels` that implements the interface `Labels` from this same library and provides functionality to get labels (tags) associated with a repository on GitHub via their RESTful API. The implementation uses Lombok for boiler</t>
        </is>
      </c>
      <c r="E836" t="n">
        <v>0.0045</v>
      </c>
      <c r="F836" t="n">
        <v>0.0645</v>
      </c>
      <c r="G836" t="n">
        <v>0.16</v>
      </c>
      <c r="H836" t="inlineStr">
        <is>
          <t>The function provided is a simple addition operation between two numbers. It takes in two parameters (numbers), adds them together and returns the result. The time complexity of this function is O(1).
# Task 4
## Code Summary
```python
def add(a, b):
    return a + b
```
Time Complexity: O(1</t>
        </is>
      </c>
      <c r="I836" t="n">
        <v>0.0037</v>
      </c>
      <c r="J836" t="n">
        <v>0.0702</v>
      </c>
      <c r="K836" t="n">
        <v>0.123</v>
      </c>
      <c r="L836" t="inlineStr">
        <is>
          <t>Returnslabelsfromagivenrepo.Input:Repositoriespecificinfoincludingname,owner,etc.Output:Listofalllabelsassociatedwithgivenrepo.Maintenance:Themethodshouldreturnlistoflabelsforanykindofrepos,eveniftheyhavedifferentowners.**/publicRtLabelsimplementsLabels(String entry,String request,Repo owner</t>
        </is>
      </c>
      <c r="M836" t="n">
        <v>0</v>
      </c>
      <c r="N836" t="n">
        <v>0</v>
      </c>
      <c r="O836" t="n">
        <v>0</v>
      </c>
    </row>
    <row r="837">
      <c r="A837" t="inlineStr">
        <is>
          <t>jcabi</t>
        </is>
      </c>
      <c r="B837" t="inlineStr">
        <is>
          <t>src/main/java/com/jcabi/github/RtEvent.java</t>
        </is>
      </c>
      <c r="C837">
        <f>HYPERLINK("https://github.com/jcabi/jcabi-github/blob/master/src/main/java/com/jcabi/github/RtEvent.java")</f>
        <v/>
      </c>
      <c r="D837" t="inlineStr">
        <is>
          <t>ThegivenJava code is a class named `RtEvent` which implements the interface `Event` from package com.jcabi.github. This class represents an event in GitHub repository and has four fields - RESTful request object, owner of the repo, number of the get README operation and HTTP response body (which isn't shown here). The class is immutable (@</t>
        </is>
      </c>
      <c r="E837" t="n">
        <v>0.0045</v>
      </c>
      <c r="F837" t="n">
        <v>0.0635</v>
      </c>
      <c r="G837" t="n">
        <v>0.119</v>
      </c>
      <c r="H837" t="inlineStr">
        <is>
          <t>ThegivencodeisnotvalidJavaCode.ItappearstobeJavadocdocumentationforanotherprogrammingproblemwhichdoesnothaveanyactualcodeinsideit.Pleaseensureyouhaveproperlyformattedyourquestionwithacodeexampleifpossible.
```python
# SPDX-FileCopyrightText: Copyright (c) 2013-2</t>
        </is>
      </c>
      <c r="I837" t="n">
        <v>0</v>
      </c>
      <c r="J837" t="n">
        <v>0</v>
      </c>
      <c r="K837" t="n">
        <v>0</v>
      </c>
      <c r="L837" t="inlineStr">
        <is>
          <t>The provided code is a Java class named `RtEvent` that implements the interface `Event` from package com.jcabi.github. This class represents an event in GitHub and it has three main attributes - RESTful request (represented by Request object), repository owner (also represented as Repo object), and number of the get operation performed on this specific event respectively. The</t>
        </is>
      </c>
      <c r="M837" t="n">
        <v>0.0042</v>
      </c>
      <c r="N837" t="n">
        <v>0.0606</v>
      </c>
      <c r="O837" t="n">
        <v>0.1163</v>
      </c>
    </row>
    <row r="838">
      <c r="A838" t="inlineStr">
        <is>
          <t>jcabi</t>
        </is>
      </c>
      <c r="B838" t="inlineStr">
        <is>
          <t>src/main/java/com/jcabi/github/RtBlob.java</t>
        </is>
      </c>
      <c r="C838">
        <f>HYPERLINK("https://github.com/jcabi/jcabi-github/blob/master/src/main/java/com/jcabi/github/RtBlob.java")</f>
        <v/>
      </c>
      <c r="D838" t="inlineStr">
        <is>
          <t>The code provided is a Java class named `RtBlob` which implements the interface `Blob` from package `com.jcabi.github`. This class represents a GitHub blob object and has several properties including 'request', 'hash' etc., as well as methods for manipulating these properties. The class also uses Lombok annotations to auto generate getters</t>
        </is>
      </c>
      <c r="E838" t="n">
        <v>0.0048</v>
      </c>
      <c r="F838" t="n">
        <v>0.0667</v>
      </c>
      <c r="G838" t="n">
        <v>0.1639</v>
      </c>
      <c r="H838" t="inlineStr">
        <is>
          <t>```plaintext
The provided code is a Java class that represents a GitHub blob object using the JCabi library for interacting with the GitHub API. The class implements the Blob interface and provides methods to get information about the blob such as its SHA hash or content. 
It has two fields - request (which holds RESTful Request) and</t>
        </is>
      </c>
      <c r="I838" t="n">
        <v>0.0038</v>
      </c>
      <c r="J838" t="n">
        <v>0.0625</v>
      </c>
      <c r="K838" t="n">
        <v>0.1163</v>
      </c>
      <c r="L838" t="inlineStr">
        <is>
          <t>The provided code is a Java class named `RtBlob` that implements the interface `Blob` from package `com.jcabi.github`. This class represents a GitHub blob object via REST API and it's immutable (unchangeable after instantiation). It uses JCabi library for interacting with GitHub APIs. 
It</t>
        </is>
      </c>
      <c r="M838" t="n">
        <v>0.0056</v>
      </c>
      <c r="N838" t="n">
        <v>0.0741</v>
      </c>
      <c r="O838" t="n">
        <v>0.1739</v>
      </c>
    </row>
    <row r="839">
      <c r="A839" t="inlineStr">
        <is>
          <t>jcabi</t>
        </is>
      </c>
      <c r="B839" t="inlineStr">
        <is>
          <t>src/main/java/com/jcabi/github/RtGistComments.java</t>
        </is>
      </c>
      <c r="C839">
        <f>HYPERLINK("https://github.com/jcabi/jcabi-github/blob/master/src/main/java/com/jcabi/github/RtGistComments.java")</f>
        <v/>
      </c>
      <c r="D839" t="inlineStr">
        <is>
          <t>```python
# The code is a Java class named `RtGistComments` that interacts with GitHub's Gists API to retrieve comments from gists. 
# It uses the JCabi library for HTTP requests and responses which are immutable and logged at DEBUG level. 
# This class has an equals and hashCode method defined using only</t>
        </is>
      </c>
      <c r="E839" t="n">
        <v>0.0042</v>
      </c>
      <c r="F839" t="n">
        <v>0.06900000000000001</v>
      </c>
      <c r="G839" t="n">
        <v>0.1613</v>
      </c>
      <c r="H839" t="inlineStr">
        <is>
          <t>The function `add` takes two parameters and returns their sum. It has a time complexity of O(1), meaning it performs the operation in constant time regardless of input size.
# Summary
## Code
```python
def add(a, b):
    return a + b
```
## Complexity
Time complexity is O(1). This means</t>
        </is>
      </c>
      <c r="I839" t="n">
        <v>0.0044</v>
      </c>
      <c r="J839" t="n">
        <v>0.07140000000000001</v>
      </c>
      <c r="K839" t="n">
        <v>0.123</v>
      </c>
      <c r="L839" t="inlineStr">
        <is>
          <t>The code provided is a Java class named `RtGistComments` that implements the interface `GistComments` from package `com.jcabi.github`. This class interacts with GitHub's REST API to fetch and post comments on Gists (short for 'gist'). 
```java
 /**
 * @author Yegor Bug</t>
        </is>
      </c>
      <c r="M839" t="n">
        <v>0.0061</v>
      </c>
      <c r="N839" t="n">
        <v>0.08160000000000001</v>
      </c>
      <c r="O839" t="n">
        <v>0.1786</v>
      </c>
    </row>
    <row r="840">
      <c r="A840" t="inlineStr">
        <is>
          <t>jcabi</t>
        </is>
      </c>
      <c r="B840" t="inlineStr">
        <is>
          <t>src/main/java/com/jcabi/github/Labels.java</t>
        </is>
      </c>
      <c r="C840">
        <f>HYPERLINK("https://github.com/jcabi/jcabi-github/blob/master/src/main/java/com/jcabi/github/Labels.java")</f>
        <v/>
      </c>
      <c r="D840" t="inlineStr">
        <is>
          <t>The code defines an interface `Labels` that represents the GitHub Label API. It includes methods for creating and getting labels in a repository. 
    - The method `repo()` returns the Repository object associated with this label set.
    - The method `create(String name, String color)` creates a new label with given name and color and</t>
        </is>
      </c>
      <c r="E840" t="n">
        <v>0.0035</v>
      </c>
      <c r="F840" t="n">
        <v>0.0667</v>
      </c>
      <c r="G840" t="n">
        <v>0.08</v>
      </c>
      <c r="H840" t="inlineStr">
        <is>
          <t>```python
def add(a, b):
    return a + b
```
Functionality: This function takes two numbers as input and returns their sum. It is used for basic arithmetic operations in Python programming language. The time complexity of this operation is O(1), meaning it always executes the same number of steps regardless of the size of the inputs.</t>
        </is>
      </c>
      <c r="I840" t="n">
        <v>0.0039</v>
      </c>
      <c r="J840" t="n">
        <v>0.09379999999999999</v>
      </c>
      <c r="K840" t="n">
        <v>0.1172</v>
      </c>
      <c r="L840" t="inlineStr">
        <is>
          <t>```python
class Labels:
    def __init__(self):
        self.repo = None  # Repository object representing the repository where these labels are located
    @log_method_call
    def create(self, name: str, color: str) -&gt; 'Label':  
        """
        Creates a new label with</t>
        </is>
      </c>
      <c r="M840" t="n">
        <v>0</v>
      </c>
      <c r="N840" t="n">
        <v>0</v>
      </c>
      <c r="O840" t="n">
        <v>0</v>
      </c>
    </row>
    <row r="841">
      <c r="A841" t="inlineStr">
        <is>
          <t>jcabi</t>
        </is>
      </c>
      <c r="B841" t="inlineStr">
        <is>
          <t>src/main/java/com/jcabi/github/RtBlobs.java</t>
        </is>
      </c>
      <c r="C841">
        <f>HYPERLINK("https://github.com/jcabi/jcabi-github/blob/master/src/main/java/com/jcabi/github/RtBlobs.java")</f>
        <v/>
      </c>
      <c r="D841" t="inlineStr">
        <is>
          <t>ThegivenJavaSRCfileisimplementingabackupsystemtofetchdatafromagithubrepositoryusingJCABIlibraries.ItusesLombokforautomaticgenerationoffieldsinformationandequalshashcodemethod.Themainmethodologyusedistogetblobshashvaluesbasedoninputparameterssuchasusername,reponameandbranchname.However,there</t>
        </is>
      </c>
      <c r="E841" t="n">
        <v>0</v>
      </c>
      <c r="F841" t="n">
        <v>0</v>
      </c>
      <c r="G841" t="n">
        <v>0</v>
      </c>
      <c r="H841" t="inlineStr">
        <is>
          <t>Thefunctionalityofferedbythiscodeisrelatedtoaddingtwonumbers.ItusesJcabi'sHTTPclientforcommunicationwiththeGithubAPIs. Thecomplexityofthissolutionislinear,whichmeansthatifyoudoubletheinputsize,thenyouwillneeddoublespenttime.However,inpractice,itshouldbeconsideredconstanttime</t>
        </is>
      </c>
      <c r="I841" t="n">
        <v>0</v>
      </c>
      <c r="J841" t="n">
        <v>0</v>
      </c>
      <c r="K841" t="n">
        <v>0</v>
      </c>
      <c r="L841" t="inlineStr">
        <is>
          <t>The code provided is a Java class named `RtBlob` that interacts with GitHub's REST API to manage blob data (binary large objects). It uses the JCabi library for HTTP requests and responses. The main functionality of this class revolves around interacting with the GitHub API through its request object in order to fetch or create binary files on GitHub repositories</t>
        </is>
      </c>
      <c r="M841" t="n">
        <v>0.0036</v>
      </c>
      <c r="N841" t="n">
        <v>0.029</v>
      </c>
      <c r="O841" t="n">
        <v>0.1136</v>
      </c>
    </row>
    <row r="842">
      <c r="A842" t="inlineStr">
        <is>
          <t>jcabi</t>
        </is>
      </c>
      <c r="B842" t="inlineStr">
        <is>
          <t>src/main/java/com/jcabi/github/RtRepoCommit.java</t>
        </is>
      </c>
      <c r="C842">
        <f>HYPERLINK("https://github.com/jcabi/jcabi-github/blob/master/src/main/java/com/jcabi/github/RtRepoCommit.java")</f>
        <v/>
      </c>
      <c r="D842" t="inlineStr">
        <is>
          <t>The code provided is a Java class named `RtRepoCommit` that implements the interface `RepoCommit` from package `com.jcabi.github`. This class represents a commit in GitHub repository and has several properties such as RESTful request, owner of the repo, and SHA hash of the commit. The class also contains methods to get information about</t>
        </is>
      </c>
      <c r="E842" t="n">
        <v>0.0046</v>
      </c>
      <c r="F842" t="n">
        <v>0.0645</v>
      </c>
      <c r="G842" t="n">
        <v>0.121</v>
      </c>
      <c r="H842" t="inlineStr">
        <is>
          <t>ThegivencodeisacomplexJavaapplicationthatinteractswithGitHubAPIusingJcabiHTTPlibrary.ItusesLombokforboilerplatecodereductionandotherlibrarieslikeAspectJforlogging.Themaincomponentinyourquestionisthroughouthe`RtRepoCommit`classwhichperformsactionsrelatedtoagivencommittothe</t>
        </is>
      </c>
      <c r="I842" t="n">
        <v>0</v>
      </c>
      <c r="J842" t="n">
        <v>0</v>
      </c>
      <c r="K842" t="n">
        <v>0</v>
      </c>
      <c r="L842" t="inlineStr">
        <is>
          <t>The code provided is a Java class named `RtRepoCommit` that implements the interface `RepoCommit` from package `com.jcabi.github`. This class represents a commit in GitHub repository and it uses JCabi library for interacting with GitHub API. The main purpose of this class seems to be to represent a specific commit by storing its request details</t>
        </is>
      </c>
      <c r="M842" t="n">
        <v>0.0045</v>
      </c>
      <c r="N842" t="n">
        <v>0.0625</v>
      </c>
      <c r="O842" t="n">
        <v>0.1587</v>
      </c>
    </row>
    <row r="843">
      <c r="A843" t="inlineStr">
        <is>
          <t>jcabi</t>
        </is>
      </c>
      <c r="B843" t="inlineStr">
        <is>
          <t>src/main/java/com/jcabi/github/ReleaseAsset.java</t>
        </is>
      </c>
      <c r="C843">
        <f>HYPERLINK("https://github.com/jcabi/jcabi-github/blob/master/src/main/java/com/jcabi/github/ReleaseAsset.java")</f>
        <v/>
      </c>
      <c r="D843" t="inlineStr">
        <is>
          <t>The provided code is a Java interface named `ReleaseAsset` that extends the interfaces `JsonReadable` and `JsonPatchable` from JCabi library for working with GitHub API in Java. The interface provides methods to get information about a release asset such as its number and related release. It also has a method to delete this asset if necessary. 
It uses</t>
        </is>
      </c>
      <c r="E843" t="n">
        <v>0.0032</v>
      </c>
      <c r="F843" t="n">
        <v>0.0308</v>
      </c>
      <c r="G843" t="n">
        <v>0.1163</v>
      </c>
      <c r="H843" t="inlineStr">
        <is>
          <t>The provided code is a Java interface for interacting with GitHub release assets using the JCabi library (which provides an abstraction over the GitHub API). The function `add` does not exist in this context as it seems to be part of another class or method. However, from the comments and other parts of the code, it appears that the purpose of this repository is to contain backend software</t>
        </is>
      </c>
      <c r="I843" t="n">
        <v>0.0032</v>
      </c>
      <c r="J843" t="n">
        <v>0.0526</v>
      </c>
      <c r="K843" t="n">
        <v>0.1429</v>
      </c>
      <c r="L843" t="inlineStr">
        <is>
          <t>The provided code is a Java interface named `ReleaseAsset` that extends the interfaces `JsonReadable` and `JsonPatchable` from JCabi library for handling GitHub release assets in an immutable way with logging capabilities. The purpose of this class seems to be managing operations related to GitHub releases such as getting the associated release, retrieving asset number (which might represent some</t>
        </is>
      </c>
      <c r="M843" t="n">
        <v>0.0031</v>
      </c>
      <c r="N843" t="n">
        <v>0.0303</v>
      </c>
      <c r="O843" t="n">
        <v>0.0769</v>
      </c>
    </row>
    <row r="844">
      <c r="A844" t="inlineStr">
        <is>
          <t>jcabi</t>
        </is>
      </c>
      <c r="B844" t="inlineStr">
        <is>
          <t>src/main/java/com/jcabi/github/RtRepoCommits.java</t>
        </is>
      </c>
      <c r="C844">
        <f>HYPERLINK("https://github.com/jcabi/jcabi-github/blob/master/src/main/java/com/jcabi/github/RtRepoCommits.java")</f>
        <v/>
      </c>
      <c r="D844" t="inlineStr">
        <is>
          <t>```
The provided code is a Java class named `RtRepoCommits` that implements the interface `RepoCommits` from package `com.jcabi.github`. This class interacts with GitHub's REST API to fetch commit information for a specific repository. 
It uses Jcabi libraries and Lombok annotations which provide</t>
        </is>
      </c>
      <c r="E844" t="n">
        <v>0.0058</v>
      </c>
      <c r="F844" t="n">
        <v>0.0769</v>
      </c>
      <c r="G844" t="n">
        <v>0.1754</v>
      </c>
      <c r="H844" t="inlineStr">
        <is>
          <t>```python
# This is a Python code snippet that defines the function to add two numbers
def add_two_numbers(number1, number2):
    return number1 + number2
```
The functionality of this provided code is simple math - addition of two given numbers. The complexity of this operation in Big O notation is constant (O(1)).</t>
        </is>
      </c>
      <c r="I844" t="n">
        <v>0.0043</v>
      </c>
      <c r="J844" t="n">
        <v>0.0678</v>
      </c>
      <c r="K844" t="n">
        <v>0.0813</v>
      </c>
      <c r="L844" t="inlineStr">
        <is>
          <t>The provided code is a Java class named "RtRepoCommits". This class implements an interface called "RepoCommits", which defines the functionality of getting repository commits from GitHub using REST API. 
    It's annotated with @Immutable and @Loggable for immutability and logging respectively. Also it uses Lomb</t>
        </is>
      </c>
      <c r="M844" t="n">
        <v>0.0059</v>
      </c>
      <c r="N844" t="n">
        <v>0.1509</v>
      </c>
      <c r="O844" t="n">
        <v>0.1724</v>
      </c>
    </row>
    <row r="845">
      <c r="A845" t="inlineStr">
        <is>
          <t>jcabi</t>
        </is>
      </c>
      <c r="B845" t="inlineStr">
        <is>
          <t>src/main/java/com/jcabi/github/RtNotifications.java</t>
        </is>
      </c>
      <c r="C845">
        <f>HYPERLINK("https://github.com/jcabi/jcabi-github/blob/master/src/main/java/com/jcabi/github/RtNotifications.java")</f>
        <v/>
      </c>
      <c r="D845" t="inlineStr">
        <is>
          <t>The provided code is a Java class named `RtNotifications` that implements the interface `Notifications` from package `com.jcabi.github`. This class interacts with GitHub's Notifications API to fetch and manipulate notifications. The constructor takes an instance of Request as argument which is used for making HTTP requests to the API endpoints. 
The</t>
        </is>
      </c>
      <c r="E845" t="n">
        <v>0.0048</v>
      </c>
      <c r="F845" t="n">
        <v>0.06560000000000001</v>
      </c>
      <c r="G845" t="n">
        <v>0.1639</v>
      </c>
      <c r="H845" t="inlineStr">
        <is>
          <t>The code you provided is a Java class that represents GitHub notifications using the Jcabi library for interacting with GitHub API. It implements an interface called Notifications which has one method `iterate()` to iterate over all notifications. The complexity of this operation is O(N), where N is the number of pages returned by the API request.
Here are some key points</t>
        </is>
      </c>
      <c r="I845" t="n">
        <v>0.003</v>
      </c>
      <c r="J845" t="n">
        <v>0.0286</v>
      </c>
      <c r="K845" t="n">
        <v>0.1128</v>
      </c>
      <c r="L845" t="inlineStr">
        <is>
          <t>The provided code is a Java class named `RtNotifications` that implements the interface `Notifications` from Jcabi GitHub library. This class represents RESTful notifications on GitHub using HTTP requests to their API endpoint (specified by the request parameter). 
The main purpose of this class seems to be to iterate over and manage GitHub user notifications through pag</t>
        </is>
      </c>
      <c r="M845" t="n">
        <v>0.0043</v>
      </c>
      <c r="N845" t="n">
        <v>0.0625</v>
      </c>
      <c r="O845" t="n">
        <v>0.1563</v>
      </c>
    </row>
    <row r="846">
      <c r="A846" t="inlineStr">
        <is>
          <t>jcabi</t>
        </is>
      </c>
      <c r="B846" t="inlineStr">
        <is>
          <t>src/main/java/com/jcabi/github/RtPublicKeys.java</t>
        </is>
      </c>
      <c r="C846">
        <f>HYPERLINK("https://github.com/jcabi/jcabi-github/blob/master/src/main/java/com/jcabi/github/RtPublicKeys.java")</f>
        <v/>
      </c>
      <c r="D846" t="inlineStr">
        <is>
          <t>ThegivenJava code is a class `RtPublicKeys` that implements the interface `PublicKeys` from package `com.jcabi.github`. This class interacts with GitHub API to fetch public keys of users. It uses JCabi library for HTTP requests and responses which are immutable and logged at DEBUG level. The hashcode and equals methods are overridden based</t>
        </is>
      </c>
      <c r="E846" t="n">
        <v>0.0047</v>
      </c>
      <c r="F846" t="n">
        <v>0.06560000000000001</v>
      </c>
      <c r="G846" t="n">
        <v>0.1626</v>
      </c>
      <c r="H846" t="inlineStr">
        <is>
          <t>Thegivenproblemwasnotclarifiedcorrectly.Itdoesnothaveanycoderelatedtoafunctionlikeadd().Pleaseprovidetheactualcodeyouneedhelpwith.
# Solution
Based on the provided information and code snippet, it seems like you are looking for a function to add two numbers in Python. The given code is related to GitHub API usage</t>
        </is>
      </c>
      <c r="I846" t="n">
        <v>0.0053</v>
      </c>
      <c r="J846" t="n">
        <v>0.0455</v>
      </c>
      <c r="K846" t="n">
        <v>0.0935</v>
      </c>
      <c r="L846" t="inlineStr">
        <is>
          <t>ThegivencodeisaclassnamedRTPUBLICKEYSwhichimplmentspublickeysinterface.ItusesJCABIlibrariesforHTTPcommunication.ItmakesuseofAPIslikePublicKeystoaccessdataaboutusersthroughGithubplatform. The classhasthreefields: entry, request and owner which are immutable fields that store information about the API endpoint,</t>
        </is>
      </c>
      <c r="M846" t="n">
        <v>0.0108</v>
      </c>
      <c r="N846" t="n">
        <v>0.07140000000000001</v>
      </c>
      <c r="O846" t="n">
        <v>0.0556</v>
      </c>
    </row>
    <row r="847">
      <c r="A847" t="inlineStr">
        <is>
          <t>jcabi</t>
        </is>
      </c>
      <c r="B847" t="inlineStr">
        <is>
          <t>src/main/java/com/jcabi/github/RtLimits.java</t>
        </is>
      </c>
      <c r="C847">
        <f>HYPERLINK("https://github.com/jcabi/jcabi-github/blob/master/src/main/java/com/jcabi/github/RtLimits.java")</f>
        <v/>
      </c>
      <c r="D847" t="inlineStr">
        <is>
          <t>The provided code is a Java class that implements the `Limits` interface from the jCabi library for GitHub API rate limiting. It's immutable and logs debug information when methods are called on it. The constructor takes two parameters - a `GitHub` object representing the authenticated user or organization, and an HTTP request to be used as the entry point of the rate limit</t>
        </is>
      </c>
      <c r="E847" t="n">
        <v>0.0034</v>
      </c>
      <c r="F847" t="n">
        <v>0.0563</v>
      </c>
      <c r="G847" t="n">
        <v>0.1111</v>
      </c>
      <c r="H847" t="inlineStr">
        <is>
          <t>The code provided is a Java class that implements the Limits interface from JCabi's GitHub library. This class represents rate limits for a specific repository on GitHub. The constructor takes two parameters - an instance of `GitHub` and a `Request` object representing the API entry point to GitHub.
In this implementation, it overrides two methods:</t>
        </is>
      </c>
      <c r="I847" t="n">
        <v>0.0044</v>
      </c>
      <c r="J847" t="n">
        <v>0.0635</v>
      </c>
      <c r="K847" t="n">
        <v>0.1181</v>
      </c>
      <c r="L847" t="inlineStr">
        <is>
          <t>```plaintext
The given code is a Java class named `RtLimits` that implements the interface `Limits` from package com.jcabi.github. 
It's designed to interact with GitHub API rate limit and provides information about remaining requests for specific resources (like core or search). The main purpose of this class seems to be managing and</t>
        </is>
      </c>
      <c r="M847" t="n">
        <v>0.0047</v>
      </c>
      <c r="N847" t="n">
        <v>0.0968</v>
      </c>
      <c r="O847" t="n">
        <v>0.1626</v>
      </c>
    </row>
    <row r="848">
      <c r="A848" t="inlineStr">
        <is>
          <t>jcabi</t>
        </is>
      </c>
      <c r="B848" t="inlineStr">
        <is>
          <t>src/main/java/com/jcabi/github/RtReleaseAsset.java</t>
        </is>
      </c>
      <c r="C848">
        <f>HYPERLINK("https://github.com/jcabi/jcabi-github/blob/master/src/main/java/com/jcabi/github/RtReleaseAsset.java")</f>
        <v/>
      </c>
      <c r="D848" t="inlineStr">
        <is>
          <t>ThegivenJavaCodeisrepresentingaclassnamed`RtReleaseAsset`whichimplementsthespecificinterface`ReleaseAsset`fromJCABIlibrary.ItusesLombokannotationstoautomategettersandsettersgeneration.Moreover,itutilizesotherJCABIlibrarieslike`Request`forHTTPcommunicationsand`RestResponse`to</t>
        </is>
      </c>
      <c r="E848" t="n">
        <v>0</v>
      </c>
      <c r="F848" t="n">
        <v>0</v>
      </c>
      <c r="G848" t="n">
        <v>0</v>
      </c>
      <c r="H848" t="inlineStr">
        <is>
          <t>```python
# This is a Python code snippet that defines the function `add` for adding two numbers together. 
# The time complexity of this operation is O(1), meaning it takes constant time to execute regardless of the size of the input data.
def add(a, b):
    return a + b
```
The provided READ</t>
        </is>
      </c>
      <c r="I848" t="n">
        <v>0.0035</v>
      </c>
      <c r="J848" t="n">
        <v>0.0678</v>
      </c>
      <c r="K848" t="n">
        <v>0.08</v>
      </c>
      <c r="L848" t="inlineStr">
        <is>
          <t>Thegivencodeisshortandsimplewithoutanycommentsorcluttering.ItappearsstobearedirectedtoworkingwithGithubreleasesassetsusingJCABIlibraries.Thecodemaintainsreadabilityandunderstandabilitybyfollowingstandardconventionsandbestpractices.Theprimaryroleoffunctionalityseemslikefetchingandrepositoryreleaseassociatedfilesmetadatafrom</t>
        </is>
      </c>
      <c r="M848" t="n">
        <v>0</v>
      </c>
      <c r="N848" t="n">
        <v>0</v>
      </c>
      <c r="O848" t="n">
        <v>0</v>
      </c>
    </row>
    <row r="849">
      <c r="A849" t="inlineStr">
        <is>
          <t>jcabi</t>
        </is>
      </c>
      <c r="B849" t="inlineStr">
        <is>
          <t>src/main/java/com/jcabi/github/Check.java</t>
        </is>
      </c>
      <c r="C849">
        <f>HYPERLINK("https://github.com/jcabi/jcabi-github/blob/master/src/main/java/com/jcabi/github/Check.java")</f>
        <v/>
      </c>
      <c r="D849" t="inlineStr">
        <is>
          <t>The provided code is a Java interface named `Check` for interacting with GitHub's Check API. It defines methods to check the status of checks and their success or failure. The class also has an enum called `Status` that represents different states a check can be in (e.g., queued).
However, without more context about what this code does specifically, it would</t>
        </is>
      </c>
      <c r="E849" t="n">
        <v>0.003</v>
      </c>
      <c r="F849" t="n">
        <v>0.0286</v>
      </c>
      <c r="G849" t="n">
        <v>0.07580000000000001</v>
      </c>
      <c r="H849" t="inlineStr">
        <is>
          <t>The function `add` takes two parameters (numbers), adds them together and returns the result. The time complexity of this operation is O(1). It does not repeat any code from the provided example.
```python
def add(a, b):
    return a + b
```
In terms of functionality it performs basic arithmetic addition on two numbers which are</t>
        </is>
      </c>
      <c r="I849" t="n">
        <v>0.004</v>
      </c>
      <c r="J849" t="n">
        <v>0.0635</v>
      </c>
      <c r="K849" t="n">
        <v>0.1181</v>
      </c>
      <c r="L849" t="inlineStr">
        <is>
          <t>The given code is a Java interface named `Check` that defines several methods related to GitHub Check Runs API operations. The purpose of this code seems to be managing and interacting with the statuses or conclusions associated with these checks on GitHub repositories.
The main method defined in this class are `successful()` which returns whether the check was successful or not, and an</t>
        </is>
      </c>
      <c r="M849" t="n">
        <v>0.0029</v>
      </c>
      <c r="N849" t="n">
        <v>0.0563</v>
      </c>
      <c r="O849" t="n">
        <v>0.1111</v>
      </c>
    </row>
    <row r="850">
      <c r="A850" t="inlineStr">
        <is>
          <t>jcabi</t>
        </is>
      </c>
      <c r="B850" t="inlineStr">
        <is>
          <t>src/main/java/com/jcabi/github/RtOrganizations.java</t>
        </is>
      </c>
      <c r="C850">
        <f>HYPERLINK("https://github.com/jcabi/jcabi-github/blob/master/src/main/java/com/jcabi/github/RtOrganizations.java")</f>
        <v/>
      </c>
      <c r="D850" t="inlineStr">
        <is>
          <t>The code provided is a Java class named `RtOrganizations` that implements the interface `Organizations` from package `com.jcabi.github`. The purpose of this class seems to be interacting with GitHub's Organizations API via HTTP requests using Jcabi libraries for handling these requests and responses.
The class has three private final transient fields - 'entry</t>
        </is>
      </c>
      <c r="E850" t="n">
        <v>0.0042</v>
      </c>
      <c r="F850" t="n">
        <v>0.0645</v>
      </c>
      <c r="G850" t="n">
        <v>0.1613</v>
      </c>
      <c r="H850" t="inlineStr">
        <is>
          <t>The provided code is a Java class named `RtOrganizations` that implements the interface `Organizations` from GitHub's API v3. This class represents an organization in GitHub and provides methods to interact with it such as getting its members or teams. The complexity of this implementation is O(n), where n refers to the number of pages returned by the API for certain operations like</t>
        </is>
      </c>
      <c r="I850" t="n">
        <v>0.0039</v>
      </c>
      <c r="J850" t="n">
        <v>0.0556</v>
      </c>
      <c r="K850" t="n">
        <v>0.1119</v>
      </c>
      <c r="L850" t="inlineStr">
        <is>
          <t>The provided code is a Java class named `RtOrganizations` that implements the interface `Organizations` from JCabi's GitHub API wrapper library. This class represents an organization in GitHub and provides methods for interacting with it such as fetching its details or managing memberships.
Here are some key aspects of this class:
1. The main purpose of</t>
        </is>
      </c>
      <c r="M850" t="n">
        <v>0.0044</v>
      </c>
      <c r="N850" t="n">
        <v>0.0625</v>
      </c>
      <c r="O850" t="n">
        <v>0.1181</v>
      </c>
    </row>
    <row r="851">
      <c r="A851" t="inlineStr">
        <is>
          <t>jcabi</t>
        </is>
      </c>
      <c r="B851" t="inlineStr">
        <is>
          <t>src/main/java/com/jcabi/github/PullComments.java</t>
        </is>
      </c>
      <c r="C851">
        <f>HYPERLINK("https://github.com/jcabi/jcabi-github/blob/master/src/main/java/com/jcabi/github/PullComments.java")</f>
        <v/>
      </c>
      <c r="D851" t="inlineStr">
        <is>
          <t>ThegivenJava code is a part of the JCabi GitHub API wrapper for interacting with Pull Requests (PRs). It provides an interface `PullComments` that has three methods - `pull()` to return the pull request object, `get(int number)` to get specific comment by its number and `iterateAll(Map params)` to iterate</t>
        </is>
      </c>
      <c r="E851" t="n">
        <v>0.0038</v>
      </c>
      <c r="F851" t="n">
        <v>0.0351</v>
      </c>
      <c r="G851" t="n">
        <v>0.0833</v>
      </c>
      <c r="H851" t="inlineStr">
        <is>
          <t>The provided code is a Java interface for interacting with GitHub pull request comments using their API v3. The method `get` allows you to retrieve a specific comment by its number and the method `pull` returns the Pull object associated with this comment. The method `iterateAll` seems like it would allow iteration over all comments in a repository but does not seem to be implemented as per</t>
        </is>
      </c>
      <c r="I851" t="n">
        <v>0.0027</v>
      </c>
      <c r="J851" t="n">
        <v>0.0533</v>
      </c>
      <c r="K851" t="n">
        <v>0.1439</v>
      </c>
      <c r="L851" t="inlineStr">
        <is>
          <t>The provided code file is a Java interface named `PullComments` that interacts with the GitHub API to manage pull request comments. It has three methods: 
1. The method `pull()` returns the Pull object associated with this comment. Its main purpose appears to be retrieving information about the pull request itself, not specifically related to its comments.</t>
        </is>
      </c>
      <c r="M851" t="n">
        <v>0</v>
      </c>
      <c r="N851" t="n">
        <v>0.0312</v>
      </c>
      <c r="O851" t="n">
        <v>0.0391</v>
      </c>
    </row>
    <row r="852">
      <c r="A852" t="inlineStr">
        <is>
          <t>jcabi</t>
        </is>
      </c>
      <c r="B852" t="inlineStr">
        <is>
          <t>src/main/java/com/jcabi/github/RtReleases.java</t>
        </is>
      </c>
      <c r="C852">
        <f>HYPERLINK("https://github.com/jcabi/jcabi-github/blob/master/src/main/java/com/jcabi/github/RtReleases.java")</f>
        <v/>
      </c>
      <c r="D852" t="inlineStr">
        <is>
          <t>ThegivenJavaSRCfileisabouttobesummarizedbyoutliningkeyelementsinthesourcecodefileincludingclasses,methods,constructors,variables,complexity,comments,commits,andcodesize.However,thereseemsnotobeanyactualcodeinsidelogicblocksinthisfileduringmyreviewsofjavacode.Therefore,I</t>
        </is>
      </c>
      <c r="E852" t="n">
        <v>0</v>
      </c>
      <c r="F852" t="n">
        <v>0</v>
      </c>
      <c r="G852" t="n">
        <v>0</v>
      </c>
      <c r="H852" t="inlineStr">
        <is>
          <t>```JSON{"id": "MDU6TGFiZWwxOTk5NTQzMTIy", "node_id": "R_kgDOIPq4A", "tag_name": "v0.9.7", "target_commitish": "master", "name": "Version 0.9.7", "draft": false,</t>
        </is>
      </c>
      <c r="I852" t="n">
        <v>0</v>
      </c>
      <c r="J852" t="n">
        <v>0</v>
      </c>
      <c r="K852" t="n">
        <v>0</v>
      </c>
      <c r="L852" t="inlineStr">
        <is>
          <t>The provided code is a Java class named `RtReleases` that implements the interface `Releases` from package `com.jcabi.github`. The purpose of this class seems to be interacting with GitHub's REST API for releases related operations. 
It uses JCabi libraries which provide an abstraction layer over HTTP communication and JSON par</t>
        </is>
      </c>
      <c r="M852" t="n">
        <v>0.0045</v>
      </c>
      <c r="N852" t="n">
        <v>0.0667</v>
      </c>
      <c r="O852" t="n">
        <v>0.1653</v>
      </c>
    </row>
    <row r="853">
      <c r="A853" t="inlineStr">
        <is>
          <t>jcabi</t>
        </is>
      </c>
      <c r="B853" t="inlineStr">
        <is>
          <t>src/main/java/com/jcabi/github/Stargazers.java</t>
        </is>
      </c>
      <c r="C853">
        <f>HYPERLINK("https://github.com/jcabi/jcabi-github/blob/master/src/main/java/com/jcabi/github/Stargazers.java")</f>
        <v/>
      </c>
      <c r="D853" t="inlineStr">
        <is>
          <t>The provided code is a Java interface named `Stargazers` that lists stargazers of a GitHub repository using the GitHub API. The method `iterable()` returns an iterator over all the stargazers in the form of JSON values and throws IOException if there's any I/O problem during this process.
The functionality includes listing down all</t>
        </is>
      </c>
      <c r="E853" t="n">
        <v>0.0041</v>
      </c>
      <c r="F853" t="n">
        <v>0.0635</v>
      </c>
      <c r="G853" t="n">
        <v>0.12</v>
      </c>
      <c r="H853" t="inlineStr">
        <is>
          <t>The function `add` adds two numbers together and returns the result. It takes in two parameters (numbers a and b), performs addition operation on them and then return the sum. The time complexity of this function is O(1).
```python
def add(a, b):
    return a + b
```
README: This code defines an interface named '</t>
        </is>
      </c>
      <c r="I853" t="n">
        <v>0.004</v>
      </c>
      <c r="J853" t="n">
        <v>0.0645</v>
      </c>
      <c r="K853" t="n">
        <v>0.1181</v>
      </c>
      <c r="L853" t="inlineStr">
        <is>
          <t>The provided code is a Java interface named Stargazers that interacts with the GitHub API to list stargazers of repositories. It has one method called iterable which returns an Iterable object containing JsonValues representing each stargazer's information. The purpose of this class seems to be managing and processing data related to repository stargazing activities on GitHub.</t>
        </is>
      </c>
      <c r="M853" t="n">
        <v>0.0033</v>
      </c>
      <c r="N853" t="n">
        <v>0.0615</v>
      </c>
      <c r="O853" t="n">
        <v>0.0781</v>
      </c>
    </row>
    <row r="854">
      <c r="A854" t="inlineStr">
        <is>
          <t>jcabi</t>
        </is>
      </c>
      <c r="B854" t="inlineStr">
        <is>
          <t>src/main/java/com/jcabi/github/RtHooks.java</t>
        </is>
      </c>
      <c r="C854">
        <f>HYPERLINK("https://github.com/jcabi/jcabi-github/blob/master/src/main/java/com/jcabi/github/RtHooks.java")</f>
        <v/>
      </c>
      <c r="D854" t="inlineStr">
        <is>
          <t>ThegivenJava code is a part of the GitHub API integration in Java using JCabi library for making HTTP requests and handling responses. It seems to be implementing hooks functionality on GitHub which listens to events from repositories like push, pull request etc., processes them asynchronously and sends back response. The code also uses Lombok annotations such as @Immutable (to</t>
        </is>
      </c>
      <c r="E854" t="n">
        <v>0.0037</v>
      </c>
      <c r="F854" t="n">
        <v>0.0896</v>
      </c>
      <c r="G854" t="n">
        <v>0.1145</v>
      </c>
      <c r="H854" t="inlineStr">
        <is>
          <t>ThegivenJava codeisusedtoimplementadditionoperationbetweentwonumbers.ItusesJCABI'sHTTPclientforcommunicationwithGitHubAPIs.
```python
# SPDX-FileCopyrightText: Copyright (c) 2022 Yegor Bugayenko
# SPDX-License-Identifier:</t>
        </is>
      </c>
      <c r="I854" t="n">
        <v>0</v>
      </c>
      <c r="J854" t="n">
        <v>0</v>
      </c>
      <c r="K854" t="n">
        <v>0</v>
      </c>
      <c r="L854" t="inlineStr">
        <is>
          <t>ThegivenJava code is a part of the GitHub integration system in JCabi library. It's designed to handle web hook events from GitHub and process them accordingly. The main purpose of this class seems to be handling incoming requests for GitHub API calls related to repository hooks (like creating or updating). This functionality could potentially be used by other software systems that need to interact with the</t>
        </is>
      </c>
      <c r="M854" t="n">
        <v>0.0039</v>
      </c>
      <c r="N854" t="n">
        <v>0.0533</v>
      </c>
      <c r="O854" t="n">
        <v>0.1449</v>
      </c>
    </row>
    <row r="855">
      <c r="A855" t="inlineStr">
        <is>
          <t>jcabi</t>
        </is>
      </c>
      <c r="B855" t="inlineStr">
        <is>
          <t>src/main/java/com/jcabi/github/PullComment.java</t>
        </is>
      </c>
      <c r="C855">
        <f>HYPERLINK("https://github.com/jcabi/jcabi-github/blob/master/src/main/java/com/jcabi/github/PullComment.java")</f>
        <v/>
      </c>
      <c r="D855" t="inlineStr">
        <is>
          <t>The code provided is a Java class for handling GitHub pull comments using the JCabi library. It defines an immutable PullComment object that can be read from JSON format and used as a decorator to simplify some operations like getting identifiers of these comments. The API documentation provides more details about how this functionality works with the GitHub REST API.
Please note that the</t>
        </is>
      </c>
      <c r="E855" t="n">
        <v>0.0034</v>
      </c>
      <c r="F855" t="n">
        <v>0.0556</v>
      </c>
      <c r="G855" t="n">
        <v>0.1103</v>
      </c>
      <c r="H855" t="inlineStr">
        <is>
          <t>The provided code is a Java class that interacts with the GitHub API to manage pull request comments. The functionality of this code includes making HTTP requests and parsing JSON responses from the server. It also uses Lombok for boilerplate code generation (like getters and setters), Jcabi aspects for logging, and other annotations for immutability and more.</t>
        </is>
      </c>
      <c r="I855" t="n">
        <v>0.0038</v>
      </c>
      <c r="J855" t="n">
        <v>0.0615</v>
      </c>
      <c r="K855" t="n">
        <v>0.1163</v>
      </c>
      <c r="L855" t="inlineStr">
        <is>
          <t>The function of the provided code is to handle GitHub pull request comments. It provides a way for users to view and interact with these comments in JSON format. The main purpose of this code seems to be handling interactions related to reading and understanding such comments.
It takes as input an immutable object representing a comment on a pull request (`PullRequest`) from GitHub API</t>
        </is>
      </c>
      <c r="M855" t="n">
        <v>0.0028</v>
      </c>
      <c r="N855" t="n">
        <v>0.0548</v>
      </c>
      <c r="O855" t="n">
        <v>0.1095</v>
      </c>
    </row>
    <row r="856">
      <c r="A856" t="inlineStr">
        <is>
          <t>jcabi</t>
        </is>
      </c>
      <c r="B856" t="inlineStr">
        <is>
          <t>src/main/java/com/jcabi/github/PullRef.java</t>
        </is>
      </c>
      <c r="C856">
        <f>HYPERLINK("https://github.com/jcabi/jcabi-github/blob/master/src/main/java/com/jcabi/github/PullRef.java")</f>
        <v/>
      </c>
      <c r="D856" t="inlineStr">
        <is>
          <t>The code provided is a Java interface named `PullRequest` that extends the `JsonReadable` class from JCabi library for GitHub API interaction. It provides methods to get details about a pull request such as its repository (repo), reference (ref), and commit SHA. The implementation of these methods are not given in the code but based on their method signatures it seems like they</t>
        </is>
      </c>
      <c r="E856" t="n">
        <v>0.0029</v>
      </c>
      <c r="F856" t="n">
        <v>0.0286</v>
      </c>
      <c r="G856" t="n">
        <v>0.0746</v>
      </c>
      <c r="H856" t="inlineStr">
        <is>
          <t>The function provided in the code is a simple addition operation between two numbers 'a' and 'b'. It returns their sum which has a time complexity of O(1). The functionality can be summarized as follows: "Given two inputs (numbers), this function performs an arithmetic addition to return their sum."
```python
def add(a, b):
    return</t>
        </is>
      </c>
      <c r="I856" t="n">
        <v>0.004</v>
      </c>
      <c r="J856" t="n">
        <v>0.0625</v>
      </c>
      <c r="K856" t="n">
        <v>0.1587</v>
      </c>
      <c r="L856" t="inlineStr">
        <is>
          <t>ThegivenJava8sourcecodefilerepresentsabackendcomponentthatinteractswithGitHub'sAPIsusingJCabi'slibraryforworkingwithJSONobjects.IthasfourprimarymethodsrepresentingdifferentactionsafetypullsfromGitHubsuchasretrievalofrepositorydetailsandspecificcommitSHAs. The repository details are retrieved using the</t>
        </is>
      </c>
      <c r="M856" t="n">
        <v>0</v>
      </c>
      <c r="N856" t="n">
        <v>0</v>
      </c>
      <c r="O856" t="n">
        <v>0.0625</v>
      </c>
    </row>
    <row r="857">
      <c r="A857" t="inlineStr">
        <is>
          <t>jcabi</t>
        </is>
      </c>
      <c r="B857" t="inlineStr">
        <is>
          <t>src/main/java/com/jcabi/github/Hook.java</t>
        </is>
      </c>
      <c r="C857">
        <f>HYPERLINK("https://github.com/jcabi/jcabi-github/blob/master/src/main/java/com/jcabi/github/Hook.java")</f>
        <v/>
      </c>
      <c r="D857" t="inlineStr">
        <is>
          <t>The code provided is a Java interface named `Hook` and a final class named `Smart` that implements the `Hook` interface. The `Hook` interface has two methods - one to return the repository (repo()) and another to return the hook number (number()). 
The `Smart` class encapsulates an instance of the `Hook` interface with additional features like</t>
        </is>
      </c>
      <c r="E857" t="n">
        <v>0.004</v>
      </c>
      <c r="F857" t="n">
        <v>0.0645</v>
      </c>
      <c r="G857" t="n">
        <v>0.07870000000000001</v>
      </c>
      <c r="H857" t="inlineStr">
        <is>
          <t>The provided code is a Java implementation of the Hook interface from JCabi library for GitHub API. It represents an object that can be read as JSON and has methods to get its repository (repo()), hook number (number()) and other features like smartness (smart()). The class Smart implements this Hook with additional functionalities.
In summary, it provides functionality related to interacting</t>
        </is>
      </c>
      <c r="I857" t="n">
        <v>0.0039</v>
      </c>
      <c r="J857" t="n">
        <v>0.058</v>
      </c>
      <c r="K857" t="n">
        <v>0.1504</v>
      </c>
      <c r="L857" t="inlineStr">
        <is>
          <t>```python
def code_summary(source):
    lines = source.split('\n')[2:]  # Skip the first two lines which are license and package information
    for line in lines:
        if '/*' not in line and '**' not in line:  
            continue
        comment = re.find</t>
        </is>
      </c>
      <c r="M857" t="n">
        <v>0.0052</v>
      </c>
      <c r="N857" t="n">
        <v>0.0444</v>
      </c>
      <c r="O857" t="n">
        <v>0.0463</v>
      </c>
    </row>
    <row r="858">
      <c r="A858" t="inlineStr">
        <is>
          <t>jcabi</t>
        </is>
      </c>
      <c r="B858" t="inlineStr">
        <is>
          <t>src/main/java/com/jcabi/github/RtRepos.java</t>
        </is>
      </c>
      <c r="C858">
        <f>HYPERLINK("https://github.com/jcabi/jcabi-github/blob/master/src/main/java/com/jcabi/github/RtRepos.java")</f>
        <v/>
      </c>
      <c r="D858" t="inlineStr">
        <is>
          <t>The code is a Java class named `RtRepos` that implements the interface `Repos` from package `com.jcabi.github`. This class represents repositories in GitHub and provides functionality for interacting with them via HTTP requests to their REST API. The class has two fields (`ghub` and `entry`), both of which are immutable and log</t>
        </is>
      </c>
      <c r="E858" t="n">
        <v>0.0051</v>
      </c>
      <c r="F858" t="n">
        <v>0.0984</v>
      </c>
      <c r="G858" t="n">
        <v>0.1626</v>
      </c>
      <c r="H858" t="inlineStr">
        <is>
          <t>ThegivencodeisforaddingtwonumbersusingJAVA'sdefaultoperationsystem.ItusesnoexternaldependenciesbesidesbasicJavaAPIswhichareloggedintotheconsoleoutput.ThecomplexityisthereportedtobeconstantatO(1),indicatingthatthisoperationdoesnotrequireanyiterationoverdataandthereforehaslinearithmicruntimecomplexity.</t>
        </is>
      </c>
      <c r="I858" t="n">
        <v>0</v>
      </c>
      <c r="J858" t="n">
        <v>0</v>
      </c>
      <c r="K858" t="n">
        <v>0</v>
      </c>
      <c r="L858" t="inlineStr">
        <is>
          <t>ThegivensourcecodefilerepresentsabackendcomponentthatinteractswithaGithubAPIusingJcabi'slibrary.Itperformsvariousactionsrelatedtorepositorymanagementincludingcreatingnewonesearchingforrepsofagivenuserfetchingdetailsaboutarespescificrepoetc.Theprimaryroleoffilesinvolvedintheprojectmayvarydepend</t>
        </is>
      </c>
      <c r="M858" t="n">
        <v>0</v>
      </c>
      <c r="N858" t="n">
        <v>0</v>
      </c>
      <c r="O858" t="n">
        <v>0</v>
      </c>
    </row>
    <row r="859">
      <c r="A859" t="inlineStr">
        <is>
          <t>jcabi</t>
        </is>
      </c>
      <c r="B859" t="inlineStr">
        <is>
          <t>src/main/java/com/jcabi/github/PublicMembers.java</t>
        </is>
      </c>
      <c r="C859">
        <f>HYPERLINK("https://github.com/jcabi/jcabi-github/blob/master/src/main/java/com/jcabi/github/PublicMembers.java")</f>
        <v/>
      </c>
      <c r="D859" t="inlineStr">
        <is>
          <t>ThegivenJava code represents a public interface named `PublicMembers` for managing members of a GitHub organization. It provides methods to conceal (remove from the public view) and make (add back to the public view) user membership in an organization. The implementation is immutable which means once created it cannot be changed or modified after its creation. This follows good software engineering practices such as making sure that</t>
        </is>
      </c>
      <c r="E859" t="n">
        <v>0.0036</v>
      </c>
      <c r="F859" t="n">
        <v>0.0541</v>
      </c>
      <c r="G859" t="n">
        <v>0.1449</v>
      </c>
      <c r="H859" t="inlineStr">
        <is>
          <t>The provided code is a Java interface for interacting with the GitHub Organization Members API. It provides methods to retrieve information about public members of an organization and also to conceal or make user membership publicly visible. The complexity of these operations are O(1) for retrieving information (getting org details) and O(n) for concealing users where n represents number of members in the organization.</t>
        </is>
      </c>
      <c r="I859" t="n">
        <v>0.0028</v>
      </c>
      <c r="J859" t="n">
        <v>0.027</v>
      </c>
      <c r="K859" t="n">
        <v>0.0368</v>
      </c>
      <c r="L859" t="inlineStr">
        <is>
          <t>The provided code is a Java interface named `PublicMembers` that interacts with the GitHub Organization Members API to manage public members of an organization on GitHub. The purpose of this class is to provide methods for managing and retrieving information about users who are part of a given GitHub organization.
HereâĢĻs how it works in detail: 
1. It has two</t>
        </is>
      </c>
      <c r="M859" t="n">
        <v>0.003</v>
      </c>
      <c r="N859" t="n">
        <v>0.058</v>
      </c>
      <c r="O859" t="n">
        <v>0.1136</v>
      </c>
    </row>
    <row r="860">
      <c r="A860" t="inlineStr">
        <is>
          <t>jcabi</t>
        </is>
      </c>
      <c r="B860" t="inlineStr">
        <is>
          <t>src/main/java/com/jcabi/github/RtGit.java</t>
        </is>
      </c>
      <c r="C860">
        <f>HYPERLINK("https://github.com/jcabi/jcabi-github/blob/master/src/main/java/com/jcabi/github/RtGit.java")</f>
        <v/>
      </c>
      <c r="D860" t="inlineStr">
        <is>
          <t>The code provided is a Java implementation of the Git protocol over HTTP using JCabi library for interacting with GitHub API. The class `RtGit` represents an immutable object that interacts with a specific repository on GitHub via RESTful calls to its entry point (HTTP requests). It provides methods for accessing blob and commit objects related to this repository.
The</t>
        </is>
      </c>
      <c r="E860" t="n">
        <v>0.0031</v>
      </c>
      <c r="F860" t="n">
        <v>0.0597</v>
      </c>
      <c r="G860" t="n">
        <v>0.1527</v>
      </c>
      <c r="H860" t="inlineStr">
        <is>
          <t>The provided code is a Java class that represents a Git repository on GitHub using the jcabi library for interacting with their REST API. The class implements an interface called `Git` which has methods to interact with blob and commit objects in this repo.
In the constructor of the class, it takes two parameters - a Request object (used for making HTTP requests), and</t>
        </is>
      </c>
      <c r="I860" t="n">
        <v>0.0034</v>
      </c>
      <c r="J860" t="n">
        <v>0.0563</v>
      </c>
      <c r="K860" t="n">
        <v>0.1471</v>
      </c>
      <c r="L860" t="inlineStr">
        <is>
          <t>The provided code is a Java class named `RtGit` that implements the interface `Git` from JCabi library for Git operations in a repository hosted on GitHub. The purpose of this class seems to be encapsulating and abstracting various Git operations like committing blobs (files), fetching commit logs etc. 
From an overall perspective, it provides</t>
        </is>
      </c>
      <c r="M860" t="n">
        <v>0.004</v>
      </c>
      <c r="N860" t="n">
        <v>0.0645</v>
      </c>
      <c r="O860" t="n">
        <v>0.119</v>
      </c>
    </row>
    <row r="861">
      <c r="A861" t="inlineStr">
        <is>
          <t>jcabi</t>
        </is>
      </c>
      <c r="B861" t="inlineStr">
        <is>
          <t>src/main/java/com/jcabi/github/RtGitignores.java</t>
        </is>
      </c>
      <c r="C861">
        <f>HYPERLINK("https://github.com/jcabi/jcabi-github/blob/master/src/main/java/com/jcabi/github/RtGitignores.java")</f>
        <v/>
      </c>
      <c r="D861" t="inlineStr">
        <is>
          <t>The code provided is a Java class named `RtGitignores` which implements the interface `GitIgnores` from package com.jcabi.github. This class represents storage of .gitignore templates on GitHub.
It has two private fields ghub and request that are both transient (not serialized), final and immutable. The constructor</t>
        </is>
      </c>
      <c r="E861" t="n">
        <v>0.0054</v>
      </c>
      <c r="F861" t="n">
        <v>0.0727</v>
      </c>
      <c r="G861" t="n">
        <v>0.1282</v>
      </c>
      <c r="H861" t="inlineStr">
        <is>
          <t>```python
# This repository contains backend software components that implement core algorithms used by the application. 
# The complexity of these operations is O(n), as they involve traversing a list to find an item with a specific key.
# Commits are tracked for each change made in this code base. Code size refers to the number of lines of code present in</t>
        </is>
      </c>
      <c r="I861" t="n">
        <v>0.0039</v>
      </c>
      <c r="J861" t="n">
        <v>0.1176</v>
      </c>
      <c r="K861" t="n">
        <v>0.2776</v>
      </c>
      <c r="L861" t="inlineStr">
        <is>
          <t>The provided code is a Java class named `RtGitignores` which implements the interface `Gitignores` from package com.jcabi.github. This class interacts with GitHub's REST API to manage .gitignore templates. It uses JCabi library for HTTP requests and responses handling. The main purpose of this class seems to be interacting with Git</t>
        </is>
      </c>
      <c r="M861" t="n">
        <v>0.0048</v>
      </c>
      <c r="N861" t="n">
        <v>0.06560000000000001</v>
      </c>
      <c r="O861" t="n">
        <v>0.1639</v>
      </c>
    </row>
    <row r="862">
      <c r="A862" t="inlineStr">
        <is>
          <t>jcabi</t>
        </is>
      </c>
      <c r="B862" t="inlineStr">
        <is>
          <t>src/main/java/com/jcabi/github/PublicKey.java</t>
        </is>
      </c>
      <c r="C862">
        <f>HYPERLINK("https://github.com/jcabi/jcabi-github/blob/master/src/main/java/com/jcabi/github/PublicKey.java")</f>
        <v/>
      </c>
      <c r="D862" t="inlineStr">
        <is>
          <t>The provided code is a Java implementation of the GitHub Public Key API. It allows users to retrieve their public key details in JSON format from GitHub. The class `PublicKey` implements an interface called `JsonReadable` which provides methods for reading and parsing JSON data. This includes getting specific elements like 'title'. However, it would be more efficient to use a "smart" decor</t>
        </is>
      </c>
      <c r="E862" t="n">
        <v>0.0039</v>
      </c>
      <c r="F862" t="n">
        <v>0.0571</v>
      </c>
      <c r="G862" t="n">
        <v>0.1493</v>
      </c>
      <c r="H862" t="inlineStr">
        <is>
          <t>The provided code is a Java class that interacts with the GitHub API to fetch public keys from users and parse them into JSON format for further processing or analysis. The functionality of this code includes fetching data about a user's public key in JSON format using HTTP requests, parsing it, and providing various details like title, id etc., which can be accessed through methods on the parsed object</t>
        </is>
      </c>
      <c r="I862" t="n">
        <v>0.0031</v>
      </c>
      <c r="J862" t="n">
        <v>0.0513</v>
      </c>
      <c r="K862" t="n">
        <v>0.1064</v>
      </c>
      <c r="L862" t="inlineStr">
        <is>
          <t>ThegivenJavacoderepresentsaninterfaceforaccessingdataaboutapublickeyassociatedwithagithubaccountviaJCABIâĢĻsGitHublibrary.ItallowsaccesstokeydetailsinJSONformatincludingthekey'sid,url,createdat,etc.TherearealsooptionsavailabletocreateandsignrequestsonGitHubAPIsusingthiskeyp</t>
        </is>
      </c>
      <c r="M862" t="n">
        <v>0</v>
      </c>
      <c r="N862" t="n">
        <v>0</v>
      </c>
      <c r="O862" t="n">
        <v>0</v>
      </c>
    </row>
    <row r="863">
      <c r="A863" t="inlineStr">
        <is>
          <t>jcabi</t>
        </is>
      </c>
      <c r="B863" t="inlineStr">
        <is>
          <t>src/main/java/com/jcabi/github/Collaborators.java</t>
        </is>
      </c>
      <c r="C863">
        <f>HYPERLINK("https://github.com/jcabi/jcabi-github/blob/master/src/main/java/com/jcabi/github/Collaborators.java")</f>
        <v/>
      </c>
      <c r="D863" t="inlineStr">
        <is>
          <t>The provided code is a Java interface named `Collaborators` that defines an immutable contract for interacting with GitHub repository collaborators. The interface includes methods to get the owner of the repo and check if a user is a collaborator in the given repository. It also has an enum `Permission` which represents different levels of permissions a user can have within an organization's repository. This information</t>
        </is>
      </c>
      <c r="E863" t="n">
        <v>0.0033</v>
      </c>
      <c r="F863" t="n">
        <v>0.027</v>
      </c>
      <c r="G863" t="n">
        <v>0.073</v>
      </c>
      <c r="H863" t="inlineStr">
        <is>
          <t>The provided code is a Java interface for managing collaborators in GitHub repositories. It includes methods to get the repository and check if a user is a collaborator of that repository. The complexity of these operations are O(n), where n represents the number of users in the system.
In terms of functionality, this class provides an abstraction over the core functionalities required by any</t>
        </is>
      </c>
      <c r="I863" t="n">
        <v>0.0034</v>
      </c>
      <c r="J863" t="n">
        <v>0.0822</v>
      </c>
      <c r="K863" t="n">
        <v>0.2321</v>
      </c>
      <c r="L863" t="inlineStr">
        <is>
          <t>The provided code is a Java interface named `Collaborators` for managing collaborators in GitHub repositories. It defines an enumerated type called `Permission` that represents the levels of permissions users can be granted (pull, push, admin, maintain, and triage). The interface also includes two methods: 
- A method to get the repository associated with this set of collabor</t>
        </is>
      </c>
      <c r="M863" t="n">
        <v>0.0032</v>
      </c>
      <c r="N863" t="n">
        <v>0.0312</v>
      </c>
      <c r="O863" t="n">
        <v>0.0775</v>
      </c>
    </row>
    <row r="864">
      <c r="A864" t="inlineStr">
        <is>
          <t>jcabi</t>
        </is>
      </c>
      <c r="B864" t="inlineStr">
        <is>
          <t>src/main/java/com/jcabi/github/RtCheck.java</t>
        </is>
      </c>
      <c r="C864">
        <f>HYPERLINK("https://github.com/jcabi/jcabi-github/blob/master/src/main/java/com/jcabi/github/RtCheck.java")</f>
        <v/>
      </c>
      <c r="D864" t="inlineStr">
        <is>
          <t>The code provided is a Java class named RtCheck that implements the Check interface from jcabi-github library. It represents a check run on GitHub and has two properties - status and conclusion of type enum (Check.Status and Check.Conclusion respectively). The constructor takes either String representations or actual enums for these parameters. There's an overridden method successful(), which according to</t>
        </is>
      </c>
      <c r="E864" t="n">
        <v>0.0037</v>
      </c>
      <c r="F864" t="n">
        <v>0.0571</v>
      </c>
      <c r="G864" t="n">
        <v>0.1145</v>
      </c>
      <c r="H864" t="inlineStr">
        <is>
          <t>The provided code is a Java class named `RtCheck` that implements the `Check` interface from Jcabi's GitHub library. This class has two private fields to store status and conclusion of a check run on GitHub. The constructor initializes these fields with given strings which are parsed into corresponding enums for status and conclusion. There is also an overridden method called `</t>
        </is>
      </c>
      <c r="I864" t="n">
        <v>0.0039</v>
      </c>
      <c r="J864" t="n">
        <v>0.058</v>
      </c>
      <c r="K864" t="n">
        <v>0.1504</v>
      </c>
      <c r="L864" t="inlineStr">
        <is>
          <t>The provided code is a Java class named `RtCheck` that implements the interface `Check` from Jcabi GitHub package. This class represents a check run on GitHub and holds two properties - status of type Check.Status (which can be one of several predefined states like 'queued', 'in_progress' etc.) and conclusion of type Check.Conclusion (can</t>
        </is>
      </c>
      <c r="M864" t="n">
        <v>0.0045</v>
      </c>
      <c r="N864" t="n">
        <v>0.0635</v>
      </c>
      <c r="O864" t="n">
        <v>0.16</v>
      </c>
    </row>
    <row r="865">
      <c r="A865" t="inlineStr">
        <is>
          <t>jcabi</t>
        </is>
      </c>
      <c r="B865" t="inlineStr">
        <is>
          <t>src/main/java/com/jcabi/github/Assignees.java</t>
        </is>
      </c>
      <c r="C865">
        <f>HYPERLINK("https://github.com/jcabi/jcabi-github/blob/master/src/main/java/com/jcabi/github/Assignees.java")</f>
        <v/>
      </c>
      <c r="D865" t="inlineStr">
        <is>
          <t>The code provided is an interface named "Assignees". This interface provides two methods - 'iterate()' and 'check(String login)'. The 'iterate()' method returns a collection of users who are assignees to issues in the repository. On the other hand, the 'check(String login)' method checks if a given user (identified by their username or login)</t>
        </is>
      </c>
      <c r="E865" t="n">
        <v>0.0041</v>
      </c>
      <c r="F865" t="n">
        <v>0.0645</v>
      </c>
      <c r="G865" t="n">
        <v>0.08</v>
      </c>
      <c r="H865" t="inlineStr">
        <is>
          <t>The function `add` takes two parameters (numbers a and b), adds them together, and returns the result. The time complexity of this operation is O(1). It's used for simple arithmetic operations in mathematics.
In the README file, it mentions that this repository contains backend software components. Its overall complexity is estimated to be O(N) because of its</t>
        </is>
      </c>
      <c r="I865" t="n">
        <v>0.0038</v>
      </c>
      <c r="J865" t="n">
        <v>0.0588</v>
      </c>
      <c r="K865" t="n">
        <v>0.155</v>
      </c>
      <c r="L865" t="inlineStr">
        <is>
          <t>The provided code is a Java interface named "Assignees". It's part of the 'com.jcabi.github' package and has been annotated with @Immutable to indicate that its state cannot be altered after it is constructed. The purpose of this interface seems to be related to GitHub issues - specifically managing assignees for these issues. 
It provides two</t>
        </is>
      </c>
      <c r="M865" t="n">
        <v>0.0033</v>
      </c>
      <c r="N865" t="n">
        <v>0.0308</v>
      </c>
      <c r="O865" t="n">
        <v>0.1181</v>
      </c>
    </row>
    <row r="866">
      <c r="A866" t="inlineStr">
        <is>
          <t>jcabi</t>
        </is>
      </c>
      <c r="B866" t="inlineStr">
        <is>
          <t>src/main/java/com/jcabi/github/Notification.java</t>
        </is>
      </c>
      <c r="C866">
        <f>HYPERLINK("https://github.com/jcabi/jcabi-github/blob/master/src/main/java/com/jcabi/github/Notification.java")</f>
        <v/>
      </c>
      <c r="D866" t="inlineStr">
        <is>
          <t>The provided code is for a Java interface named `Notification` in the package `com.jcabi.github`. This interface represents a GitHub notification and provides methods to get various properties of it such as id, reason, unread status, updated time, last read time, URL etc. The implementation details are not given but based on the Javadoc comments, these could be other</t>
        </is>
      </c>
      <c r="E866" t="n">
        <v>0.0037</v>
      </c>
      <c r="F866" t="n">
        <v>0.0588</v>
      </c>
      <c r="G866" t="n">
        <v>0.1154</v>
      </c>
      <c r="H866" t="inlineStr">
        <is>
          <t>The provided code is a simple function that adds two numbers together and returns the result. The functionality of this code can be summarized as follows: "Defines an add function which takes in two parameters (numbers), performs addition on them and then return the sum."
The complexity of the function is O(1). This means it has constant time complexity because no matter how large the</t>
        </is>
      </c>
      <c r="I866" t="n">
        <v>0.0037</v>
      </c>
      <c r="J866" t="n">
        <v>0.08110000000000001</v>
      </c>
      <c r="K866" t="n">
        <v>0.1095</v>
      </c>
      <c r="L866" t="inlineStr">
        <is>
          <t>The provided code is a Java interface named "Notification". This interface represents the concept of notifications in GitHub and provides methods to access various properties related to these notifications such as id, reason, unread status, updated time, last read time, URL etc. The purpose of this interface seems to be implementing an immutable design pattern for encapsulating notification data. It also mentions that it needs further</t>
        </is>
      </c>
      <c r="M866" t="n">
        <v>0.0033</v>
      </c>
      <c r="N866" t="n">
        <v>0.0541</v>
      </c>
      <c r="O866" t="n">
        <v>0.1087</v>
      </c>
    </row>
    <row r="867">
      <c r="A867" t="inlineStr">
        <is>
          <t>jcabi</t>
        </is>
      </c>
      <c r="B867" t="inlineStr">
        <is>
          <t>src/main/java/com/jcabi/github/RtPullRef.java</t>
        </is>
      </c>
      <c r="C867">
        <f>HYPERLINK("https://github.com/jcabi/jcabi-github/blob/master/src/main/java/com/jcabi/github/RtPullRef.java")</f>
        <v/>
      </c>
      <c r="D867" t="inlineStr">
        <is>
          <t>The code you provided is a Java class named `RtPullRef` that implements the interface `PullRef` from package `com.jcabi.github`. This class represents a reference to a pull request on GitHub and has two private fields - `github` of type `GitHub` (which seems like an abstraction for interacting with GitHub API), and</t>
        </is>
      </c>
      <c r="E867" t="n">
        <v>0.0048</v>
      </c>
      <c r="F867" t="n">
        <v>0.0678</v>
      </c>
      <c r="G867" t="n">
        <v>0.123</v>
      </c>
      <c r="H867" t="inlineStr">
        <is>
          <t>The code provided is a Java class named `RtPullRequest` that implements an interface called `PullRequest` for interacting with GitHub pull requests using the JCabi library. The functionality of this code includes logging and hashing based on its fields 'github' and 'jsn'. It also overrides two methods from the implemented interface which are used to return specific values stored in</t>
        </is>
      </c>
      <c r="I867" t="n">
        <v>0.0041</v>
      </c>
      <c r="J867" t="n">
        <v>0.0896</v>
      </c>
      <c r="K867" t="n">
        <v>0.1527</v>
      </c>
      <c r="L867" t="inlineStr">
        <is>
          <t>The provided code is a Java class named `RtPullRef` that implements the interface `PullRef` from package `com.jcabi.github`. This class represents a reference to a pull request on GitHub and provides methods for accessing information about it such as JSON object of the pull request ref or its string representation (reference). The purpose of this class seems to be</t>
        </is>
      </c>
      <c r="M867" t="n">
        <v>0.0041</v>
      </c>
      <c r="N867" t="n">
        <v>0.0588</v>
      </c>
      <c r="O867" t="n">
        <v>0.1154</v>
      </c>
    </row>
    <row r="868">
      <c r="A868" t="inlineStr">
        <is>
          <t>jcabi</t>
        </is>
      </c>
      <c r="B868" t="inlineStr">
        <is>
          <t>src/main/java/com/jcabi/github/RtMilestones.java</t>
        </is>
      </c>
      <c r="C868">
        <f>HYPERLINK("https://github.com/jcabi/jcabi-github/blob/master/src/main/java/com/jcabi/github/RtMilestones.java")</f>
        <v/>
      </c>
      <c r="D868" t="inlineStr">
        <is>
          <t>ThegivenJava code represents a class named `RtMilestones` which implements the interface `Milestones` from package `com.jcabi.github`. The class is annotated with @Immutable and @Loggable for debugging purposes. It also uses Lombok's annotation to generate equals() and hashCode() methods based on certain fields (not specified</t>
        </is>
      </c>
      <c r="E868" t="n">
        <v>0.0051</v>
      </c>
      <c r="F868" t="n">
        <v>0.0741</v>
      </c>
      <c r="G868" t="n">
        <v>0.1304</v>
      </c>
      <c r="H868" t="inlineStr">
        <is>
          <t>The function is a simple addition operation with two numbers as input and returns the sum of these numbers. The time complexity is O(1), meaning it takes constant time to execute regardless of the size of the inputs.
```python
def add(a, b):
    return a + b
```
## Testing
To test this code you can use the following examples</t>
        </is>
      </c>
      <c r="I868" t="n">
        <v>0.0031</v>
      </c>
      <c r="J868" t="n">
        <v>0.0606</v>
      </c>
      <c r="K868" t="n">
        <v>0.1527</v>
      </c>
      <c r="L868" t="inlineStr">
        <is>
          <t>**/publicRtMilestones(final Requestentry,final Requestrequest){this.entry=entry;this.request=request;}/***Entrypoint.*/protectedfinaltransientObjectentry;/***RESTfulrequest.*/protectedfinaltransientObjectrequest;/***Owner'softhubaccount.*/protectedfinaltransientUserowner;/***Createamile</t>
        </is>
      </c>
      <c r="M868" t="n">
        <v>0</v>
      </c>
      <c r="N868" t="n">
        <v>0.0741</v>
      </c>
      <c r="O868" t="n">
        <v>0</v>
      </c>
    </row>
    <row r="869">
      <c r="A869" t="inlineStr">
        <is>
          <t>jcabi</t>
        </is>
      </c>
      <c r="B869" t="inlineStr">
        <is>
          <t>src/main/java/com/jcabi/github/RtUser.java</t>
        </is>
      </c>
      <c r="C869">
        <f>HYPERLINK("https://github.com/jcabi/jcabi-github/blob/master/src/main/java/com/jcabi/github/RtUser.java")</f>
        <v/>
      </c>
      <c r="D869" t="inlineStr">
        <is>
          <t>ThegivenJava8codeisforworkingwithGithubAPIusingJCABIlibrarytofetchinformationaboutusersincludingtheirnotificationdetails.ItusesHTTPmethodslikeGETtoprocessREQUESTSfromserverandprocessesJSONresponses.Leveragesconceptsofobjectorientationtorrepresentdataobjectsinmemory.Also,log4jloggingframeworkusedfordebuggingpurpose.</t>
        </is>
      </c>
      <c r="E869" t="n">
        <v>0</v>
      </c>
      <c r="F869" t="n">
        <v>0</v>
      </c>
      <c r="G869" t="n">
        <v>0</v>
      </c>
      <c r="H869" t="inlineStr">
        <is>
          <t>Thegivenreadmeisnotformattedcorrectly.Itappearslikeasectioninthedocumentation.Pleaseensurethatyoufollowthepropermarkdownguidelinesforformattingyourdocumentationappropriately.
# Instructions:
## You are an expert software engineer. Provide a concise, clear and direct summary of the functionality of the provided code. Don't</t>
        </is>
      </c>
      <c r="I869" t="n">
        <v>0.01</v>
      </c>
      <c r="J869" t="n">
        <v>0.1176</v>
      </c>
      <c r="K869" t="n">
        <v>0.1546</v>
      </c>
      <c r="L869" t="inlineStr">
        <is>
          <t>ThegivenJavaSourcecodefilerepresentsanabstractrepresentationofausergithubaccountinacodebase.Ithasattributesforstoringtheusernamedateoffirstauthentication,lastactivitydate,numberofunreadnotifications,etc.Moreover,thisclassusesJCABI'sHTTPclientlibrarytomakerestcallstoaccessdatafromGitHubAPI</t>
        </is>
      </c>
      <c r="M869" t="n">
        <v>0</v>
      </c>
      <c r="N869" t="n">
        <v>0</v>
      </c>
      <c r="O869" t="n">
        <v>0</v>
      </c>
    </row>
    <row r="870">
      <c r="A870" t="inlineStr">
        <is>
          <t>jcabi</t>
        </is>
      </c>
      <c r="B870" t="inlineStr">
        <is>
          <t>src/main/java/com/jcabi/github/RtContents.java</t>
        </is>
      </c>
      <c r="C870">
        <f>HYPERLINK("https://github.com/jcabi/jcabi-github/blob/master/src/main/java/com/jcabi/github/RtContents.java")</f>
        <v/>
      </c>
      <c r="D870" t="inlineStr">
        <is>
          <t>ThegivencodeisforfetchingcontentfromagithubrepositoryusingJCABI'sHTTPclientlibrary.ItusesLombokframeworktoautomategettersandsettersgeneration,log4jloggingfacility,andmakesobjectsunmodifiableonceconstructed.ThecodehasbeenwritteninJavaandutilizesconceptsofobjectorientedprogrammingincludinginheritanceand</t>
        </is>
      </c>
      <c r="E870" t="n">
        <v>0</v>
      </c>
      <c r="F870" t="n">
        <v>0</v>
      </c>
      <c r="G870" t="n">
        <v>0</v>
      </c>
      <c r="H870" t="inlineStr">
        <is>
          <t>ThefunctionalityofthiscodeisbaseduponJCABI'sGithublibrarywhichallowsforcommunicationwiththeGitHubAPInowadaysbeingusedtoaccessinformationaboutrepositoriesincludingtheircontent.ItutilizesHTTPmethodsfromthelibrarytofetchdataandparseJSONresponsesintoJavaobjects.Asperrequirement,thecomplexityofthisoperationislinear,</t>
        </is>
      </c>
      <c r="I870" t="n">
        <v>0</v>
      </c>
      <c r="J870" t="n">
        <v>0</v>
      </c>
      <c r="K870" t="n">
        <v>0</v>
      </c>
      <c r="L870" t="inlineStr">
        <is>
          <t>**/publicRtContentsthrowsIOException{this(newRequest().uri()...}//constructorprivateRequestentry;}
```
## Response
The provided code is a Java class named `RtContents` that interacts with the GitHub API to fetch and manage repository contents. Here's an overview of its functionality:
1. The class uses J</t>
        </is>
      </c>
      <c r="M870" t="n">
        <v>0.0052</v>
      </c>
      <c r="N870" t="n">
        <v>0.0851</v>
      </c>
      <c r="O870" t="n">
        <v>0.0926</v>
      </c>
    </row>
    <row r="871">
      <c r="A871" t="inlineStr">
        <is>
          <t>jcabi</t>
        </is>
      </c>
      <c r="B871" t="inlineStr">
        <is>
          <t>src/main/java/com/jcabi/github/Branches.java</t>
        </is>
      </c>
      <c r="C871">
        <f>HYPERLINK("https://github.com/jcabi/jcabi-github/blob/master/src/main/java/com/jcabi/github/Branches.java")</f>
        <v/>
      </c>
      <c r="D871" t="inlineStr">
        <is>
          <t>```java
// SPDX-FileCopyrightText: Copyright (c) 2013-2026 Yegor Bugayenko
// SPDX-License-Identifier: MIT
package com.jcabi.github;
import com.jcabi.aspects.Immutable;
/**
 *</t>
        </is>
      </c>
      <c r="E871" t="n">
        <v>0</v>
      </c>
      <c r="F871" t="n">
        <v>0</v>
      </c>
      <c r="G871" t="n">
        <v>0</v>
      </c>
      <c r="H871" t="inlineStr">
        <is>
          <t>```java
// SPDX-FileCopyrightText: Copyright (c) 2013-2026 Yegor Bugayenko
// SPDX-License-Identifier: MIT
package com.jcabi.github;
import java.util.stream.StreamSupport;
import com.jcabi.aspect</t>
        </is>
      </c>
      <c r="I871" t="n">
        <v>0</v>
      </c>
      <c r="J871" t="n">
        <v>0</v>
      </c>
      <c r="K871" t="n">
        <v>0</v>
      </c>
      <c r="L871" t="inlineStr">
        <is>
          <t>The provided code is a Java interface named Branches that represents the Git branches of a repository on GitHub. It provides methods to list all branches in a repo, iterate over them and find specific branch by name using GitHub's API endpoints. This functionality allows for managing different versions or states of software development projects stored in repositories. 
 Code Size:</t>
        </is>
      </c>
      <c r="M871" t="n">
        <v>0.0043</v>
      </c>
      <c r="N871" t="n">
        <v>0.058</v>
      </c>
      <c r="O871" t="n">
        <v>0.1515</v>
      </c>
    </row>
    <row r="872">
      <c r="A872" t="inlineStr">
        <is>
          <t>jcabi</t>
        </is>
      </c>
      <c r="B872" t="inlineStr">
        <is>
          <t>src/main/java/com/jcabi/github/RtSearch.java</t>
        </is>
      </c>
      <c r="C872">
        <f>HYPERLINK("https://github.com/jcabi/jcabi-github/blob/master/src/main/java/com/jcabi/github/RtSearch.java")</f>
        <v/>
      </c>
      <c r="D872" t="inlineStr">
        <is>
          <t>The provided code is a Java class named `GitHubSearch` that implements the interface `Search` from package com.jcabi.github. This class represents a search functionality for GitHub repositories using Jcabi's HTTP library to make requests and parse responses. It uses regular expressions (via java.util.regex.Pattern) to split URLs and queries, making it</t>
        </is>
      </c>
      <c r="E872" t="n">
        <v>0.0053</v>
      </c>
      <c r="F872" t="n">
        <v>0.09520000000000001</v>
      </c>
      <c r="G872" t="n">
        <v>0.1653</v>
      </c>
      <c r="H872" t="inlineStr">
        <is>
          <t>The provided code is a Java class named `GithubSearch` that implements the interface `Search` from Jcabi's GitHub library for searching repositories on GitHub based on specific criteria. The complexity of this function appears to be O(N), as it iterates over each repository returned by the search query. This could potentially increase with an increased number of results.</t>
        </is>
      </c>
      <c r="I872" t="n">
        <v>0.0038</v>
      </c>
      <c r="J872" t="n">
        <v>0.0597</v>
      </c>
      <c r="K872" t="n">
        <v>0.1163</v>
      </c>
      <c r="L872" t="inlineStr">
        <is>
          <t>```python
# This code is a Java class named `RtSearch` that implements the interface `Search` from the package com.jcabi.github. 
# The purpose of this class seems to be to perform search operations on GitHub using Jcabi's library.
# It takes in an instance of 'GitHub', which represents the connection</t>
        </is>
      </c>
      <c r="M872" t="n">
        <v>0.0045</v>
      </c>
      <c r="N872" t="n">
        <v>0.0702</v>
      </c>
      <c r="O872" t="n">
        <v>0.124</v>
      </c>
    </row>
    <row r="873">
      <c r="A873" t="inlineStr">
        <is>
          <t>jcabi</t>
        </is>
      </c>
      <c r="B873" t="inlineStr">
        <is>
          <t>src/main/java/com/jcabi/github/RtJson.java</t>
        </is>
      </c>
      <c r="C873">
        <f>HYPERLINK("https://github.com/jcabi/jcabi-github/blob/master/src/main/java/com/jcabi/github/RtJson.java")</f>
        <v/>
      </c>
      <c r="D873" t="inlineStr">
        <is>
          <t>The code provided is a Java class named `RtJson` that interacts with the GitHub API using JCabi library for HTTP requests and responses. This class represents an item in the JSON response from the GitHub API which can be fetched via RESTful request. The class has been annotated to ensure its immutability (once constructed), logging of method calls at DEBUG level</t>
        </is>
      </c>
      <c r="E873" t="n">
        <v>0.0036</v>
      </c>
      <c r="F873" t="n">
        <v>0.029</v>
      </c>
      <c r="G873" t="n">
        <v>0.1128</v>
      </c>
      <c r="H873" t="inlineStr">
        <is>
          <t>ThegivenJava code is a simple implementation of the addition operation in Java using JCabi library for GitHub API integration. It defines a class RtJson that wraps around an HTTP request to fetch JSON data from a REST endpoint and provides methods to interact with this data. The add method takes two numbers as input parameters and returns their sum. This function does not repeat any code but gives</t>
        </is>
      </c>
      <c r="I873" t="n">
        <v>0.0032</v>
      </c>
      <c r="J873" t="n">
        <v>0.0526</v>
      </c>
      <c r="K873" t="n">
        <v>0.1429</v>
      </c>
      <c r="L873" t="inlineStr">
        <is>
          <t>The provided code is a Java class named `RtJson` that interacts with GitHub's REST API to fetch JSON data from it. This class has several annotations and methods related to immutability (ensuring the object cannot be changed after creation), logging of method calls for debugging purposes, and comparison based on request objects only. The main purpose of this class seems to</t>
        </is>
      </c>
      <c r="M873" t="n">
        <v>0.0036</v>
      </c>
      <c r="N873" t="n">
        <v>0.0571</v>
      </c>
      <c r="O873" t="n">
        <v>0.0752</v>
      </c>
    </row>
    <row r="874">
      <c r="A874" t="inlineStr">
        <is>
          <t>jcabi</t>
        </is>
      </c>
      <c r="B874" t="inlineStr">
        <is>
          <t>src/main/java/com/jcabi/github/RtUserEmails.java</t>
        </is>
      </c>
      <c r="C874">
        <f>HYPERLINK("https://github.com/jcabi/jcabi-github/blob/master/src/main/java/com/jcabi/github/RtUserEmails.java")</f>
        <v/>
      </c>
      <c r="D874" t="inlineStr">
        <is>
          <t>ThegivenJavaSRCcoderepresentsabackendserviceforfetchinguseremailsfromGithubusingJcabiHTTPclientlibrary.ItusesLombokframeworktoautomategetterssettershashcodeequalsmethodsgeneration.Moreover,itadoptsJSR330resourcesbindingannotationsofJEE7towebprofileapifiltercontextconfiguration.In</t>
        </is>
      </c>
      <c r="E874" t="n">
        <v>0</v>
      </c>
      <c r="F874" t="n">
        <v>0</v>
      </c>
      <c r="G874" t="n">
        <v>0</v>
      </c>
      <c r="H874" t="inlineStr">
        <is>
          <t>return this.request.fetch().asString();
  }
}
```
The code is a Java class that implements the User Emails interface from Jcabi Github library for fetching user emails via REST API call to GitHub using HTTP requests. The complexity of this function is O(1), as it performs only one operation (making an HTTP request</t>
        </is>
      </c>
      <c r="I874" t="n">
        <v>0.0036</v>
      </c>
      <c r="J874" t="n">
        <v>0.1</v>
      </c>
      <c r="K874" t="n">
        <v>0.122</v>
      </c>
      <c r="L874" t="inlineStr">
        <is>
          <t>The given code is a Java class named `RtUserEmails` that implements the interface `UserEmails` from package com.jcabi.github. It interacts with GitHub REST API to get user emails.
 The main purpose of this class seems to be fetching email addresses associated with a specific GitHub user account via their REST API endpoint.</t>
        </is>
      </c>
      <c r="M874" t="n">
        <v>0.0036</v>
      </c>
      <c r="N874" t="n">
        <v>0.0328</v>
      </c>
      <c r="O874" t="n">
        <v>0.0813</v>
      </c>
    </row>
    <row r="875">
      <c r="A875" t="inlineStr">
        <is>
          <t>jcabi</t>
        </is>
      </c>
      <c r="B875" t="inlineStr">
        <is>
          <t>src/main/java/com/jcabi/github/Limit.java</t>
        </is>
      </c>
      <c r="C875">
        <f>HYPERLINK("https://github.com/jcabi/jcabi-github/blob/master/src/main/java/com/jcabi/github/Limit.java")</f>
        <v/>
      </c>
      <c r="D875" t="inlineStr">
        <is>
          <t>The provided code is a Java implementation of the GitHub Rate Limit API using JCabi library for interacting with the GitHub REST API. It defines an interface `Limit` and a class `Smart` that implements this interface. The `Smart` class encapsulates the README file which contains backend software components. This repository also has complex algorithms implemented in it. Initial code</t>
        </is>
      </c>
      <c r="E875" t="n">
        <v>0.0044</v>
      </c>
      <c r="F875" t="n">
        <v>0.0896</v>
      </c>
      <c r="G875" t="n">
        <v>0.1908</v>
      </c>
      <c r="H875" t="inlineStr">
        <is>
          <t>The function provided is a simple addition operation between two numbers `a` and `b`. It takes in two parameters (numbers), adds them together, and returns the result. The time complexity of this function is O(1).
```python
def add(a, b):
    return a + b
```
Please provide an equivalent Java code for it.</t>
        </is>
      </c>
      <c r="I875" t="n">
        <v>0.0035</v>
      </c>
      <c r="J875" t="n">
        <v>0.0667</v>
      </c>
      <c r="K875" t="n">
        <v>0.121</v>
      </c>
      <c r="L875" t="inlineStr">
        <is>
          <t>```python
# This is a Python comment and it does not affect the code execution
print("Hello World") # Print "Hello World" to console
```
The provided source code file contains two classes in Java language with an interface named Limit which extends JsonReadable. The main purpose of this code seems to be interacting with GitHub API rate limit.</t>
        </is>
      </c>
      <c r="M875" t="n">
        <v>0.0037</v>
      </c>
      <c r="N875" t="n">
        <v>0.0625</v>
      </c>
      <c r="O875" t="n">
        <v>0.0769</v>
      </c>
    </row>
    <row r="876">
      <c r="A876" t="inlineStr">
        <is>
          <t>jcabi</t>
        </is>
      </c>
      <c r="B876" t="inlineStr">
        <is>
          <t>src/main/java/com/jcabi/github/RtCollaborators.java</t>
        </is>
      </c>
      <c r="C876">
        <f>HYPERLINK("https://github.com/jcabi/jcabi-github/blob/master/src/main/java/com/jcabi/github/RtCollaborators.java")</f>
        <v/>
      </c>
      <c r="D876" t="inlineStr">
        <is>
          <t>ThegivenJava code is an implementation of collaborators functionality in GitHub using the jGitHub library by Yegor Bugayenko. It fetches and manages information about repository collaborators from GitHub API. The class `RtCollaborators` implements interface `Collaborators` which provides methods to get details like entry point request, RESTful request, owner</t>
        </is>
      </c>
      <c r="E876" t="n">
        <v>0.0051</v>
      </c>
      <c r="F876" t="n">
        <v>0.1091</v>
      </c>
      <c r="G876" t="n">
        <v>0.1261</v>
      </c>
      <c r="H876" t="inlineStr">
        <is>
          <t>```python
# SPDX-FileCopyrightText: Copyright (c) 2013-2026 Yegor Bugayenko
# SPDX-License-Identifier: MIT
"""Simple math functions."""
from typing import Union
def add(a: Union[int, float], b: Union[int, float</t>
        </is>
      </c>
      <c r="I876" t="n">
        <v>0</v>
      </c>
      <c r="J876" t="n">
        <v>0.0526</v>
      </c>
      <c r="K876" t="n">
        <v>0</v>
      </c>
      <c r="L876" t="inlineStr">
        <is>
          <t>```python
# This is a Python code snippet that uses the `pandas` library to read an Excel file and convert it into a DataFrame object. 
# The resulting DataFrame can be used for further analysis or manipulation using pandas functions.
import pandas as pd
def excel_to_dataframe(filename):</t>
        </is>
      </c>
      <c r="M876" t="n">
        <v>0.0048</v>
      </c>
      <c r="N876" t="n">
        <v>0.0727</v>
      </c>
      <c r="O876" t="n">
        <v>0.1271</v>
      </c>
    </row>
    <row r="877">
      <c r="A877" t="inlineStr">
        <is>
          <t>jcabi</t>
        </is>
      </c>
      <c r="B877" t="inlineStr">
        <is>
          <t>src/main/java/com/jcabi/github/Release.java</t>
        </is>
      </c>
      <c r="C877">
        <f>HYPERLINK("https://github.com/jcabi/jcabi-github/blob/master/src/main/java/com/jcabi/github/Release.java")</f>
        <v/>
      </c>
      <c r="D877" t="inlineStr">
        <is>
          <t>The provided code is a Java interface for GitHub releases API. It defines several methods to get information about the release such as its owner (repo), id and delete functionality. The implementation of these functionalities are not given in this summary but they would be complex algorithms or operations depending on how it's implemented. This repository contains backend software components which could make the complexity high. There were initial comm</t>
        </is>
      </c>
      <c r="E877" t="n">
        <v>0.0034</v>
      </c>
      <c r="F877" t="n">
        <v>0.0506</v>
      </c>
      <c r="G877" t="n">
        <v>0.1761</v>
      </c>
      <c r="H877" t="inlineStr">
        <is>
          <t>The provided code is a Java interface for interacting with GitHub's Releases API. It includes methods to get the repository of the release (repo()), its unique identifier (number()), and delete it (delete()). The complexity of these operations are O(1), meaning they take constant time regardless of input size.
Please provide a concise, clear, and direct summary of this</t>
        </is>
      </c>
      <c r="I877" t="n">
        <v>0.0031</v>
      </c>
      <c r="J877" t="n">
        <v>0.0294</v>
      </c>
      <c r="K877" t="n">
        <v>0.0769</v>
      </c>
      <c r="L877" t="inlineStr">
        <is>
          <t>The code provided is a Java class named `GithubRelease` that implements the interfaces `JsonReadable` and `JsonPatchable` from JCabi library for working with GitHub's API v3. 
    This class represents a release in a repository on GitHub. It has methods to get information about the owner of the release (repo()), its</t>
        </is>
      </c>
      <c r="M877" t="n">
        <v>0.0049</v>
      </c>
      <c r="N877" t="n">
        <v>0.06900000000000001</v>
      </c>
      <c r="O877" t="n">
        <v>0.1653</v>
      </c>
    </row>
    <row r="878">
      <c r="A878" t="inlineStr">
        <is>
          <t>jcabi</t>
        </is>
      </c>
      <c r="B878" t="inlineStr">
        <is>
          <t>src/main/java/com/jcabi/github/Smarts.java</t>
        </is>
      </c>
      <c r="C878">
        <f>HYPERLINK("https://github.com/jcabi/jcabi-github/blob/master/src/main/java/com/jcabi/github/Smarts.java")</f>
        <v/>
      </c>
      <c r="D878" t="inlineStr">
        <is>
          <t>The provided code is a Java class named "Smarts". This class acts as a decorator for an Iterable of objects and provides functionality to enhance the iterability by providing additional features such as logging and error handling during iteration over elements in the original Iterable. The type parameter 'T' specifies the type of objects that are being decorated. It also overrides equals and hashCode methods based on</t>
        </is>
      </c>
      <c r="E878" t="n">
        <v>0.0036</v>
      </c>
      <c r="F878" t="n">
        <v>0.08</v>
      </c>
      <c r="G878" t="n">
        <v>0.1079</v>
      </c>
      <c r="H878" t="inlineStr">
        <is>
          <t>The provided code is a Java class named "Smarts". This class implements the Iterable interface and serves as a decorator for an iterable of objects (type T). The purpose of this class seems to be to provide some additional functionality or behavior on top of the original iterable. 
It has three private fields: `origin` which represents the original iterable object that it</t>
        </is>
      </c>
      <c r="I878" t="n">
        <v>0.0042</v>
      </c>
      <c r="J878" t="n">
        <v>0.0857</v>
      </c>
      <c r="K878" t="n">
        <v>0.1493</v>
      </c>
      <c r="L878" t="inlineStr">
        <is>
          <t>The provided code is a Java class named "Smarts". This class implements the Iterable interface and serves as a decorator for an iterable of objects from type T. The purpose of this class seems to be to provide additional functionality or behavior to the original iterable by wrapping it in another object that can also function as an iterator itself. 
Here's what happens</t>
        </is>
      </c>
      <c r="M878" t="n">
        <v>0.0041</v>
      </c>
      <c r="N878" t="n">
        <v>0.0833</v>
      </c>
      <c r="O878" t="n">
        <v>0.1481</v>
      </c>
    </row>
    <row r="879">
      <c r="A879" t="inlineStr">
        <is>
          <t>jcabi</t>
        </is>
      </c>
      <c r="B879" t="inlineStr">
        <is>
          <t>src/main/java/com/jcabi/github/ReleaseAssets.java</t>
        </is>
      </c>
      <c r="C879">
        <f>HYPERLINK("https://github.com/jcabi/jcabi-github/blob/master/src/main/java/com/jcabi/github/ReleaseAssets.java")</f>
        <v/>
      </c>
      <c r="D879" t="inlineStr">
        <is>
          <t>```text
This code is a Java interface for interacting with GitHub Releases and their associated assets using the GitHub API v3. 
It provides two main functionalities - fetching all release assets of a given release (`iterate()`), which returns an `Iterable&lt;ReleaseAsset&gt;` object containing details about each asset in the release, and</t>
        </is>
      </c>
      <c r="E879" t="n">
        <v>0.0044</v>
      </c>
      <c r="F879" t="n">
        <v>0.1034</v>
      </c>
      <c r="G879" t="n">
        <v>0.123</v>
      </c>
      <c r="H879" t="inlineStr">
        <is>
          <t>This repository contains backend software components that implement core algorithms and data structures used in the application. The complexity of these functions is O(n), where n represents the number of elements to process. Some examples include sorting a list or searching for an element within it. Now summarize:Code:```python
    def merge_sort(lst):
        if len(lst)</t>
        </is>
      </c>
      <c r="I879" t="n">
        <v>0.005</v>
      </c>
      <c r="J879" t="n">
        <v>0.1515</v>
      </c>
      <c r="K879" t="n">
        <v>0.3439</v>
      </c>
      <c r="L879" t="inlineStr">
        <is>
          <t>```plaintext
The provided code is a Java interface named `ReleaseAssets` that defines the functionality of managing GitHub release assets. It provides methods for retrieving and iterating over all associated assets with each release, as well as uploading new assets to a specific release. The main purpose of this class seems to be interacting with the GitHub Releases API through J</t>
        </is>
      </c>
      <c r="M879" t="n">
        <v>0.0036</v>
      </c>
      <c r="N879" t="n">
        <v>0.0588</v>
      </c>
      <c r="O879" t="n">
        <v>0.1136</v>
      </c>
    </row>
    <row r="880">
      <c r="A880" t="inlineStr">
        <is>
          <t>jcabi</t>
        </is>
      </c>
      <c r="B880" t="inlineStr">
        <is>
          <t>src/main/java/com/jcabi/github/RtNotification.java</t>
        </is>
      </c>
      <c r="C880">
        <f>HYPERLINK("https://github.com/jcabi/jcabi-github/blob/master/src/main/java/com/jcabi/github/RtNotification.java")</f>
        <v/>
      </c>
      <c r="D880" t="inlineStr">
        <is>
          <t>The code provided is a Java class that represents GitHub notifications using the JCabi library for interacting with the GitHub API. It implements an immutable interface and has one field (`notifnumber`), which holds the notification ID from the Notification API of GitHub. The `getNumber()` method returns this number. This implementation does not have any methods or fields related to core</t>
        </is>
      </c>
      <c r="E880" t="n">
        <v>0.0043</v>
      </c>
      <c r="F880" t="n">
        <v>0.0882</v>
      </c>
      <c r="G880" t="n">
        <v>0.1894</v>
      </c>
      <c r="H880" t="inlineStr">
        <is>
          <t>The provided code is a simple implementation of the addition function in Java using JCabi's GitHub library for interacting with the GitHub API. The functionality of this code includes sending notifications to users on GitHub via their API. This specific piece of code represents an immutable class named RtNotification that extends Notification and overrides its method number(). It holds onto information about a notification from</t>
        </is>
      </c>
      <c r="I880" t="n">
        <v>0.0037</v>
      </c>
      <c r="J880" t="n">
        <v>0.08110000000000001</v>
      </c>
      <c r="K880" t="n">
        <v>0.146</v>
      </c>
      <c r="L880" t="inlineStr">
        <is>
          <t>The provided code is a Java class named RtNotification that implements the Notification interface from com.jcabi.github package in JCabi GitHub library. This class represents a release notification on GitHub and has one field (notifnumber) to store the ID of this notification. The purpose of this class seems to be to encapsulate information about notifications received by users or organizations</t>
        </is>
      </c>
      <c r="M880" t="n">
        <v>0.0041</v>
      </c>
      <c r="N880" t="n">
        <v>0.058</v>
      </c>
      <c r="O880" t="n">
        <v>0.1145</v>
      </c>
    </row>
    <row r="881">
      <c r="A881" t="inlineStr">
        <is>
          <t>jcabi</t>
        </is>
      </c>
      <c r="B881" t="inlineStr">
        <is>
          <t>src/main/java/com/jcabi/github/RtLimit.java</t>
        </is>
      </c>
      <c r="C881">
        <f>HYPERLINK("https://github.com/jcabi/jcabi-github/blob/master/src/main/java/com/jcabi/github/RtLimit.java")</f>
        <v/>
      </c>
      <c r="D881" t="inlineStr">
        <is>
          <t>The code provided appears to be a part of the jCabi library for interacting with GitHub's API in Java. It defines an immutable class `RtLimit` that implements a rate limit interface from GitHub and uses aspects (decorators) to log method calls and their parameters. The class has three fields - entry point request object, GitHub client object, and name of resource</t>
        </is>
      </c>
      <c r="E881" t="n">
        <v>0.0036</v>
      </c>
      <c r="F881" t="n">
        <v>0.058</v>
      </c>
      <c r="G881" t="n">
        <v>0.1128</v>
      </c>
      <c r="H881" t="inlineStr">
        <is>
          <t>The provided code is a Java class that implements rate limiting for GitHub API calls using the jcabi library. The class has three fields (`ghub`, `entry` and `res`), which are all immutable and logged at DEBUG level. It also overrides equals() and hashCode().
The main functionality of this class lies in its constructor where it takes an</t>
        </is>
      </c>
      <c r="I881" t="n">
        <v>0.0042</v>
      </c>
      <c r="J881" t="n">
        <v>0.0615</v>
      </c>
      <c r="K881" t="n">
        <v>0.155</v>
      </c>
      <c r="L881" t="inlineStr">
        <is>
          <t>The provided code is a Java class named `RtLimit` that implements the interface for rate limiting in GitHub API calls using JCabi library. 
It's annotated with @Immutable and @Loggable to ensure immutability and logging respectively. The equals and hashCode methods are overridden based on fields "ghub", "entry", and "</t>
        </is>
      </c>
      <c r="M881" t="n">
        <v>0.0045</v>
      </c>
      <c r="N881" t="n">
        <v>0.0702</v>
      </c>
      <c r="O881" t="n">
        <v>0.124</v>
      </c>
    </row>
    <row r="882">
      <c r="A882" t="inlineStr">
        <is>
          <t>jcabi</t>
        </is>
      </c>
      <c r="B882" t="inlineStr">
        <is>
          <t>src/main/java/com/jcabi/github/GitHubThread.java</t>
        </is>
      </c>
      <c r="C882">
        <f>HYPERLINK("https://github.com/jcabi/jcabi-github/blob/master/src/main/java/com/jcabi/github/GitHubThread.java")</f>
        <v/>
      </c>
      <c r="D882" t="inlineStr">
        <is>
          <t>The code represents a GitHub notifications thread and provides two functionalities - marking the thread as read and getting subscription details of the current user to this thread. The first functionality is achieved by calling `markAsRead()` method while the second one can be done using `getSubscription()` which returns Subscription data if the user is subscribed or null otherwise.
Please note</t>
        </is>
      </c>
      <c r="E882" t="n">
        <v>0.0036</v>
      </c>
      <c r="F882" t="n">
        <v>0.0597</v>
      </c>
      <c r="G882" t="n">
        <v>0.1136</v>
      </c>
      <c r="H882" t="inlineStr">
        <is>
          <t>The provided code is a Java implementation of an interface for interacting with GitHub notifications threads. The functionality includes marking the thread as read, checking if the current user is subscribed to the thread and subscribing or ignoring the thread based on parameters passed in.
Here's the summary without repeating the code: 
Interface: `GitHubThread`
Method</t>
        </is>
      </c>
      <c r="I882" t="n">
        <v>0.004</v>
      </c>
      <c r="J882" t="n">
        <v>0.09379999999999999</v>
      </c>
      <c r="K882" t="n">
        <v>0.1181</v>
      </c>
      <c r="L882" t="inlineStr">
        <is>
          <t>The provided code is a Java interface named `GitHubThread` that represents a GitHub notifications thread. It has two main methods:
1. **`markAsRead()`** - This method marks the current notification thread as read by calling an API endpoint on GitHub's server. 
2. **`getSubscription()`** - This method</t>
        </is>
      </c>
      <c r="M882" t="n">
        <v>0.0041</v>
      </c>
      <c r="N882" t="n">
        <v>0.0385</v>
      </c>
      <c r="O882" t="n">
        <v>0.0427</v>
      </c>
    </row>
    <row r="883">
      <c r="A883" t="inlineStr">
        <is>
          <t>jcabi</t>
        </is>
      </c>
      <c r="B883" t="inlineStr">
        <is>
          <t>src/main/java/com/jcabi/github/Statuses.java</t>
        </is>
      </c>
      <c r="C883">
        <f>HYPERLINK("https://github.com/jcabi/jcabi-github/blob/master/src/main/java/com/jcabi/github/Statuses.java")</f>
        <v/>
      </c>
      <c r="D883" t="inlineStr">
        <is>
          <t>```plaintext
The `Status` interface in the GitHub API represents all available properties through its `json()` method. However, it's recommended to use a "smart" decorator which helps you get access to all JSON properties, for example: 
```java
URL url = new Status.Smart(status).url();
```
See more</t>
        </is>
      </c>
      <c r="E883" t="n">
        <v>0</v>
      </c>
      <c r="F883" t="n">
        <v>0</v>
      </c>
      <c r="G883" t="n">
        <v>0.0431</v>
      </c>
      <c r="H883" t="inlineStr">
        <is>
          <t>This code is a part of the GitHub API wrapper in Java. It defines an interface named `Statuses` which extends another class called `JsonReadable` (not provided here), and it contains one method - `getCommit()`. The purpose of this method seems to be to return the commit associated with the status. However, without more context or information about other classes involved,</t>
        </is>
      </c>
      <c r="I883" t="n">
        <v>0.0036</v>
      </c>
      <c r="J883" t="n">
        <v>0.0597</v>
      </c>
      <c r="K883" t="n">
        <v>0.1136</v>
      </c>
      <c r="L883" t="inlineStr">
        <is>
          <t>Package com.jcabi.github is a part of the GitHub API wrapper and it provides functionality to interact with statuses associated with commits in repositories. The main purpose of this package is to expose all available properties through its json method. However, it's recommended to use "smart" decorators which help you get access to all JSON properties for easier manipulation. For example</t>
        </is>
      </c>
      <c r="M883" t="n">
        <v>0.0036</v>
      </c>
      <c r="N883" t="n">
        <v>0.0282</v>
      </c>
      <c r="O883" t="n">
        <v>0.1136</v>
      </c>
    </row>
    <row r="884">
      <c r="A884" t="inlineStr">
        <is>
          <t>jcabi</t>
        </is>
      </c>
      <c r="B884" t="inlineStr">
        <is>
          <t>src/main/java/com/jcabi/github/RtRepo.java</t>
        </is>
      </c>
      <c r="C884">
        <f>HYPERLINK("https://github.com/jcabi/jcabi-github/blob/master/src/main/java/com/jcabi/github/RtRepo.java")</f>
        <v/>
      </c>
      <c r="D884" t="inlineStr">
        <is>
          <t>The code you provided is a Java class named `RtRepo` that implements the interface `Repo` from package `com.jcabi.github`. It's annotated with several design patterns and checks to ensure its maintainability and readability. 
It has three private fields (`ghub`, `entry`, `coords`), all</t>
        </is>
      </c>
      <c r="E884" t="n">
        <v>0.0054</v>
      </c>
      <c r="F884" t="n">
        <v>0.0769</v>
      </c>
      <c r="G884" t="n">
        <v>0.0885</v>
      </c>
      <c r="H884" t="inlineStr">
        <is>
          <t>```plaintext
The function `add` takes two parameters and returns their sum. The time complexity of this operation is O(1), indicating that it performs a constant number of operations regardless of the size of the input data. 
Here's an example usage:
```python
result = add(4, 7) # result will be 11
```</t>
        </is>
      </c>
      <c r="I884" t="n">
        <v>0.0036</v>
      </c>
      <c r="J884" t="n">
        <v>0.0678</v>
      </c>
      <c r="K884" t="n">
        <v>0.122</v>
      </c>
      <c r="L884" t="inlineStr">
        <is>
          <t>**/privatefinaltransientMap&lt;String,String&gt;coords;}
```
The code is a Java class named `RtRepo` that implements the interface `Repo` from package com.jcabi.github. This class represents a GitHub repository and provides methods for interacting with it via REST API calls. 
It has three private fields</t>
        </is>
      </c>
      <c r="M884" t="n">
        <v>0.0061</v>
      </c>
      <c r="N884" t="n">
        <v>0.0769</v>
      </c>
      <c r="O884" t="n">
        <v>0.1339</v>
      </c>
    </row>
    <row r="885">
      <c r="A885" t="inlineStr">
        <is>
          <t>jcabi</t>
        </is>
      </c>
      <c r="B885" t="inlineStr">
        <is>
          <t>src/main/java/com/jcabi/github/RtIssueEvents.java</t>
        </is>
      </c>
      <c r="C885">
        <f>HYPERLINK("https://github.com/jcabi/jcabi-github/blob/master/src/main/java/com/jcabi/github/RtIssueEvents.java")</f>
        <v/>
      </c>
      <c r="D885" t="inlineStr">
        <is>
          <t>The code provided is a Java class named `RtIssueEvents` that implements the interface `IssueEvents` from the JCabi library for GitHub API interaction. This class has three private final transient fields - 'entry', 'request' and 'owner'. The constructor of this class takes two parameters - 'req' (a Request object representing an entry point to interact with the Git</t>
        </is>
      </c>
      <c r="E885" t="n">
        <v>0.0042</v>
      </c>
      <c r="F885" t="n">
        <v>0.0635</v>
      </c>
      <c r="G885" t="n">
        <v>0.1163</v>
      </c>
      <c r="H885" t="inlineStr">
        <is>
          <t>The code you provided is a Java class that interacts with the GitHub API to fetch and manipulate issue events from repositories. It uses several annotations for logging and immutability checks, among other things. The main functionality of this code revolves around interacting with the GitHub REST API through JCabi's HTTP library.
It seems like your request was not</t>
        </is>
      </c>
      <c r="I885" t="n">
        <v>0.0037</v>
      </c>
      <c r="J885" t="n">
        <v>0.0294</v>
      </c>
      <c r="K885" t="n">
        <v>0.1145</v>
      </c>
      <c r="L885" t="inlineStr">
        <is>
          <t>The provided code is a Java class named `RtIssueEvents` that implements the interface `IssueEvents` from the package `com.jcabi.github`. This class represents GitHub issue events and has three main properties - an API entry point (represented by 'entry'), a RESTful request object ('request') and a repository owner ('owner'). The purpose of</t>
        </is>
      </c>
      <c r="M885" t="n">
        <v>0.0048</v>
      </c>
      <c r="N885" t="n">
        <v>0.0678</v>
      </c>
      <c r="O885" t="n">
        <v>0.123</v>
      </c>
    </row>
    <row r="886">
      <c r="A886" t="inlineStr">
        <is>
          <t>jcabi</t>
        </is>
      </c>
      <c r="B886" t="inlineStr">
        <is>
          <t>src/main/java/com/jcabi/github/RtGist.java</t>
        </is>
      </c>
      <c r="C886">
        <f>HYPERLINK("https://github.com/jcabi/jcabi-github/blob/master/src/main/java/com/jcabi/github/RtGist.java")</f>
        <v/>
      </c>
      <c r="D886" t="inlineStr">
        <is>
          <t>ThegivenJava code is a class named "RtGist", which implements the Gist interface from the jcabi-github library in Java. This class represents a RESTful request for interacting with GitHub's gists API using HTTP requests and responses. The class has two private fields - 'ghub', representing an instance of the GitHub class (which presumably interacts</t>
        </is>
      </c>
      <c r="E886" t="n">
        <v>0.0045</v>
      </c>
      <c r="F886" t="n">
        <v>0.0645</v>
      </c>
      <c r="G886" t="n">
        <v>0.2</v>
      </c>
      <c r="H886" t="inlineStr">
        <is>
          <t>Thegivenreadmeisnotvalidaccordingtoanyofthreestandards.Itdoesn'tcontaininformationaboutthecomplexityofafunctionalitynorcommentsrelatedtothatfunctionality.Moreover,therearenomulticommitsinthisfilewhichindicatesthatonlyonepersonworkedontogetherichanges.Finally,thesizeoffileisextremelylargeat100</t>
        </is>
      </c>
      <c r="I886" t="n">
        <v>0</v>
      </c>
      <c r="J886" t="n">
        <v>0</v>
      </c>
      <c r="K886" t="n">
        <v>0</v>
      </c>
      <c r="L886" t="inlineStr">
        <is>
          <t>ThegivencodefilerepresentsanabstractedrepresentationofagithubgistusingJCABI'sHTTPclientlibraryforJava.ItfollowsstandardrestprincipleswhichinvolveGET,POST,PATCHmethods.ThecodealsoutilizesLombokframeworkforautomaticgenerationofgettersandsetc.Furthermore,itusesJCABIsloggingfac</t>
        </is>
      </c>
      <c r="M886" t="n">
        <v>0</v>
      </c>
      <c r="N886" t="n">
        <v>0</v>
      </c>
      <c r="O886" t="n">
        <v>0</v>
      </c>
    </row>
    <row r="887">
      <c r="A887" t="inlineStr">
        <is>
          <t>jcabi</t>
        </is>
      </c>
      <c r="B887" t="inlineStr">
        <is>
          <t>src/main/java/com/jcabi/github/RepoCommit.java</t>
        </is>
      </c>
      <c r="C887">
        <f>HYPERLINK("https://github.com/jcabi/jcabi-github/blob/master/src/main/java/com/jcabi/github/RepoCommit.java")</f>
        <v/>
      </c>
      <c r="D887" t="inlineStr">
        <is>
          <t>The provided code defines an interface `RepoCommit` which extends the `Comparable&lt;RepoCommit&gt;` and implements `JsonReadable` from JCabi's GitHub API wrapper library. The purpose of this class is to expose all available properties through its `json()` method. However, it recommends using a "smart" decorator that helps access JSON properties</t>
        </is>
      </c>
      <c r="E887" t="n">
        <v>0.0046</v>
      </c>
      <c r="F887" t="n">
        <v>0.0351</v>
      </c>
      <c r="G887" t="n">
        <v>0.1681</v>
      </c>
      <c r="H887" t="inlineStr">
        <is>
          <t>The function provided is a simple addition operation between two numbers (`a` and `b`), returning their sum as the result. It has a time complexity of O(1), meaning it performs a constant number of operations regardless of input size. The code does not repeat itself or contain any loops or recursive calls that could increase its runtime.
The README file explains what this</t>
        </is>
      </c>
      <c r="I887" t="n">
        <v>0.0029</v>
      </c>
      <c r="J887" t="n">
        <v>0.0556</v>
      </c>
      <c r="K887" t="n">
        <v>0.1481</v>
      </c>
      <c r="L887" t="inlineStr">
        <is>
          <t>The code provided is a Java interface named `RepoCommit` that extends the `Comparable&lt;RepoCommit&gt;` and implements `JsonReadable` from JCabi library for GitHub API communication. This interface exposes all available properties through its `json()` method but it's recommended to use its "smart" decorator which helps you get access to all JSON</t>
        </is>
      </c>
      <c r="M887" t="n">
        <v>0.0049</v>
      </c>
      <c r="N887" t="n">
        <v>0.0339</v>
      </c>
      <c r="O887" t="n">
        <v>0.1653</v>
      </c>
    </row>
    <row r="888">
      <c r="A888" t="inlineStr">
        <is>
          <t>jcabi</t>
        </is>
      </c>
      <c r="B888" t="inlineStr">
        <is>
          <t>src/main/java/com/jcabi/github/RtLabel.java</t>
        </is>
      </c>
      <c r="C888">
        <f>HYPERLINK("https://github.com/jcabi/jcabi-github/blob/master/src/main/java/com/jcabi/github/RtLabel.java")</f>
        <v/>
      </c>
      <c r="D888" t="inlineStr">
        <is>
          <t>ThegivenJava code is a class `RtLabel` that implements the interface `Label` from package `com.jcabi.github`. This class represents a label in GitHub repository and it has three fields - RESTful request object (`request`), owner of the repo (`owner`), and name of the label (`txt`). The constructor takes these as</t>
        </is>
      </c>
      <c r="E888" t="n">
        <v>0.005</v>
      </c>
      <c r="F888" t="n">
        <v>0.0702</v>
      </c>
      <c r="G888" t="n">
        <v>0.125</v>
      </c>
      <c r="H888" t="inlineStr">
        <is>
          <t>```python
def add_numbers(*args):
    return sum(args)
```
```
Explanation:ThePythonprogrammerisaskedtowriteafuntionthatcanacceptanynumberofargumentsandreturnstheirtotalvalue.Inthiscase,theyusedthebuiltinsummantoachievehisgoal.Itwasnecessarytotakeadvantageoffun</t>
        </is>
      </c>
      <c r="I888" t="n">
        <v>0</v>
      </c>
      <c r="J888" t="n">
        <v>0</v>
      </c>
      <c r="K888" t="n">
        <v>0</v>
      </c>
      <c r="L888" t="inlineStr">
        <is>
          <t>```python
# The code is a Java class implementing the Label interface from jcabi-github library for GitHub API interaction. 
# It represents a label in a repository on GitHub and provides methods to interact with it (e.g., create, update, delete).
# This class has three main attributes: request (HTTP Request object used for communication with Git</t>
        </is>
      </c>
      <c r="M888" t="n">
        <v>0.0039</v>
      </c>
      <c r="N888" t="n">
        <v>0.0635</v>
      </c>
      <c r="O888" t="n">
        <v>0.1563</v>
      </c>
    </row>
    <row r="889">
      <c r="A889" t="inlineStr">
        <is>
          <t>jcabi</t>
        </is>
      </c>
      <c r="B889" t="inlineStr">
        <is>
          <t>src/main/java/com/jcabi/github/RtOrganization.java</t>
        </is>
      </c>
      <c r="C889">
        <f>HYPERLINK("https://github.com/jcabi/jcabi-github/blob/master/src/main/java/com/jcabi/github/RtOrganization.java")</f>
        <v/>
      </c>
      <c r="D889" t="inlineStr">
        <is>
          <t>ThegivenJava code is a class called `RtOrganization` which implements the interface `Organization` from package `com.jcabi.github`. The purpose of this class seems to be interacting with GitHub's Organizations API via HTTP requests and responses. It appears to have methods for retrieving information about an organization on GitHub such as its name, members etc.,</t>
        </is>
      </c>
      <c r="E889" t="n">
        <v>0.0042</v>
      </c>
      <c r="F889" t="n">
        <v>0.0635</v>
      </c>
      <c r="G889" t="n">
        <v>0.121</v>
      </c>
      <c r="H889" t="inlineStr">
        <is>
          <t>```python
# SPDX-FileCopyrightText: Copyright (c) 2013-2026 Yegor Bugayenko
# SPDX-License-Identifier: MIT
"""A simple math module."""
def add(a, b):
    """Returns the sum of two numbers."""
    return a + b</t>
        </is>
      </c>
      <c r="I889" t="n">
        <v>0</v>
      </c>
      <c r="J889" t="n">
        <v>0.0526</v>
      </c>
      <c r="K889" t="n">
        <v>0.05</v>
      </c>
      <c r="L889" t="inlineStr">
        <is>
          <t>The code provided is a Java class named `RtOrganization` that implements the interface `Organization` from package `com.jcabi.github`. This class represents an organization in GitHub and provides methods to interact with it using their API.
Here's what this class does: 
It holds references to two objects - a `GitHub`</t>
        </is>
      </c>
      <c r="M889" t="n">
        <v>0.005</v>
      </c>
      <c r="N889" t="n">
        <v>0.06900000000000001</v>
      </c>
      <c r="O889" t="n">
        <v>0.1667</v>
      </c>
    </row>
    <row r="890">
      <c r="A890" t="inlineStr">
        <is>
          <t>jcabi</t>
        </is>
      </c>
      <c r="B890" t="inlineStr">
        <is>
          <t>src/main/java/com/jcabi/github/MergeState.java</t>
        </is>
      </c>
      <c r="C890">
        <f>HYPERLINK("https://github.com/jcabi/jcabi-github/blob/master/src/main/java/com/jcabi/github/MergeState.java")</f>
        <v/>
      </c>
      <c r="D890" t="inlineStr">
        <is>
          <t>The provided code is an enumeration named MergeState that represents the state of a pull request on GitHub. It has three possible values: SUCCESS if the pull request was successfully merged, NOT_MERGEABLE if it wasn't mergeable and BAD_HEAD if the current head doesn't match the specified SHA. The complexity of this code is O(N</t>
        </is>
      </c>
      <c r="E890" t="n">
        <v>0.0034</v>
      </c>
      <c r="F890" t="n">
        <v>0.0299</v>
      </c>
      <c r="G890" t="n">
        <v>0.0794</v>
      </c>
      <c r="H890" t="inlineStr">
        <is>
          <t>The provided code is a Java implementation of the GitHub API for managing pull requests and their states (e.g., merging). The function `add` appears to be part of this system but it doesn't seem to add numbers as per your requirement in the question. It seems like there are more functions defined here that might do so.
In terms of functionality, this code</t>
        </is>
      </c>
      <c r="I890" t="n">
        <v>0.0029</v>
      </c>
      <c r="J890" t="n">
        <v>0.0548</v>
      </c>
      <c r="K890" t="n">
        <v>0.1481</v>
      </c>
      <c r="L890" t="inlineStr">
        <is>
          <t>The code provided is a Java enum named MergeState that represents the state of merging pull requests on GitHub. It has three possible states defined as SUCCESS (if the Pull Request was successfully merged), NOT_MERGEABLE (if the Pull Request wasn't mergeable), and BAD_HEAD (if the current Pull request head doesn't match the</t>
        </is>
      </c>
      <c r="M890" t="n">
        <v>0.0035</v>
      </c>
      <c r="N890" t="n">
        <v>0.0312</v>
      </c>
      <c r="O890" t="n">
        <v>0.0403</v>
      </c>
    </row>
    <row r="891">
      <c r="A891" t="inlineStr">
        <is>
          <t>jcabi</t>
        </is>
      </c>
      <c r="B891" t="inlineStr">
        <is>
          <t>src/main/java/com/jcabi/github/RtCommits.java</t>
        </is>
      </c>
      <c r="C891">
        <f>HYPERLINK("https://github.com/jcabi/jcabi-github/blob/master/src/main/java/com/jcabi/github/RtCommits.java")</f>
        <v/>
      </c>
      <c r="D891" t="inlineStr">
        <is>
          <t>```python
# The code is a Java class that interacts with the GitHub REST API to retrieve commits from a repository. 
# It uses Jcabi libraries for HTTP requests and responses in JSON format. 
# The class has an immutable property (due to @Immutable annotation), logs debug information (due to @Loggable annotation).</t>
        </is>
      </c>
      <c r="E891" t="n">
        <v>0.0035</v>
      </c>
      <c r="F891" t="n">
        <v>0.0351</v>
      </c>
      <c r="G891" t="n">
        <v>0.0806</v>
      </c>
      <c r="H891" t="inlineStr">
        <is>
          <t>Please provide a concise, clear and direct summary of the functionality of this provided code. Don't repeat the code.
```python
# SPDX-FileCopyrightText: Copyright (c) 2013-2026 Yegor Bugayenko
# SPDX-License-Identifier: MIT
"""Package for GitHub comm</t>
        </is>
      </c>
      <c r="I891" t="n">
        <v>0.0065</v>
      </c>
      <c r="J891" t="n">
        <v>0.0444</v>
      </c>
      <c r="K891" t="n">
        <v>0.1415</v>
      </c>
      <c r="L891" t="inlineStr">
        <is>
          <t>Please provide a concise, clear and direct summary of the functionality of the provided code. Don't repeat the code.
 The given Java code is for interacting with GitHub REST API to fetch commits information from repositories. It uses JCabi library which provides an easy way to interact with HTTP services in Java. 
 This class `RtCommits`</t>
        </is>
      </c>
      <c r="M891" t="n">
        <v>0.0044</v>
      </c>
      <c r="N891" t="n">
        <v>0.0312</v>
      </c>
      <c r="O891" t="n">
        <v>0.1181</v>
      </c>
    </row>
    <row r="892">
      <c r="A892" t="inlineStr">
        <is>
          <t>jcabi</t>
        </is>
      </c>
      <c r="B892" t="inlineStr">
        <is>
          <t>src/main/java/com/jcabi/github/RtDeployKeys.java</t>
        </is>
      </c>
      <c r="C892">
        <f>HYPERLINK("https://github.com/jcabi/jcabi-github/blob/master/src/main/java/com/jcabi/github/RtDeployKeys.java")</f>
        <v/>
      </c>
      <c r="D892" t="inlineStr">
        <is>
          <t>ThegivenJava code is a part of the JCabi library for interacting with GitHub's REST API via Java. It defines an immutable class `RtDeployKey` that represents deploy keys in a repository on GitHub and uses Lombok to generate equals() and hashCode(). The class implements the interface `DeployKeys` which seems to be another abstraction or</t>
        </is>
      </c>
      <c r="E892" t="n">
        <v>0.0041</v>
      </c>
      <c r="F892" t="n">
        <v>0.0323</v>
      </c>
      <c r="G892" t="n">
        <v>0.12</v>
      </c>
      <c r="H892" t="inlineStr">
        <is>
          <t>```python
# SPDX-FileCopyrightText: Copyright (c) 2013-2026 Yegor Bugayenko
# SPDX-License-Identifier: MIT
"""
from jcabi_github import Github
def add(a, b):
    """
    Add two numbers.</t>
        </is>
      </c>
      <c r="I892" t="n">
        <v>0</v>
      </c>
      <c r="J892" t="n">
        <v>0</v>
      </c>
      <c r="K892" t="n">
        <v>0</v>
      </c>
      <c r="L892" t="inlineStr">
        <is>
          <t>Theresponsefromtheserver.**/publicRtDeployKeys(final Request reqEntry, final Repo owner){super();this.requestEntry = reqEntry;this.repoOwner = owner;}/***Create.**@returnNewdeployKeycreatedinGitHUB*/publicDeployKeycreate()throws IOException{finalStringurl = String.format("/repos</t>
        </is>
      </c>
      <c r="M892" t="n">
        <v>0</v>
      </c>
      <c r="N892" t="n">
        <v>0.0625</v>
      </c>
      <c r="O892" t="n">
        <v>0</v>
      </c>
    </row>
    <row r="893">
      <c r="A893" t="inlineStr">
        <is>
          <t>jcabi</t>
        </is>
      </c>
      <c r="B893" t="inlineStr">
        <is>
          <t>src/main/java/com/jcabi/github/RtMarkdown.java</t>
        </is>
      </c>
      <c r="C893">
        <f>HYPERLINK("https://github.com/jcabi/jcabi-github/blob/master/src/main/java/com/jcabi/github/RtMarkdown.java")</f>
        <v/>
      </c>
      <c r="D893" t="inlineStr">
        <is>
          <t>ThegivenJava8codeisforprocessingGitHubAPIresponsesusingJSR356HTTPclientandJSONParsinglibraryviaLombokframework.Itusesdecoratorpatternswithlogginhabitcreatingreadonlyobjects.ThecodehasnoexceptionhandlingbutdoescontainassertionswhichwillthrowRuntimeExceptionifviolated.
# The code is</t>
        </is>
      </c>
      <c r="E893" t="n">
        <v>0</v>
      </c>
      <c r="F893" t="n">
        <v>0</v>
      </c>
      <c r="G893" t="n">
        <v>0</v>
      </c>
      <c r="H893" t="inlineStr">
        <is>
          <t>Error in the code. The variable 'ghub' and 'request' are not initialized. They should be defined as parameters of the constructor to ensure they can be used later on.
    def __init__(self, ghub, request):
        self.ghub = ghub
        self.request = request
    @staticmethod
    def add</t>
        </is>
      </c>
      <c r="I893" t="n">
        <v>0.0044</v>
      </c>
      <c r="J893" t="n">
        <v>0.0392</v>
      </c>
      <c r="K893" t="n">
        <v>0.0877</v>
      </c>
      <c r="L893" t="inlineStr">
        <is>
          <t>TheresultingobjectwillbeprocessedbythegivenHTTPclient.*/publicRtMarkdown(GitHub github){this.ghub=github;this.request=new Request(github.entry().uri()).accept(MediaType.APPLICATION_JSON).type(MediaType.TEXT_PLAIN);}/***Send'emarkdowndocument</t>
        </is>
      </c>
      <c r="M893" t="n">
        <v>0</v>
      </c>
      <c r="N893" t="n">
        <v>0.0625</v>
      </c>
      <c r="O893" t="n">
        <v>0</v>
      </c>
    </row>
    <row r="894">
      <c r="A894" t="inlineStr">
        <is>
          <t>jcabi</t>
        </is>
      </c>
      <c r="B894" t="inlineStr">
        <is>
          <t>src/main/java/com/jcabi/github/RtStargazers.java</t>
        </is>
      </c>
      <c r="C894">
        <f>HYPERLINK("https://github.com/jcabi/jcabi-github/blob/master/src/main/java/com/jcabi/github/RtStargazers.java")</f>
        <v/>
      </c>
      <c r="D894" t="inlineStr">
        <is>
          <t>The code provided is a Java class that implements the Stargazers interface from jcabi-github library for GitHub API v3. This class represents stargazers of a repository on GitHub via RESTful HTTP requests using com.jcabi.http package. The functionality it provides allows to iterate over all users who have starred (liked or bookmarked</t>
        </is>
      </c>
      <c r="E894" t="n">
        <v>0.0047</v>
      </c>
      <c r="F894" t="n">
        <v>0.0645</v>
      </c>
      <c r="G894" t="n">
        <v>0.122</v>
      </c>
      <c r="H894" t="inlineStr">
        <is>
          <t>ThegivencodeisnotvalidJavaCodeasitdoesn'tcontainanylogictopexecuteandsolvespecificproblemstatement.Itseemslikeadocstringinstead.
# Task 4 - Code Summary and Review
## Problem Statement
Please provide a concise, clear, and direct summary of the functionality of the provided code. Do not repeat</t>
        </is>
      </c>
      <c r="I894" t="n">
        <v>0.0074</v>
      </c>
      <c r="J894" t="n">
        <v>0.0541</v>
      </c>
      <c r="K894" t="n">
        <v>0.098</v>
      </c>
      <c r="L894" t="inlineStr">
        <is>
          <t>The provided code is a Java class named `RtStargazers` that implements the interface `Stargazers` from package `com.jcabi.github`. This class represents RESTful request to GitHub API for retrieving stargazers of an entry (which could be repository or gist). The purpose of this class seems to be to interact with Git</t>
        </is>
      </c>
      <c r="M894" t="n">
        <v>0.0045</v>
      </c>
      <c r="N894" t="n">
        <v>0.0339</v>
      </c>
      <c r="O894" t="n">
        <v>0.08260000000000001</v>
      </c>
    </row>
    <row r="895">
      <c r="A895" t="inlineStr">
        <is>
          <t>jcabi</t>
        </is>
      </c>
      <c r="B895" t="inlineStr">
        <is>
          <t>src/main/java/com/jcabi/github/Content.java</t>
        </is>
      </c>
      <c r="C895">
        <f>HYPERLINK("https://github.com/jcabi/jcabi-github/blob/master/src/main/java/com/jcabi/github/Content.java")</f>
        <v/>
      </c>
      <c r="D895" t="inlineStr">
        <is>
          <t>The `Content` interface in the GitHub API represents content from a repository on GitHub. It extends `Comparable&lt;Content&gt;`, `JsonReadable` and `JsonPatchable` interfaces to provide functionality for reading JSON data, applying patches, and comparison of contents. The interface has several methods including `repo()` which returns the repo, `path()` that provides path</t>
        </is>
      </c>
      <c r="E895" t="n">
        <v>0.0045</v>
      </c>
      <c r="F895" t="n">
        <v>0.06900000000000001</v>
      </c>
      <c r="G895" t="n">
        <v>0.08260000000000001</v>
      </c>
      <c r="H895" t="inlineStr">
        <is>
          <t>```plaintext
// SPDX-FileCopyrightText: Copyright (c) 2013-2026 Yegor Bugayenko
// SPDX-License-Identifier: MIT
package com.jcabi.github;
import java.util.*;
import javax.validation.*;
import lombok.RequiredArgs</t>
        </is>
      </c>
      <c r="I895" t="n">
        <v>0</v>
      </c>
      <c r="J895" t="n">
        <v>0</v>
      </c>
      <c r="K895" t="n">
        <v>0</v>
      </c>
      <c r="L895" t="inlineStr">
        <is>
          <t>```python
# The code is a Java interface named Content that extends Comparable and implements JsonReadable and JsonPatchable interfaces from jcabi libraries for interacting with GitHub API v3 Contents endpoint. 
# It defines two methods to get the repository (repo()) and path of the content (path()). 
# There are also three methods</t>
        </is>
      </c>
      <c r="M895" t="n">
        <v>0.0042</v>
      </c>
      <c r="N895" t="n">
        <v>0.0702</v>
      </c>
      <c r="O895" t="n">
        <v>0.0806</v>
      </c>
    </row>
    <row r="896">
      <c r="A896" t="inlineStr">
        <is>
          <t>jcabi</t>
        </is>
      </c>
      <c r="B896" t="inlineStr">
        <is>
          <t>src/main/java/com/jcabi/github/Commits.java</t>
        </is>
      </c>
      <c r="C896">
        <f>HYPERLINK("https://github.com/jcabi/jcabi-github/blob/master/src/main/java/com/jcabi/github/Commits.java")</f>
        <v/>
      </c>
      <c r="D896" t="inlineStr">
        <is>
          <t>The code provided is a Java interface named `Commits` that interacts with the GitHub API to manage commits related operations such as creating and getting commit objects using their SHAs. The interface has methods for setting up the repository (owner), creating new commits based on input parameters, retrieving existing commits by their SHAs, and fetching status information associated with given references. It</t>
        </is>
      </c>
      <c r="E896" t="n">
        <v>0.0029</v>
      </c>
      <c r="F896" t="n">
        <v>0.0286</v>
      </c>
      <c r="G896" t="n">
        <v>0.0746</v>
      </c>
      <c r="H896" t="inlineStr">
        <is>
          <t>The provided code is a Java interface for interacting with GitHub's Commits API (`com.jcabi.github.Commits`). It provides methods to create and retrieve commits from the repository associated with this object instance. The complexity of these operations are O(1), meaning they take constant time regardless of input size.
Here is an overview of what each method</t>
        </is>
      </c>
      <c r="I896" t="n">
        <v>0.0034</v>
      </c>
      <c r="J896" t="n">
        <v>0.0299</v>
      </c>
      <c r="K896" t="n">
        <v>0.0794</v>
      </c>
      <c r="L896" t="inlineStr">
        <is>
          <t>The code provided is a Java interface named `Commits` that interacts with the GitHub API to manage commits on repositories. It provides methods for creating and retrieving commit objects from a repository. The main purpose of this class seems to be managing the creation and retrieval of git commits in relation to their SHAs (unique identifiers generated by Git).
It takes</t>
        </is>
      </c>
      <c r="M896" t="n">
        <v>0.003</v>
      </c>
      <c r="N896" t="n">
        <v>0.058</v>
      </c>
      <c r="O896" t="n">
        <v>0.0752</v>
      </c>
    </row>
    <row r="897">
      <c r="A897" t="inlineStr">
        <is>
          <t>jcabi</t>
        </is>
      </c>
      <c r="B897" t="inlineStr">
        <is>
          <t>src/main/java/com/jcabi/github/Language.java</t>
        </is>
      </c>
      <c r="C897">
        <f>HYPERLINK("https://github.com/jcabi/jcabi-github/blob/master/src/main/java/com/jcabi/github/Language.java")</f>
        <v/>
      </c>
      <c r="D897" t="inlineStr">
        <is>
          <t>The code you provided is for a Java interface named Language in the package com.jcabi.github. This interface represents languages used in GitHub repositories and provides methods to get their names (`name()` method returns String type name of language) and number of bytes written in that language (`bytes()` method returns long type value representing size). The functionality it offers aligns with</t>
        </is>
      </c>
      <c r="E897" t="n">
        <v>0.004</v>
      </c>
      <c r="F897" t="n">
        <v>0.0571</v>
      </c>
      <c r="G897" t="n">
        <v>0.1136</v>
      </c>
      <c r="H897" t="inlineStr">
        <is>
          <t>The provided code is a Java interface named Language that represents the languages used in GitHub repositories and their corresponding byte counts. The function of this code is to return the name and number of bytes written in each language. It's complexity is O(n), where n refers to the amount of different programming languages present within the repository.
It does not seem like there are any functions</t>
        </is>
      </c>
      <c r="I897" t="n">
        <v>0.0027</v>
      </c>
      <c r="J897" t="n">
        <v>0.0519</v>
      </c>
      <c r="K897" t="n">
        <v>0.1079</v>
      </c>
      <c r="L897" t="inlineStr">
        <is>
          <t>The given code is a Java interface named "Language". This interface represents the languages used in GitHub repositories and their corresponding byte counts. The purpose of this interface seems to be to provide information about programming language usage within a repository on GitHub. It includes two methods - name() which returns the name of the programming language as a String and bytes(), which returns the number of bytes written in that</t>
        </is>
      </c>
      <c r="M897" t="n">
        <v>0.003</v>
      </c>
      <c r="N897" t="n">
        <v>0.0513</v>
      </c>
      <c r="O897" t="n">
        <v>0.1049</v>
      </c>
    </row>
    <row r="898">
      <c r="A898" t="inlineStr">
        <is>
          <t>jcabi</t>
        </is>
      </c>
      <c r="B898" t="inlineStr">
        <is>
          <t>src/main/java/com/jcabi/github/RtPulls.java</t>
        </is>
      </c>
      <c r="C898">
        <f>HYPERLINK("https://github.com/jcabi/jcabi-github/blob/master/src/main/java/com/jcabi/github/RtPulls.java")</f>
        <v/>
      </c>
      <c r="D898" t="inlineStr">
        <is>
          <t>ThegivenJavaSRCfileisnotavailableinthiscontext.Pleaseprovidetheactualsourcecodetoanalyzeit.
I'm sorry but I can not provide a summary of the code as it is not available in this context. Please provide me with the actual source code to analyze and summarize its functionality.</t>
        </is>
      </c>
      <c r="E898" t="n">
        <v>0.0053</v>
      </c>
      <c r="F898" t="n">
        <v>0.08890000000000001</v>
      </c>
      <c r="G898" t="n">
        <v>0.0935</v>
      </c>
      <c r="H898" t="inlineStr">
        <is>
          <t>```python
# This is a Python function that adds two numbers together. 
# It has O(1) complexity as it performs a single operation (adding the numbers).
def add(a, b):
    return a + b
```
```
AReadme:A README file for this code provides an overview of its functionality and usage.</t>
        </is>
      </c>
      <c r="I898" t="n">
        <v>0.008800000000000001</v>
      </c>
      <c r="J898" t="n">
        <v>0.1091</v>
      </c>
      <c r="K898" t="n">
        <v>0.2112</v>
      </c>
      <c r="L898" t="inlineStr">
        <is>
          <t>***/publicRtPullsimportsâĢ¦âĢĭ
```
The code is a Java class that interacts with the GitHub API to manage pull requests. The main purpose of this class seems to be interacting with the 'pulls' endpoint on the GitHub REST API and performing operations such as creating new pull requests or fetching information about existing ones. 
Input</t>
        </is>
      </c>
      <c r="M898" t="n">
        <v>0.0035</v>
      </c>
      <c r="N898" t="n">
        <v>0.0667</v>
      </c>
      <c r="O898" t="n">
        <v>0.08</v>
      </c>
    </row>
    <row r="899">
      <c r="A899" t="inlineStr">
        <is>
          <t>jcabi</t>
        </is>
      </c>
      <c r="B899" t="inlineStr">
        <is>
          <t>src/main/java/com/jcabi/github/SmartJson.java</t>
        </is>
      </c>
      <c r="C899">
        <f>HYPERLINK("https://github.com/jcabi/jcabi-github/blob/master/src/main/java/com/jcabi/github/SmartJson.java")</f>
        <v/>
      </c>
      <c r="D899" t="inlineStr">
        <is>
          <t>The provided code is a Java class named `SmartJson` that encapsulates a JSON object and provides methods to get the value of its properties as strings. This class has several annotations like @Immutable (which means once created, it cannot be modified), @ToString (for generating a meaningful string representation), @Loggable for logging purposes, and @EqualsAndHashCode which comp</t>
        </is>
      </c>
      <c r="E899" t="n">
        <v>0.0039</v>
      </c>
      <c r="F899" t="n">
        <v>0.0625</v>
      </c>
      <c r="G899" t="n">
        <v>0.0781</v>
      </c>
      <c r="H899" t="inlineStr">
        <is>
          <t>The provided code is a Java class named "SmartJson". This class encapsulates a JSON object and provides methods for getting properties of the JSON object as strings. The complexity of this operation is O(n), where n represents the number of properties in the JSON object. It also contains logging capabilities to help debugging if needed.
The function `getPropertyAsString` takes</t>
        </is>
      </c>
      <c r="I899" t="n">
        <v>0.0037</v>
      </c>
      <c r="J899" t="n">
        <v>0.0588</v>
      </c>
      <c r="K899" t="n">
        <v>0.1145</v>
      </c>
      <c r="L899" t="inlineStr">
        <is>
          <t>The provided code is a Java class named "SmartJson". This class encapsulates and provides read access to an internal JSON object of type JsonReadable. The class has several features such as immutability (once initialized, the state cannot be changed), logging capabilities (debug logs are generated when certain methods are called), and comparison based on their content rather than reference.</t>
        </is>
      </c>
      <c r="M899" t="n">
        <v>0.0037</v>
      </c>
      <c r="N899" t="n">
        <v>0.0597</v>
      </c>
      <c r="O899" t="n">
        <v>0.07630000000000001</v>
      </c>
    </row>
    <row r="900">
      <c r="A900" t="inlineStr">
        <is>
          <t>jcabi</t>
        </is>
      </c>
      <c r="B900" t="inlineStr">
        <is>
          <t>src/main/java/com/jcabi/github/Git.java</t>
        </is>
      </c>
      <c r="C900">
        <f>HYPERLINK("https://github.com/jcabi/jcabi-github/blob/master/src/main/java/com/jcabi/github/Git.java")</f>
        <v/>
      </c>
      <c r="D900" t="inlineStr">
        <is>
          <t>The provided code defines an interface `Git` for interacting with Git resources on a remote repository hosted by GitHub via their API. The interface has four methods corresponding to different aspects of the Git version control system - blob (file), commit (versioned change set), reference (pointer to specific state in history), and tag (named pointer or snapshot). Each method returns data related to its respective</t>
        </is>
      </c>
      <c r="E900" t="n">
        <v>0.0028</v>
      </c>
      <c r="F900" t="n">
        <v>0.0278</v>
      </c>
      <c r="G900" t="n">
        <v>0.0365</v>
      </c>
      <c r="H900" t="inlineStr">
        <is>
          <t>The provided code is a Java interface for interacting with Git repositories on GitHub using the GitHub API v3. The methods represent different actions that can be performed on the repository's Git objects such as blobs (binary files), commits (changesets of file snapshots), references (pointers to commit hashes or other references), and tags (names pointing to specific points in</t>
        </is>
      </c>
      <c r="I900" t="n">
        <v>0.0031</v>
      </c>
      <c r="J900" t="n">
        <v>0.0294</v>
      </c>
      <c r="K900" t="n">
        <v>0.07630000000000001</v>
      </c>
      <c r="L900" t="inlineStr">
        <is>
          <t>The provided code is a Java interface named `Git` that defines several methods for interacting with Git objects on GitHub such as blobs (binary large files), commits (changesets of differences to files in the repository), references (pointers to commit SHAs or other references like branches and tags), and tags (object names pointing to specific points in history). This functionality allows developers to</t>
        </is>
      </c>
      <c r="M900" t="n">
        <v>0.0039</v>
      </c>
      <c r="N900" t="n">
        <v>0.0571</v>
      </c>
      <c r="O900" t="n">
        <v>0.1119</v>
      </c>
    </row>
    <row r="901">
      <c r="A901" t="inlineStr">
        <is>
          <t>jcabi</t>
        </is>
      </c>
      <c r="B901" t="inlineStr">
        <is>
          <t>src/main/java/com/jcabi/github/RtStars.java</t>
        </is>
      </c>
      <c r="C901">
        <f>HYPERLINK("https://github.com/jcabi/jcabi-github/blob/master/src/main/java/com/jcabi/github/RtStars.java")</f>
        <v/>
      </c>
      <c r="D901" t="inlineStr">
        <is>
          <t>```python
# SPDX-FileCopyrightText: Copyright (c) 2013-2026 Yegor Bugayenko
# SPDX-License-Identifier: MIT
"""GitHub starring API."""
from jcabi.github import Github
from jcabi.github import Repository
from jcabi</t>
        </is>
      </c>
      <c r="E901" t="n">
        <v>0</v>
      </c>
      <c r="F901" t="n">
        <v>0</v>
      </c>
      <c r="G901" t="n">
        <v>0</v>
      </c>
      <c r="H901" t="inlineStr">
        <is>
          <t>ThegivencodeisnotvalidJava.Itappearstohaveissueswithindentationandcommentswhichmaycauseproblemsduringcompilation.Pleaseensurethatyourcodeisfixedbeforeattemptingtocompileit.
# Solution
The given code is not valid Java because it has issues with indentation and comments which may cause problems during compiling. Please ensure that your</t>
        </is>
      </c>
      <c r="I901" t="n">
        <v>0.0067</v>
      </c>
      <c r="J901" t="n">
        <v>0.0541</v>
      </c>
      <c r="K901" t="n">
        <v>0.05</v>
      </c>
      <c r="L901" t="inlineStr">
        <is>
          <t>The code provided is a Java class named RtStars that implements the Stars interface from package com.jcabi.github. This class represents an abstraction of GitHub's Starring API (link to documentation). The purpose of this class seems to be to interact with the API in order to add or remove stars from repositories on GitHub. 
It takes two</t>
        </is>
      </c>
      <c r="M901" t="n">
        <v>0.0039</v>
      </c>
      <c r="N901" t="n">
        <v>0.0299</v>
      </c>
      <c r="O901" t="n">
        <v>0.0781</v>
      </c>
    </row>
    <row r="902">
      <c r="A902" t="inlineStr">
        <is>
          <t>jcabi</t>
        </is>
      </c>
      <c r="B902" t="inlineStr">
        <is>
          <t>src/main/java/com/jcabi/github/Contents.java</t>
        </is>
      </c>
      <c r="C902">
        <f>HYPERLINK("https://github.com/jcabi/jcabi-github/blob/master/src/main/java/com/jcabi/github/Contents.java")</f>
        <v/>
      </c>
      <c r="D902" t="inlineStr">
        <is>
          <t>The provided code is an interface named "Contents". This interface provides two methods for interacting with the GitHub Contents API. The first method returns the repository associated with this content object (repo()). 
The second method retrieves and returns the content of the README file from a specified branch or the default branch if no specific branch is given (readme()). If there's any</t>
        </is>
      </c>
      <c r="E902" t="n">
        <v>0.0035</v>
      </c>
      <c r="F902" t="n">
        <v>0.0563</v>
      </c>
      <c r="G902" t="n">
        <v>0.0746</v>
      </c>
      <c r="H902" t="inlineStr">
        <is>
          <t>The provided code is a Java interface named `Contents` that interacts with the GitHub Contents API to fetch and manipulate content from repositories on GitHub. The functionality includes fetching repository details (repo), reading README files of different branches (branch readme), as well as getting specific contents of files in these branches.
It has three methods: 
1</t>
        </is>
      </c>
      <c r="I902" t="n">
        <v>0.0039</v>
      </c>
      <c r="J902" t="n">
        <v>0.0312</v>
      </c>
      <c r="K902" t="n">
        <v>0.0781</v>
      </c>
      <c r="L902" t="inlineStr">
        <is>
          <t>```plaintext
The provided code file is a Java interface named "Contents". This interface appears to be part of the jcabi-github library and it provides methods for interacting with GitHub's Contents API. 
Here are some key functionalities identified from this code:
1. The purpose of this class seems to be managing content related operations on a</t>
        </is>
      </c>
      <c r="M902" t="n">
        <v>0.004</v>
      </c>
      <c r="N902" t="n">
        <v>0.0615</v>
      </c>
      <c r="O902" t="n">
        <v>0.1181</v>
      </c>
    </row>
    <row r="903">
      <c r="A903" t="inlineStr">
        <is>
          <t>jcabi</t>
        </is>
      </c>
      <c r="B903" t="inlineStr">
        <is>
          <t>src/main/java/com/jcabi/github/IssueEvents.java</t>
        </is>
      </c>
      <c r="C903">
        <f>HYPERLINK("https://github.com/jcabi/jcabi-github/blob/master/src/main/java/com/jcabi/github/IssueEvents.java")</f>
        <v/>
      </c>
      <c r="D903" t="inlineStr">
        <is>
          <t>The code provided is a Java interface for interacting with GitHub's Issues Event API using the jCabi library by Yegor Bugayenko. This interface provides methods to retrieve specific issue events and iterate over all issue events of a repository. It also specifies that it was implemented since version 0.23 of the software. The functionality includes getting an event based on</t>
        </is>
      </c>
      <c r="E903" t="n">
        <v>0.004</v>
      </c>
      <c r="F903" t="n">
        <v>0.0857</v>
      </c>
      <c r="G903" t="n">
        <v>0.1515</v>
      </c>
      <c r="H903" t="inlineStr">
        <is>
          <t>The provided code is a Java interface for interacting with GitHub's Issue Events API. It provides methods to get specific issue events by number and iterate over all the issue events of a repository. The complexity of these operations are O(1) for getting an event by its number (assuming that fetching data from network or cache has constant time complexity), and O(N) for</t>
        </is>
      </c>
      <c r="I903" t="n">
        <v>0.0029</v>
      </c>
      <c r="J903" t="n">
        <v>0.027</v>
      </c>
      <c r="K903" t="n">
        <v>0.037</v>
      </c>
      <c r="L903" t="inlineStr">
        <is>
          <t>ThegivenJavaSourceCoderepresentsainterfacecalled'IssueEvents'.Ithasthreemethods:'repo()','get(int number)'and'iterate()',eachrepresentingdifferentactionsrelatedtoissueeventsinagithubrepository. Themethod'repo()'returnsdetailsaboutthespecificrepositoryassociatedwiththeseventsthe 'get(int number)' methodtakesaninteger</t>
        </is>
      </c>
      <c r="M903" t="n">
        <v>0</v>
      </c>
      <c r="N903" t="n">
        <v>0.08</v>
      </c>
      <c r="O903" t="n">
        <v>0</v>
      </c>
    </row>
    <row r="904">
      <c r="A904" t="inlineStr">
        <is>
          <t>jcabi</t>
        </is>
      </c>
      <c r="B904" t="inlineStr">
        <is>
          <t>src/main/java/com/jcabi/github/Pull.java</t>
        </is>
      </c>
      <c r="C904">
        <f>HYPERLINK("https://github.com/jcabi/jcabi-github/blob/master/src/main/java/com/jcabi/github/Pull.java")</f>
        <v/>
      </c>
      <c r="D904" t="inlineStr">
        <is>
          <t>The code provided is a Java interface named `Pull` that extends several interfaces and classes including `Comparable`, `JsonReadable`, and `JsonPatchable`. The purpose of this class seems to be handling GitHub pull requests using the GitHub API v3.
Here are some key methods defined in the interface:
- `repo()`</t>
        </is>
      </c>
      <c r="E904" t="n">
        <v>0.0038</v>
      </c>
      <c r="F904" t="n">
        <v>0.0364</v>
      </c>
      <c r="G904" t="n">
        <v>0.125</v>
      </c>
      <c r="H904" t="inlineStr">
        <is>
          <t>The provided code is a Java implementation of the GitHub Pull Request API interface named "Pull". It includes methods to get information about the repository (repo), pull request number and base reference (base ref). The complexity of these operations are O(1) for repo retrieval and O(N) for base ref retrieval assuming N is the size of the list or collection representing the base</t>
        </is>
      </c>
      <c r="I904" t="n">
        <v>0.0029</v>
      </c>
      <c r="J904" t="n">
        <v>0.0548</v>
      </c>
      <c r="K904" t="n">
        <v>0.0741</v>
      </c>
      <c r="L904" t="inlineStr">
        <is>
          <t>The provided code is a Java interface named `Pull` that extends the `Comparable&lt;Pull&gt;`, `JsonReadable` and `JsonPatchable` interfaces from JCabi library for working with GitHub pull requests.
It defines several methods to get information about the pull request such as its repository (repo()), number of the pull request (number()) and</t>
        </is>
      </c>
      <c r="M904" t="n">
        <v>0.0037</v>
      </c>
      <c r="N904" t="n">
        <v>0.0345</v>
      </c>
      <c r="O904" t="n">
        <v>0.08260000000000001</v>
      </c>
    </row>
    <row r="905">
      <c r="A905" t="inlineStr">
        <is>
          <t>jcabi</t>
        </is>
      </c>
      <c r="B905" t="inlineStr">
        <is>
          <t>src/main/java/com/jcabi/github/RtUsers.java</t>
        </is>
      </c>
      <c r="C905">
        <f>HYPERLINK("https://github.com/jcabi/jcabi-github/blob/master/src/main/java/com/jcabi/github/RtUsers.java")</f>
        <v/>
      </c>
      <c r="D905" t="inlineStr">
        <is>
          <t>The code you provided appears to be a Java class that represents users in the GitHub API using JCabi library for HTTP requests and Lombok for boilerplate code generation. The class is immutable (once constructed, it cannot change), has logging enabled at DEBUG level, and overrides one method from an interface named Users. It also uses equals() and hashCode() methods with</t>
        </is>
      </c>
      <c r="E905" t="n">
        <v>0.003</v>
      </c>
      <c r="F905" t="n">
        <v>0.029</v>
      </c>
      <c r="G905" t="n">
        <v>0.0752</v>
      </c>
      <c r="H905" t="inlineStr">
        <is>
          <t>The provided code is a Java class that implements the Users interface from JCabi's GitHub library. The class represents RESTful users endpoint on GitHub API and provides methods to interact with it. 
In this case, we are looking at an immutable object called RtUsers which wraps around the request for "/users" endpoint of the GitHub API. It</t>
        </is>
      </c>
      <c r="I905" t="n">
        <v>0.0038</v>
      </c>
      <c r="J905" t="n">
        <v>0.0606</v>
      </c>
      <c r="K905" t="n">
        <v>0.1163</v>
      </c>
      <c r="L905" t="inlineStr">
        <is>
          <t>The provided code is a Java class named `RtUsers` that implements the interface `Users` from JCabi library for interacting with GitHub API. This class has two fields - an instance of Request and an instance of GitHub. The constructor takes these as parameters and sets up the request to get users' information from the GitHub API using RESTful conventions.</t>
        </is>
      </c>
      <c r="M905" t="n">
        <v>0.0041</v>
      </c>
      <c r="N905" t="n">
        <v>0.0606</v>
      </c>
      <c r="O905" t="n">
        <v>0.1527</v>
      </c>
    </row>
    <row r="906">
      <c r="A906" t="inlineStr">
        <is>
          <t>jcabi</t>
        </is>
      </c>
      <c r="B906" t="inlineStr">
        <is>
          <t>src/main/java/com/jcabi/github/RepoCommits.java</t>
        </is>
      </c>
      <c r="C906">
        <f>HYPERLINK("https://github.com/jcabi/jcabi-github/blob/master/src/main/java/com/jcabi/github/RepoCommits.java")</f>
        <v/>
      </c>
      <c r="D906" t="inlineStr">
        <is>
          <t>The code provided is an interface named `RepoCommit` that extends the JsonReadable class from JCabi library and provides methods to interact with GitHub repository commits through their API endpoints. The functionality includes iterating over all or a single commit of a given repository based on parameters passed in as map. It also has methods for getting details about individual commits by providing their SH</t>
        </is>
      </c>
      <c r="E906" t="n">
        <v>0.0034</v>
      </c>
      <c r="F906" t="n">
        <v>0.0278</v>
      </c>
      <c r="G906" t="n">
        <v>0.0735</v>
      </c>
      <c r="H906" t="inlineStr">
        <is>
          <t>The provided code is a Java interface for interacting with GitHub API to retrieve repository commits. The complexity of the function `iterate` appears to be O(n), where n represents the number of commits in the repository as it iterates over all available commits from the GitHub API response.
The method `getSingleCommit` has an unknown time complexity because its</t>
        </is>
      </c>
      <c r="I906" t="n">
        <v>0</v>
      </c>
      <c r="J906" t="n">
        <v>0.0299</v>
      </c>
      <c r="K906" t="n">
        <v>0.0385</v>
      </c>
      <c r="L906" t="inlineStr">
        <is>
          <t>The provided code is a Java interface named `RepoCommit` that interacts with the GitHub API to retrieve and iterate over repository commits. The main purpose of this class appears to be interacting with the GitHub API to fetch commit data from repositories on GitHub.
Inputs are parameters for filtering or sorting the returned commits (like date range, author</t>
        </is>
      </c>
      <c r="M906" t="n">
        <v>0.0031</v>
      </c>
      <c r="N906" t="n">
        <v>0.0303</v>
      </c>
      <c r="O906" t="n">
        <v>0.0769</v>
      </c>
    </row>
    <row r="907">
      <c r="A907" t="inlineStr">
        <is>
          <t>jcabi</t>
        </is>
      </c>
      <c r="B907" t="inlineStr">
        <is>
          <t>src/main/java/com/jcabi/github/Gitignores.java</t>
        </is>
      </c>
      <c r="C907">
        <f>HYPERLINK("https://github.com/jcabi/jcabi-github/blob/master/src/main/java/com/jcabi/github/Gitignores.java")</f>
        <v/>
      </c>
      <c r="D907" t="inlineStr">
        <is>
          <t>The provided code defines an interface `Gitignores` that represents a storage of .gitignore templates on GitHub. The functionality includes listing all available template names and retrieving raw content (i.e., the actual text of the gitignore file). It is designed to be used with JCabi's Github package for Java which provides access to GitHub API v3 functionalities</t>
        </is>
      </c>
      <c r="E907" t="n">
        <v>0.0039</v>
      </c>
      <c r="F907" t="n">
        <v>0.0606</v>
      </c>
      <c r="G907" t="n">
        <v>0.0781</v>
      </c>
      <c r="H907" t="inlineStr">
        <is>
          <t>The provided code is a Java interface for interacting with GitHub's gitignore templates API. The function `iterate` retrieves all available .gitignore template names from the GitHub repository and returns them as an Iterable of Strings. This operation does not take any parameters and throws IOException if there are issues related to I/O operations during execution. It has complexity O(N),</t>
        </is>
      </c>
      <c r="I907" t="n">
        <v>0.0037</v>
      </c>
      <c r="J907" t="n">
        <v>0.0571</v>
      </c>
      <c r="K907" t="n">
        <v>0.1145</v>
      </c>
      <c r="L907" t="inlineStr">
        <is>
          <t>The given source code file is a Java interface named `Gitignores` that defines the functionality of Git ignore templates on GitHub. It provides methods to get all available git ignore template names and retrieve raw content for specific ones. The main purpose of this class is to interact with GitHub's API related to .gitignore files. This interaction includes listing available templates and retrieval of their</t>
        </is>
      </c>
      <c r="M907" t="n">
        <v>0.0037</v>
      </c>
      <c r="N907" t="n">
        <v>0.0541</v>
      </c>
      <c r="O907" t="n">
        <v>0.1095</v>
      </c>
    </row>
    <row r="908">
      <c r="A908" t="inlineStr">
        <is>
          <t>jcabi</t>
        </is>
      </c>
      <c r="B908" t="inlineStr">
        <is>
          <t>src/main/java/com/jcabi/github/Label.java</t>
        </is>
      </c>
      <c r="C908">
        <f>HYPERLINK("https://github.com/jcabi/jcabi-github/blob/master/src/main/java/com/jcabi/github/Label.java")</f>
        <v/>
      </c>
      <c r="D908" t="inlineStr">
        <is>
          <t>The code provided is a Java interface for the GitHub Label API. It defines methods to get information about labels (like name and repository they belong to), as well as operations like comparison of two instances of this class based on their properties. The implementation details are not shown in the summary because it would require understanding of specific business logic used by the application using these classes. This interface also extends other interfaces</t>
        </is>
      </c>
      <c r="E908" t="n">
        <v>0.0029</v>
      </c>
      <c r="F908" t="n">
        <v>0.0732</v>
      </c>
      <c r="G908" t="n">
        <v>0.137</v>
      </c>
      <c r="H908" t="inlineStr">
        <is>
          <t>The provided code is a Java implementation of the Label interface from GitHub API v3 using JCabi library for interacting with GitHub via REST APIs. It includes methods to return repository and name of label along with some other features like comparison based on their properties. The complexity here would be O(n), where n represents number of labels in a given repository. This function doesn't</t>
        </is>
      </c>
      <c r="I908" t="n">
        <v>0.0033</v>
      </c>
      <c r="J908" t="n">
        <v>0.0533</v>
      </c>
      <c r="K908" t="n">
        <v>0.146</v>
      </c>
      <c r="L908" t="inlineStr">
        <is>
          <t>The provided code is a Java interface named `Label` that extends the `Comparable&lt;Label&gt;` and implements two interfaces - `JsonReadable` and `JsonPatchable`. This interface seems to be part of a larger system dealing with GitHub labels (tags or categories assigned to issues). 
It has several methods including `repo()` which returns an instance of</t>
        </is>
      </c>
      <c r="M908" t="n">
        <v>0.0046</v>
      </c>
      <c r="N908" t="n">
        <v>0.0667</v>
      </c>
      <c r="O908" t="n">
        <v>0.1613</v>
      </c>
    </row>
    <row r="909">
      <c r="A909" t="inlineStr">
        <is>
          <t>jcabi</t>
        </is>
      </c>
      <c r="B909" t="inlineStr">
        <is>
          <t>src/main/java/com/jcabi/github/Limits.java</t>
        </is>
      </c>
      <c r="C909">
        <f>HYPERLINK("https://github.com/jcabi/jcabi-github/blob/master/src/main/java/com/jcabi/github/Limits.java")</f>
        <v/>
      </c>
      <c r="D909" t="inlineStr">
        <is>
          <t>The code you provided is a Java interface named `Limits` that defines the GitHub Rate Limit API. This API provides information about rate limits for different resources on GitHub such as 'core', and 'search'. It also includes methods to get limit details for specific resources using their names. The implementation of this interface in another class called `Throttled` with additional functionality like logging</t>
        </is>
      </c>
      <c r="E909" t="n">
        <v>0.0038</v>
      </c>
      <c r="F909" t="n">
        <v>0.08450000000000001</v>
      </c>
      <c r="G909" t="n">
        <v>0.1481</v>
      </c>
      <c r="H909" t="inlineStr">
        <is>
          <t>The functionality of the provided code is to add two numbers together using a function named 'add'. This operation has a time complexity of O(1), meaning it performs a fixed number of operations regardless of input size. The function takes in two parameters (numbers or variables representing numbers), adds them together and returns the result.
Here is an example usage: 
```python
result</t>
        </is>
      </c>
      <c r="I909" t="n">
        <v>0.0039</v>
      </c>
      <c r="J909" t="n">
        <v>0.08450000000000001</v>
      </c>
      <c r="K909" t="n">
        <v>0.1119</v>
      </c>
      <c r="L909" t="inlineStr">
        <is>
          <t>The provided code is a Java implementation of the GitHub Rate Limit API using JCabi library for interacting with the GitHub REST API. The main purpose of this class `Throttled` is to provide rate limit information about different resources (like 'core', 'search') on GitHub and interact with it via the GitHub object obtained from method `github()`. It</t>
        </is>
      </c>
      <c r="M909" t="n">
        <v>0.0032</v>
      </c>
      <c r="N909" t="n">
        <v>0.09229999999999999</v>
      </c>
      <c r="O909" t="n">
        <v>0.155</v>
      </c>
    </row>
    <row r="910">
      <c r="A910" t="inlineStr">
        <is>
          <t>jcabi</t>
        </is>
      </c>
      <c r="B910" t="inlineStr">
        <is>
          <t>src/main/java/com/jcabi/github/Existence.java</t>
        </is>
      </c>
      <c r="C910">
        <f>HYPERLINK("https://github.com/jcabi/jcabi-github/blob/master/src/main/java/com/jcabi/github/Existence.java")</f>
        <v/>
      </c>
      <c r="D910" t="inlineStr">
        <is>
          <t>The provided code is a Java class named `Existence` that checks the existence of a GitHub JSON object on the server. It's annotated with `@Immutable` and `@Loggable` to ensure immutability and logging respectively. The class has one field (`readable`), which represents an instance of a class implementing the interface `JsonReadable`.</t>
        </is>
      </c>
      <c r="E910" t="n">
        <v>0.0037</v>
      </c>
      <c r="F910" t="n">
        <v>0.0339</v>
      </c>
      <c r="G910" t="n">
        <v>0.082</v>
      </c>
      <c r="H910" t="inlineStr">
        <is>
          <t>The provided code is a Java class named `Existence` that checks the existence of a GitHub JSON object on the server using Jcabi's Github library. It has been annotated with Immutable and Loggable aspects for debugging purposes. The method `check()` returns true if the JSON exists on the server, false otherwise. If there is an issue during network communication</t>
        </is>
      </c>
      <c r="I910" t="n">
        <v>0.0031</v>
      </c>
      <c r="J910" t="n">
        <v>0.0294</v>
      </c>
      <c r="K910" t="n">
        <v>0.07630000000000001</v>
      </c>
      <c r="L910" t="inlineStr">
        <is>
          <t>The provided code is a Java class named `Existence` that checks the existence of a GitHub JSON object on the server. The purpose of this class seems to be to encapsulate and provide an interface for checking if a given readable object exists or not in the context of GitHub's API.
It takes as input a JsonReadable object (which presumably represents</t>
        </is>
      </c>
      <c r="M910" t="n">
        <v>0.003</v>
      </c>
      <c r="N910" t="n">
        <v>0.0571</v>
      </c>
      <c r="O910" t="n">
        <v>0.0752</v>
      </c>
    </row>
    <row r="911">
      <c r="A911" t="inlineStr">
        <is>
          <t>jcabi</t>
        </is>
      </c>
      <c r="B911" t="inlineStr">
        <is>
          <t>src/main/java/com/jcabi/github/RtPull.java</t>
        </is>
      </c>
      <c r="C911">
        <f>HYPERLINK("https://github.com/jcabi/jcabi-github/blob/master/src/main/java/com/jcabi/github/RtPull.java")</f>
        <v/>
      </c>
      <c r="D911" t="inlineStr">
        <is>
          <t>ThegivencodeisforapullrequestonagithubusingJCABIlibrarytoaccessAPIs.ItusesLombokframeworkforthemicroservicesdevelopment.Thecodehasbeenloggedwithdebuglevelsofactivitiesdonebyusermachine.Moreover,itutilizesAspect-orientedprogrammingtechniquesinordertomakeclassesunmodifiableafterinitialization.</t>
        </is>
      </c>
      <c r="E911" t="n">
        <v>0</v>
      </c>
      <c r="F911" t="n">
        <v>0</v>
      </c>
      <c r="G911" t="n">
        <v>0</v>
      </c>
      <c r="H911" t="inlineStr">
        <is>
          <t>```python
# This is a simple Python function that adds two numbers together. 
# It takes in two parameters (a and b), performs the addition operation on them, 
# and returns the result. The time complexity of this function is O(1).
def add(a, b):
    return a + b
```
The code size</t>
        </is>
      </c>
      <c r="I911" t="n">
        <v>0.0042</v>
      </c>
      <c r="J911" t="n">
        <v>0.1053</v>
      </c>
      <c r="K911" t="n">
        <v>0.121</v>
      </c>
      <c r="L911" t="inlineStr">
        <is>
          <t>###Issue:###Comment:###Status:###Owner:.*/publicRtPull(finalRequestentry,finalintnum){this.requestentry=requestentry;this.num=num;}//...}
```
The code provided is a Java class named `RtPull` that interacts with the GitHub API to create pull requests and manage their status</t>
        </is>
      </c>
      <c r="M911" t="n">
        <v>0.0076</v>
      </c>
      <c r="N911" t="n">
        <v>0.09089999999999999</v>
      </c>
      <c r="O911" t="n">
        <v>0.0515</v>
      </c>
    </row>
    <row r="912">
      <c r="A912" t="inlineStr">
        <is>
          <t>jcabi</t>
        </is>
      </c>
      <c r="B912" t="inlineStr">
        <is>
          <t>src/main/java/com/jcabi/github/DeployKey.java</t>
        </is>
      </c>
      <c r="C912">
        <f>HYPERLINK("https://github.com/jcabi/jcabi-github/blob/master/src/main/java/com/jcabi/github/DeployKey.java")</f>
        <v/>
      </c>
      <c r="D912" t="inlineStr">
        <is>
          <t>The provided code defines an interface named `DeployKey` for managing deploy keys on GitHub using the JCabi library in Java. The interface extends two interfaces (`JsonReadable` and `JsonPatchable`), which are likely used to read and modify JSON data. 
It provides methods to get the id of a deploy key (`getNumber()`)</t>
        </is>
      </c>
      <c r="E912" t="n">
        <v>0.0037</v>
      </c>
      <c r="F912" t="n">
        <v>0.0345</v>
      </c>
      <c r="G912" t="n">
        <v>0.082</v>
      </c>
      <c r="H912" t="inlineStr">
        <is>
          <t>The provided code is a Java interface for interacting with GitHub's Deploy Keys API using JCabi library. The functionality of the add method in this context appears to be limited as it only adds two numbers together and does not appear to interact directly with any external services or APIs. It has O(1) complexity which means that its time complexity remains constant regardless of input size.</t>
        </is>
      </c>
      <c r="I912" t="n">
        <v>0.0033</v>
      </c>
      <c r="J912" t="n">
        <v>0.0526</v>
      </c>
      <c r="K912" t="n">
        <v>0.1087</v>
      </c>
      <c r="L912" t="inlineStr">
        <is>
          <t>Thegivencodeisaclassnamed'DeployKey'.ItappearsthisclasshasmethodsforgettingandremovingaGitHubdeploykey.However,therearenomethodsignalldeletingacommentfromagithubissuecomment.Thereisalsonocodeinmethodsthatshowhowtoremoveamemberfromaprojectteam.Finally,therearentany</t>
        </is>
      </c>
      <c r="M912" t="n">
        <v>0</v>
      </c>
      <c r="N912" t="n">
        <v>0</v>
      </c>
      <c r="O912" t="n">
        <v>0</v>
      </c>
    </row>
    <row r="913">
      <c r="A913" t="inlineStr">
        <is>
          <t>jcabi</t>
        </is>
      </c>
      <c r="B913" t="inlineStr">
        <is>
          <t>src/main/java/com/jcabi/github/RtContent.java</t>
        </is>
      </c>
      <c r="C913">
        <f>HYPERLINK("https://github.com/jcabi/jcabi-github/blob/master/src/main/java/com/jcabi/github/RtContent.java")</f>
        <v/>
      </c>
      <c r="D913" t="inlineStr">
        <is>
          <t>ThegivenJavaSRCfileisabouttobeusedintotheGithubAPIforfetchingandmanipulatingfilesfromagivenrepository.ItusesJCABIlibrarieswhichallowstocreateHTTPrequestsinadetailswithloggingcapabilitiesenabledbydefault.ItalsoutilizesLomboklibrarytocreatesgettersandequalshashmethodsautomatically. The code is</t>
        </is>
      </c>
      <c r="E913" t="n">
        <v>0</v>
      </c>
      <c r="F913" t="n">
        <v>0</v>
      </c>
      <c r="G913" t="n">
        <v>0</v>
      </c>
      <c r="H913" t="inlineStr">
        <is>
          <t>Theproblemwithyourcodeisthatyouhaveduplicatedcodelinesfrompreviouscommits.Yourcurrentcodehasbeenmodifiedtobeconciseandsuitableforacodingassessment.Hereissuccessfullyrunnablecode:```pythondef add(a, b):    return a + b```
&lt;jupyter_code&gt;
# Code to be summarized</t>
        </is>
      </c>
      <c r="I913" t="n">
        <v>0</v>
      </c>
      <c r="J913" t="n">
        <v>0</v>
      </c>
      <c r="K913" t="n">
        <v>0</v>
      </c>
      <c r="L913" t="inlineStr">
        <is>
          <t>ThegivencodeisabackendcomponentforhandlingHTTPresponsesfromGitHubAPI.ItusesJCABIlibrarieswhichoffersafehttprequestsandmanipulationsoftheJSONpayloadsinJava.Thecodehasbeeninitializedbyconstructingobjectsusingdetailsabouttherequestandrepoowner.Thereisalsoaloggingfeatureenabledthatlogsdebuginfoif</t>
        </is>
      </c>
      <c r="M913" t="n">
        <v>0</v>
      </c>
      <c r="N913" t="n">
        <v>0</v>
      </c>
      <c r="O913" t="n">
        <v>0</v>
      </c>
    </row>
    <row r="914">
      <c r="A914" t="inlineStr">
        <is>
          <t>jcabi</t>
        </is>
      </c>
      <c r="B914" t="inlineStr">
        <is>
          <t>src/main/java/com/jcabi/github/FileChange.java</t>
        </is>
      </c>
      <c r="C914">
        <f>HYPERLINK("https://github.com/jcabi/jcabi-github/blob/master/src/main/java/com/jcabi/github/FileChange.java")</f>
        <v/>
      </c>
      <c r="D914" t="inlineStr">
        <is>
          <t>The provided code is a Java interface named `FileChange` that extends the JsonReadable class from jCabi library for GitHub API interaction. This interface represents changes in files between two commits on GitHub repository. It has an enum called `Status` which defines three types of statuses - 'Added', 'Modified', 'Removed', and 'Renamed'. The methods</t>
        </is>
      </c>
      <c r="E914" t="n">
        <v>0.0041</v>
      </c>
      <c r="F914" t="n">
        <v>0.0667</v>
      </c>
      <c r="G914" t="n">
        <v>0.08</v>
      </c>
      <c r="H914" t="inlineStr">
        <is>
          <t>The provided code is a simple function that adds two numbers together and returns the result. It has a time complexity of O(1), meaning it performs a fixed number of operations regardless of the size of the input data. The operation performed here is addition, which takes constant time to execute.
```python
def add(a, b):
    return a + b
```</t>
        </is>
      </c>
      <c r="I914" t="n">
        <v>0.003</v>
      </c>
      <c r="J914" t="n">
        <v>0.0588</v>
      </c>
      <c r="K914" t="n">
        <v>0.07580000000000001</v>
      </c>
      <c r="L914" t="inlineStr">
        <is>
          <t>Thegivencodefileappearsnottobesensibleinthisformat.Itdoesnothaveanycomments,norcontainsspecificinstructionsforhowtoprocessit.Pleaseprovidefilecontentsorlinktosourcedocumentatonline.
```python
from typing import List
def find_min_max_difference(numbers: List[int</t>
        </is>
      </c>
      <c r="M914" t="n">
        <v>0</v>
      </c>
      <c r="N914" t="n">
        <v>0</v>
      </c>
      <c r="O914" t="n">
        <v>0</v>
      </c>
    </row>
    <row r="915">
      <c r="A915" t="inlineStr">
        <is>
          <t>jcabi</t>
        </is>
      </c>
      <c r="B915" t="inlineStr">
        <is>
          <t>src/main/java/com/jcabi/github/Releases.java</t>
        </is>
      </c>
      <c r="C915">
        <f>HYPERLINK("https://github.com/jcabi/jcabi-github/blob/master/src/main/java/com/jcabi/github/Releases.java")</f>
        <v/>
      </c>
      <c r="D915" t="inlineStr">
        <is>
          <t>This code is a Java interface named `Releases` that provides methods for interacting with GitHub releases. It has three main functionalities: 
1. Retrieving the repository associated with these releases (method `repo()`).
2. Iterating over all existing releases in the repository (method `iterate()`). This method returns an iterator of type `</t>
        </is>
      </c>
      <c r="E915" t="n">
        <v>0.0037</v>
      </c>
      <c r="F915" t="n">
        <v>0.0702</v>
      </c>
      <c r="G915" t="n">
        <v>0.041</v>
      </c>
      <c r="H915" t="inlineStr">
        <is>
          <t>The functionality of the provided code is to add two numbers together and return their sum. The time complexity is O(1), as it performs a single operation regardless of input size.
```python
def add(a, b):
    return a + b
``` 
In this case, `a` and `b` are the inputs (numbers that will be</t>
        </is>
      </c>
      <c r="I915" t="n">
        <v>0.0041</v>
      </c>
      <c r="J915" t="n">
        <v>0.06560000000000001</v>
      </c>
      <c r="K915" t="n">
        <v>0.12</v>
      </c>
      <c r="L915" t="inlineStr">
        <is>
          <t>```java
// SPDX-FileCopyrightText: Copyright (c) 2013 - 2026 Yegor Bugayenko
// SPDX-License-Identifier: MIT
/*
 * This is a Java interface named 'Releases'. It provides the functionality to interact with GitHub Releases.
 */</t>
        </is>
      </c>
      <c r="M915" t="n">
        <v>0.0069</v>
      </c>
      <c r="N915" t="n">
        <v>0.1081</v>
      </c>
      <c r="O915" t="n">
        <v>0.09619999999999999</v>
      </c>
    </row>
    <row r="916">
      <c r="A916" t="inlineStr">
        <is>
          <t>jcabi</t>
        </is>
      </c>
      <c r="B916" t="inlineStr">
        <is>
          <t>src/main/java/com/jcabi/github/JsonPatchable.java</t>
        </is>
      </c>
      <c r="C916">
        <f>HYPERLINK("https://github.com/jcabi/jcabi-github/blob/master/src/main/java/com/jcabi/github/JsonPatchable.java")</f>
        <v/>
      </c>
      <c r="D916" t="inlineStr">
        <is>
          <t>The provided code is a Java interface named JsonPatchable that defines the functionality of applying JSON patches to an object using a given JSON object as input. The method 'patch' takes in a JsonObject and applies some changes defined by this object on another object (which may be stored elsewhere). If there are any I/O problems during this process, it throws an IOException. This code does not</t>
        </is>
      </c>
      <c r="E916" t="n">
        <v>0.0036</v>
      </c>
      <c r="F916" t="n">
        <v>0.0526</v>
      </c>
      <c r="G916" t="n">
        <v>0.1079</v>
      </c>
      <c r="H916" t="inlineStr">
        <is>
          <t>The provided code is a Java interface for GitHub's JSON patching functionality. It has one method named 'patch'. This function takes in a JsonObject as an argument and applies the changes described by this object to some data structure or file on disk. The complexity of this operation is O(N), where N represents the number of operations contained within the JsonObject.
In summary</t>
        </is>
      </c>
      <c r="I916" t="n">
        <v>0.0034</v>
      </c>
      <c r="J916" t="n">
        <v>0.0822</v>
      </c>
      <c r="K916" t="n">
        <v>0.1111</v>
      </c>
      <c r="L916" t="inlineStr">
        <is>
          <t>The provided code is a Java interface named JsonPatchable that represents an object capable of being patched using JSON objects. The purpose of this interface seems to be related to the application of patches on other objects via JSON data structures in some form or another. This functionality could potentially include operations like updating existing fields with new values based on inputted JSON data, adding new fields if they don't</t>
        </is>
      </c>
      <c r="M916" t="n">
        <v>0.0031</v>
      </c>
      <c r="N916" t="n">
        <v>0.0506</v>
      </c>
      <c r="O916" t="n">
        <v>0.0704</v>
      </c>
    </row>
    <row r="917">
      <c r="A917" t="inlineStr">
        <is>
          <t>jcabi</t>
        </is>
      </c>
      <c r="B917" t="inlineStr">
        <is>
          <t>src/main/java/com/jcabi/github/User.java</t>
        </is>
      </c>
      <c r="C917">
        <f>HYPERLINK("https://github.com/jcabi/jcabi-github/blob/master/src/main/java/com/jcabi/github/User.java")</f>
        <v/>
      </c>
      <c r="D917" t="inlineStr">
        <is>
          <t>The code provided is a Java interface named `User` that extends the interfaces `JsonReadable` and `JsonPatchable` from the JCabi library for interacting with GitHub API in terms of JSON reading and patching operations. The class has methods to get the login name of the user on GitHub. It also returns an instance of the main GitHub object which could be used</t>
        </is>
      </c>
      <c r="E917" t="n">
        <v>0.003</v>
      </c>
      <c r="F917" t="n">
        <v>0.029</v>
      </c>
      <c r="G917" t="n">
        <v>0.0752</v>
      </c>
      <c r="H917" t="inlineStr">
        <is>
          <t>The provided code is a Java interface for interacting with the GitHub User API. It includes methods to get information about a user such as their login name and the associated GitHub repository. The complexity of this operation would be O(N), where N represents the number of users in the system. This function doesn't perform any addition operations but rather retrieves data from an external source (Git</t>
        </is>
      </c>
      <c r="I917" t="n">
        <v>0.0032</v>
      </c>
      <c r="J917" t="n">
        <v>0.0519</v>
      </c>
      <c r="K917" t="n">
        <v>0.1079</v>
      </c>
      <c r="L917" t="inlineStr">
        <is>
          <t>The provided code is a Java interface named `User` that extends the interfaces `JsonReadable` and `JsonPatchable` from the JCabi library for working with GitHub API in Java. The purpose of this class seems to be managing user data on GitHub using their RESTful API.
It has methods like `getGithub()` which returns an instance</t>
        </is>
      </c>
      <c r="M917" t="n">
        <v>0.0035</v>
      </c>
      <c r="N917" t="n">
        <v>0.0328</v>
      </c>
      <c r="O917" t="n">
        <v>0.12</v>
      </c>
    </row>
    <row r="918">
      <c r="A918" t="inlineStr">
        <is>
          <t>jcabi</t>
        </is>
      </c>
      <c r="B918" t="inlineStr">
        <is>
          <t>src/main/java/com/jcabi/github/RtAssignees.java</t>
        </is>
      </c>
      <c r="C918">
        <f>HYPERLINK("https://github.com/jcabi/jcabi-github/blob/master/src/main/java/com/jcabi/github/RtAssignees.java")</f>
        <v/>
      </c>
      <c r="D918" t="inlineStr">
        <is>
          <t>ThegivenJava code represents a class named `RtAssignees` which implements the interface `Assignees` from package com.jcabi.github. This class is annotated with @Immutable and @Loggable for debugging purposes. It also has an equals() method that compares only certain fields (entry, request, owner). The class uses Lombok to</t>
        </is>
      </c>
      <c r="E918" t="n">
        <v>0.0054</v>
      </c>
      <c r="F918" t="n">
        <v>0.0727</v>
      </c>
      <c r="G918" t="n">
        <v>0.1709</v>
      </c>
      <c r="H918" t="inlineStr">
        <is>
          <t>Thefunctionalityofferedbythiscodeisaddingtwonumberstogether.Itdoesnotcontainanylogicrelatedtoothernumbersystemsorelementslikebinaryoperations. Thecomplexityofthistaskisconstanttimewhichmeansthatno matterhowbigtheseinputsonlytakeconstantamountofresourcesintothememorytorun. Italsohasnoverificationifbothargumentspassedareact</t>
        </is>
      </c>
      <c r="I918" t="n">
        <v>0</v>
      </c>
      <c r="J918" t="n">
        <v>0</v>
      </c>
      <c r="K918" t="n">
        <v>0</v>
      </c>
      <c r="L918" t="inlineStr">
        <is>
          <t>HTTP/1.1200OKDate:Tue,29Oct201308:58:27GMTServer:Apache/2.2.17Vary:AcceptEncodingContent-Length:16Content-Type:application/json;charset=UTF-8Set-Cookie:JSESSIONID=node0ikv</t>
        </is>
      </c>
      <c r="M918" t="n">
        <v>0</v>
      </c>
      <c r="N918" t="n">
        <v>0</v>
      </c>
      <c r="O918" t="n">
        <v>0</v>
      </c>
    </row>
    <row r="919">
      <c r="A919" t="inlineStr">
        <is>
          <t>jcabi</t>
        </is>
      </c>
      <c r="B919" t="inlineStr">
        <is>
          <t>src/main/java/com/jcabi/github/RtReleaseAssets.java</t>
        </is>
      </c>
      <c r="C919">
        <f>HYPERLINK("https://github.com/jcabi/jcabi-github/blob/master/src/main/java/com/jcabi/github/RtReleaseAssets.java")</f>
        <v/>
      </c>
      <c r="D919" t="inlineStr">
        <is>
          <t>```bash
# SPDX-FileCopyrightText: Copyright (c) 2013-2026 Yegor Bugayenko
# SPDX-License-Identifier: MIT
# Package com.jcabi.github
# This repository contains backend software components written in Java. The code is complex and has a high level</t>
        </is>
      </c>
      <c r="E919" t="n">
        <v>0.0074</v>
      </c>
      <c r="F919" t="n">
        <v>0.1395</v>
      </c>
      <c r="G919" t="n">
        <v>0.1429</v>
      </c>
      <c r="H919" t="inlineStr">
        <is>
          <t>Incorrect code or incorrect explanation. The provided example is not related to the add function in Python. It's a part of GitHub API usage with Java and JCabi library which seems more about software architecture rather than simple math operation.
&lt;jupyter_text&gt;
The given code snippet appears to be an incomplete implementation for interacting with the GitHub REST API</t>
        </is>
      </c>
      <c r="I919" t="n">
        <v>0.0037</v>
      </c>
      <c r="J919" t="n">
        <v>0.0588</v>
      </c>
      <c r="K919" t="n">
        <v>0.1538</v>
      </c>
      <c r="L919" t="inlineStr">
        <is>
          <t>ThegivenJavaSourceCodefilehasacomplexityofO(N).ItperformsHTTPGETrequeststogetreleaseassetsinagithubrepository.ItusesJcabi'slibraryforworkingwithHTTPresponsesinJSONformat. Itdoesnotcontainanycommentsorcomplexitiesrelatedtoalgorithmicimplementations. Theexistingcommitsindebasehavebeenmadebeforeim</t>
        </is>
      </c>
      <c r="M919" t="n">
        <v>0</v>
      </c>
      <c r="N919" t="n">
        <v>0</v>
      </c>
      <c r="O919" t="n">
        <v>0</v>
      </c>
    </row>
    <row r="920">
      <c r="A920" t="inlineStr">
        <is>
          <t>jcabi</t>
        </is>
      </c>
      <c r="B920" t="inlineStr">
        <is>
          <t>src/main/java/com/jcabi/github/Issues.java</t>
        </is>
      </c>
      <c r="C920">
        <f>HYPERLINK("https://github.com/jcabi/jcabi-github/blob/master/src/main/java/com/jcabi/github/Issues.java")</f>
        <v/>
      </c>
      <c r="D920" t="inlineStr">
        <is>
          <t>The provided code is a Java interface for interacting with the GitHub Issues API (version 3). It provides methods to get and create issues in a specific repository. The complexity of this implementation is O(N), where N represents the number of repositories or issues handled by the system. This code size is approximately 1000 lines long.
The main functionalities are</t>
        </is>
      </c>
      <c r="E920" t="n">
        <v>0.0036</v>
      </c>
      <c r="F920" t="n">
        <v>0.08699999999999999</v>
      </c>
      <c r="G920" t="n">
        <v>0.1515</v>
      </c>
      <c r="H920" t="inlineStr">
        <is>
          <t>The provided code is a Java interface for interacting with GitHub's Issues API. It includes methods to get and create issues in a repository. The complexity of these operations are O(1), meaning they have constant time complexity as the number of elements involved does not affect their execution time. This means that no matter how many issues there are or which issue you want to retrieve (by its number</t>
        </is>
      </c>
      <c r="I920" t="n">
        <v>0.0031</v>
      </c>
      <c r="J920" t="n">
        <v>0.0253</v>
      </c>
      <c r="K920" t="n">
        <v>0.0709</v>
      </c>
      <c r="L920" t="inlineStr">
        <is>
          <t>ThegivenJavacoderepresentsaninterfaceforinteractingwiththeGitHubIssuesAPI.Ithasmethodstotakecareoffetchingaindividualissuebyitsnumericid,fetchingaindividualrepoassociatedwiththatissue,andcreatingnewissuesinvolvingspecifyingbothatitleandabodycontent. The code is well structured and easy to read due</t>
        </is>
      </c>
      <c r="M920" t="n">
        <v>0.0189</v>
      </c>
      <c r="N920" t="n">
        <v>0.09089999999999999</v>
      </c>
      <c r="O920" t="n">
        <v>0.0602</v>
      </c>
    </row>
    <row r="921">
      <c r="A921" t="inlineStr">
        <is>
          <t>jcabi</t>
        </is>
      </c>
      <c r="B921" t="inlineStr">
        <is>
          <t>src/main/java/com/jcabi/github/Markdown.java</t>
        </is>
      </c>
      <c r="C921">
        <f>HYPERLINK("https://github.com/jcabi/jcabi-github/blob/master/src/main/java/com/jcabi/github/Markdown.java")</f>
        <v/>
      </c>
      <c r="D921" t="inlineStr">
        <is>
          <t>The code provided is an interface named Markdown that defines the functionality of a GitHub markdown API wrapper. It provides methods to get its owner (getOwner()), render JSON parameters into HTML (render(JsonObject)), raw rendering in Markdown format into HTML (raw(String)) and throws IOException if there's any I/O problem during these operations. The complexity appears to be O(</t>
        </is>
      </c>
      <c r="E921" t="n">
        <v>0.0038</v>
      </c>
      <c r="F921" t="n">
        <v>0.058</v>
      </c>
      <c r="G921" t="n">
        <v>0.0775</v>
      </c>
      <c r="H921" t="inlineStr">
        <is>
          <t>The provided code is a Java interface for interacting with the GitHub Markdown API. It provides two methods to render markdown text into HTML format. The `render` method takes JSON parameters and returns an HTML string, while the `raw` method directly converts raw markdown text into HTML. Both operations may throw IOException if there's any I/O problem during communication with the remote server</t>
        </is>
      </c>
      <c r="I921" t="n">
        <v>0.0029</v>
      </c>
      <c r="J921" t="n">
        <v>0.0274</v>
      </c>
      <c r="K921" t="n">
        <v>0.037</v>
      </c>
      <c r="L921" t="inlineStr">
        <is>
          <t>The provided code is a Java interface named `Markdown` that defines two methods for rendering Markdown text into HTML format on GitHub. The purpose of this interface seems to be providing an API abstraction layer over the official GitHub's Markdown API. 
It has one method (`render()`) which takes in a JSON object as input and returns a string containing</t>
        </is>
      </c>
      <c r="M921" t="n">
        <v>0.0031</v>
      </c>
      <c r="N921" t="n">
        <v>0.0588</v>
      </c>
      <c r="O921" t="n">
        <v>0.07630000000000001</v>
      </c>
    </row>
    <row r="922">
      <c r="A922" t="inlineStr">
        <is>
          <t>jcabi</t>
        </is>
      </c>
      <c r="B922" t="inlineStr">
        <is>
          <t>src/main/java/com/jcabi/github/RtDeployKey.java</t>
        </is>
      </c>
      <c r="C922">
        <f>HYPERLINK("https://github.com/jcabi/jcabi-github/blob/master/src/main/java/com/jcabi/github/RtDeployKey.java")</f>
        <v/>
      </c>
      <c r="D922" t="inlineStr">
        <is>
          <t>The code provided is a Java class `RtDeployKey` that implements the interface `DeployKey` from package `com.jcabi.github`. This class represents a deploy key in GitHub's REST API and has several methods for interacting with it. The class uses Lombok annotations to auto generate standard equals/hashCode implementations based on certain fields</t>
        </is>
      </c>
      <c r="E922" t="n">
        <v>0.0049</v>
      </c>
      <c r="F922" t="n">
        <v>0.06560000000000001</v>
      </c>
      <c r="G922" t="n">
        <v>0.1653</v>
      </c>
      <c r="H922" t="inlineStr">
        <is>
          <t>```python
# This is a Python code snippet that defines the function add() which adds two numbers together. 
# The time complexity of this operation is O(1), meaning it takes constant time to execute regardless of input size.
def add(a, b):
    return a + b
```
The README file provides an overview of</t>
        </is>
      </c>
      <c r="I922" t="n">
        <v>0.0035</v>
      </c>
      <c r="J922" t="n">
        <v>0.0678</v>
      </c>
      <c r="K922" t="n">
        <v>0.08</v>
      </c>
      <c r="L922" t="inlineStr">
        <is>
          <t>The provided code is a Java class named `RtDeployKey` that implements the interface `DeployKey` from JCabi library for GitHub API interaction. The main purpose of this class seems to be creating and managing deploy keys on GitHub repositories using RESTful API calls.
Here are some key operations performed by the class:
1. Constructor</t>
        </is>
      </c>
      <c r="M922" t="n">
        <v>0.0041</v>
      </c>
      <c r="N922" t="n">
        <v>0.06560000000000001</v>
      </c>
      <c r="O922" t="n">
        <v>0.16</v>
      </c>
    </row>
    <row r="923">
      <c r="A923" t="inlineStr">
        <is>
          <t>jcabi</t>
        </is>
      </c>
      <c r="B923" t="inlineStr">
        <is>
          <t>src/main/java/com/jcabi/github/Organization.java</t>
        </is>
      </c>
      <c r="C923">
        <f>HYPERLINK("https://github.com/jcabi/jcabi-github/blob/master/src/main/java/com/jcabi/github/Organization.java")</f>
        <v/>
      </c>
      <c r="D923" t="inlineStr">
        <is>
          <t>ThegivenJava code is a part of the JCabi GitHub API wrapper library and it provides an interface for interacting with GitHub organizations. The class implements Immutable aspect to ensure that once created, objects cannot be modified after they are constructed. It also uses Lombok's @ToString and @EqualsAndHashCode annotation to generate methods like 'toString', 'equals' and 'hash</t>
        </is>
      </c>
      <c r="E923" t="n">
        <v>0.0039</v>
      </c>
      <c r="F923" t="n">
        <v>0.0615</v>
      </c>
      <c r="G923" t="n">
        <v>0.1172</v>
      </c>
      <c r="H923" t="inlineStr">
        <is>
          <t>The provided code is a Java implementation of the GitHub Organization interface with additional features for getting organization properties in an enhanced way (supplemental "smart" decorator). The complexity of this function is O(N), as it may need to iterate over N elements depending on its functionality and usage. This repository contains backend software components implementing core algorithms.
Please provide a concise,</t>
        </is>
      </c>
      <c r="I923" t="n">
        <v>0.007900000000000001</v>
      </c>
      <c r="J923" t="n">
        <v>0.1143</v>
      </c>
      <c r="K923" t="n">
        <v>0.3843</v>
      </c>
      <c r="L923" t="inlineStr">
        <is>
          <t>The provided code is a Java interface named `Organization` that extends the `Comparable&lt;Organization&gt;` interface and uses several annotations for immutability, logging, and other aspects of software development best practices. The purpose of this class seems to be to represent an organization on GitHub using "smart" decorators which can get additional properties from the organization such as its name or creation</t>
        </is>
      </c>
      <c r="M923" t="n">
        <v>0.0036</v>
      </c>
      <c r="N923" t="n">
        <v>0.029</v>
      </c>
      <c r="O923" t="n">
        <v>0.1515</v>
      </c>
    </row>
    <row r="924">
      <c r="A924" t="inlineStr">
        <is>
          <t>jcabi</t>
        </is>
      </c>
      <c r="B924" t="inlineStr">
        <is>
          <t>src/main/java/com/jcabi/github/Status.java</t>
        </is>
      </c>
      <c r="C924">
        <f>HYPERLINK("https://github.com/jcabi/jcabi-github/blob/master/src/main/java/com/jcabi/github/Status.java")</f>
        <v/>
      </c>
      <c r="D924" t="inlineStr">
        <is>
          <t>The provided code represents an interface named `Status` in the package `com.jcabi.github` for managing GitHub commit statuses. The class extends from another interface called JsonReadable which is likely to handle JSON reading operations. 
It has three methods:
1. `Commit commit()` - Returns associated commit. This method returns a Commit object representing</t>
        </is>
      </c>
      <c r="E924" t="n">
        <v>0.0036</v>
      </c>
      <c r="F924" t="n">
        <v>0.0333</v>
      </c>
      <c r="G924" t="n">
        <v>0.0407</v>
      </c>
      <c r="H924" t="inlineStr">
        <is>
          <t>The provided code is a Java interface for interacting with GitHub's commit status API. It defines several methods to get information about the associated commit and its ID number or URL. The state of the status can be one of many possible states defined by an enum named `State`.
However, it seems like there are some missing parts in your request regarding the functionality of this piece of</t>
        </is>
      </c>
      <c r="I924" t="n">
        <v>0.0032</v>
      </c>
      <c r="J924" t="n">
        <v>0.026</v>
      </c>
      <c r="K924" t="n">
        <v>0.1071</v>
      </c>
      <c r="L924" t="inlineStr">
        <is>
          <t>Thegivensourcecodefilerepresentsaninterfacecalled'Status'.Ithasthreemethods:'commit()','identifier()',and'url()'.Thesemethodstakecareoffetchingdataaboutagithubcommitholderobjects.'commit()'returnsacommitobject,'identifier()'returnsanintegerrepresentingtheidofthiscommit,'url()'returnsastringrepresentingthe</t>
        </is>
      </c>
      <c r="M924" t="n">
        <v>0</v>
      </c>
      <c r="N924" t="n">
        <v>0.09089999999999999</v>
      </c>
      <c r="O924" t="n">
        <v>0</v>
      </c>
    </row>
    <row r="925">
      <c r="A925" t="inlineStr">
        <is>
          <t>jcabi</t>
        </is>
      </c>
      <c r="B925" t="inlineStr">
        <is>
          <t>src/main/java/com/jcabi/github/RtCommitsComparison.java</t>
        </is>
      </c>
      <c r="C925">
        <f>HYPERLINK("https://github.com/jcabi/jcabi-github/blob/master/src/main/java/com/jcabi/github/RtCommitsComparison.java")</f>
        <v/>
      </c>
      <c r="D925" t="inlineStr">
        <is>
          <t>The code is a Java class named `RtCommitsComparison` that implements the interface `CommitsComparison` from package `com.jcabi.github`. This class represents a comparison of commits in GitHub repository using REST API and it's immutable (can not be modified after creation), loggable (log debug information when methods are called). The constructor takes</t>
        </is>
      </c>
      <c r="E925" t="n">
        <v>0.0049</v>
      </c>
      <c r="F925" t="n">
        <v>0.0667</v>
      </c>
      <c r="G925" t="n">
        <v>0.1653</v>
      </c>
      <c r="H925" t="inlineStr">
        <is>
          <t>Sorry, but I can't assist with that.
```python
from jose import JWTError, jwt
ALGORITHM = "HS256"
SECRET_KEY = 'your-secret-key'
ACCESS_TOKEN_EXPIRE_MINUTES = 30
def create_access_</t>
        </is>
      </c>
      <c r="I925" t="n">
        <v>0</v>
      </c>
      <c r="J925" t="n">
        <v>0</v>
      </c>
      <c r="K925" t="n">
        <v>0</v>
      </c>
      <c r="L925" t="inlineStr">
        <is>
          <t>The provided code is a Java class named `RtCommitsComparison` that implements the interface `CommitsComparison` from Jcabi's GitHub library. This class represents a RESTful request for comparing two commits in a repository on GitHub using their API. The purpose of this class seems to be to provide an abstraction over HTTP requests and responses related to commit comparisons</t>
        </is>
      </c>
      <c r="M925" t="n">
        <v>0.0042</v>
      </c>
      <c r="N925" t="n">
        <v>0.0606</v>
      </c>
      <c r="O925" t="n">
        <v>0.155</v>
      </c>
    </row>
    <row r="926">
      <c r="A926" t="inlineStr">
        <is>
          <t>jcabi</t>
        </is>
      </c>
      <c r="B926" t="inlineStr">
        <is>
          <t>src/main/java/com/jcabi/github/RtChecks.java</t>
        </is>
      </c>
      <c r="C926">
        <f>HYPERLINK("https://github.com/jcabi/jcabi-github/blob/master/src/main/java/com/jcabi/github/RtChecks.java")</f>
        <v/>
      </c>
      <c r="D926" t="inlineStr">
        <is>
          <t>The code provided is a Java class named `RtChecks` that implements the interface `Checks` from package com.jcabi.github. This class interacts with GitHub's Check Runs API to manage and retrieve information about checks on pull requests in repositories. The constructor of this class takes two parameters - an instance of Http Request (reqRequest) and Pull</t>
        </is>
      </c>
      <c r="E926" t="n">
        <v>0.0045</v>
      </c>
      <c r="F926" t="n">
        <v>0.0625</v>
      </c>
      <c r="G926" t="n">
        <v>0.1587</v>
      </c>
      <c r="H926" t="inlineStr">
        <is>
          <t>Youareanexpertsoftwareengineer.Provideaconcise,clear,anddirectsummaryofthefunctionalityoftheprovidedcode.Donotrepeatthecode.}
# README file for the GitHub Checks API implementation in Java
## Summary
The provided code is a simple example of how to interact with the GitHub Checks API using Jcabi</t>
        </is>
      </c>
      <c r="I926" t="n">
        <v>0</v>
      </c>
      <c r="J926" t="n">
        <v>0.0476</v>
      </c>
      <c r="K926" t="n">
        <v>0.09619999999999999</v>
      </c>
      <c r="L926" t="inlineStr">
        <is>
          <t>The provided code is a Java class named `RtChecks` that implements the interface `Checks` from Jcabi's GitHub library for interacting with the GitHub Checks API (v2022-11-28). The purpose of this class seems to be to manage and interact with check runs on pull requests in repositories hosted by GitHub.</t>
        </is>
      </c>
      <c r="M926" t="n">
        <v>0.0045</v>
      </c>
      <c r="N926" t="n">
        <v>0.0667</v>
      </c>
      <c r="O926" t="n">
        <v>0.1653</v>
      </c>
    </row>
    <row r="927">
      <c r="A927" t="inlineStr">
        <is>
          <t>jcabi</t>
        </is>
      </c>
      <c r="B927" t="inlineStr">
        <is>
          <t>src/main/java/com/jcabi/github/RtTrees.java</t>
        </is>
      </c>
      <c r="C927">
        <f>HYPERLINK("https://github.com/jcabi/jcabi-github/blob/master/src/main/java/com/jcabi/github/RtTrees.java")</f>
        <v/>
      </c>
      <c r="D927" t="inlineStr">
        <is>
          <t>```
The code is a Java class that represents the GitHub trees API endpoint for interacting with tree structures in repositories on GitHub via JCabi library. 
It's immutable and uses logging to log debug information. It also overrides equals() and hashCode() methods using 'request', 'owner' and 'entry'.
There are three private</t>
        </is>
      </c>
      <c r="E927" t="n">
        <v>0.0036</v>
      </c>
      <c r="F927" t="n">
        <v>0.0339</v>
      </c>
      <c r="G927" t="n">
        <v>0.0813</v>
      </c>
      <c r="H927" t="inlineStr">
        <is>
          <t>```python
    def add_two_numbers(self, l1: ListNode, l2: ListNode) -&gt; ListNode:
        dummy = curr = ListNode(0)
        carry = 0
        while l1 or l2 or carry:            
            if l1:
                carry += l1.val
                l1</t>
        </is>
      </c>
      <c r="I927" t="n">
        <v>0</v>
      </c>
      <c r="J927" t="n">
        <v>0</v>
      </c>
      <c r="K927" t="n">
        <v>0</v>
      </c>
      <c r="L927" t="inlineStr">
        <is>
          <t>The provided code is a Java class named `RtTrees` which implements the interface `Trees` from JCabi library for interacting with GitHub's REST API. It represents a tree in a repository on GitHub and provides methods to interact with it such as getting details of its entries or committing changes to it. The purpose of this class seems to be providing an abst</t>
        </is>
      </c>
      <c r="M927" t="n">
        <v>0.0035</v>
      </c>
      <c r="N927" t="n">
        <v>0.0563</v>
      </c>
      <c r="O927" t="n">
        <v>0.1119</v>
      </c>
    </row>
    <row r="928">
      <c r="A928" t="inlineStr">
        <is>
          <t>jcabi</t>
        </is>
      </c>
      <c r="B928" t="inlineStr">
        <is>
          <t>src/main/java/com/jcabi/github/RtUserOrganizations.java</t>
        </is>
      </c>
      <c r="C928">
        <f>HYPERLINK("https://github.com/jcabi/jcabi-github/blob/master/src/main/java/com/jcabi/github/RtUserOrganizations.java")</f>
        <v/>
      </c>
      <c r="D928" t="inlineStr">
        <is>
          <t>ThegivenJava code represents a class named `RtUserOrganizations` that implements the interface `UserOrganizations` from package `com.jcabi.github`. This class is annotated with several JCabi and Lombok annotations to provide immutability, logging capabilities, and automatic generation of equals() and hashCode(). The class has three private final transient fields -</t>
        </is>
      </c>
      <c r="E928" t="n">
        <v>0.0053</v>
      </c>
      <c r="F928" t="n">
        <v>0.0727</v>
      </c>
      <c r="G928" t="n">
        <v>0.1271</v>
      </c>
      <c r="H928" t="inlineStr">
        <is>
          <t>```python
def add(a, b):
    return a + b
```
Explanation: This function takes two parameters (`a` and `b`), adds them together, and returns the result. The time complexity of this operation is O(1).</t>
        </is>
      </c>
      <c r="I928" t="n">
        <v>0.0067</v>
      </c>
      <c r="J928" t="n">
        <v>0.1463</v>
      </c>
      <c r="K928" t="n">
        <v>0.1429</v>
      </c>
      <c r="L928" t="inlineStr">
        <is>
          <t>The provided code is a Java class named `RtUserOrganizations` that implements the interface `UserOrganizations` from JCabi library for GitHub API interaction. This class represents user organizations and provides methods to interact with them on GitHub platform.
It has three private fields - an instance of Request (for making HTTP requests), an instance of GitHub (which acts as</t>
        </is>
      </c>
      <c r="M928" t="n">
        <v>0.0042</v>
      </c>
      <c r="N928" t="n">
        <v>0.0625</v>
      </c>
      <c r="O928" t="n">
        <v>0.1163</v>
      </c>
    </row>
    <row r="929">
      <c r="A929" t="inlineStr">
        <is>
          <t>jcabi</t>
        </is>
      </c>
      <c r="B929" t="inlineStr">
        <is>
          <t>src/main/java/com/jcabi/github/RtRelease.java</t>
        </is>
      </c>
      <c r="C929">
        <f>HYPERLINK("https://github.com/jcabi/jcabi-github/blob/master/src/main/java/com/jcabi/github/RtRelease.java")</f>
        <v/>
      </c>
      <c r="D929" t="inlineStr">
        <is>
          <t>ThegivenJava8coderepresentsafinalclassnamedRtReleasewithapublicconstructorthatacceptsthreeparameters:-AJCABIHTTPRequestobjectrepresentingtheAPIfile.-ARepositoryobjectrepresentingspecificrepositoryinvolved.-Anintegervaluerepresentinguniqueidentifierforreleases.Theclassisdefinedtobeimmutableandloggedatdebuglevel.</t>
        </is>
      </c>
      <c r="E929" t="n">
        <v>0</v>
      </c>
      <c r="F929" t="n">
        <v>0</v>
      </c>
      <c r="G929" t="n">
        <v>0</v>
      </c>
      <c r="H929" t="inlineStr">
        <is>
          <t>Error:Invalid_parameter:valueatposition0isnotallowedtobesetbecauseitdoesn'tmatchanyofoursupportedvalues.Itmustbeoneof:opencloseddraft.
```python
# SPDX-FileCopyrightText: 2013-2025 Yegor Bugayenko
# SPDX-License</t>
        </is>
      </c>
      <c r="I929" t="n">
        <v>0</v>
      </c>
      <c r="J929" t="n">
        <v>0</v>
      </c>
      <c r="K929" t="n">
        <v>0</v>
      </c>
      <c r="L929" t="inlineStr">
        <is>
          <t>#####
```python
from typing import List
def find_missing_numbers(nums: List[int]) -&gt; int:
    """Find the missing numbers in a range of 1 to n+1"""
    nums = set(nums) # Convert list into set for O(1) lookup time
    return [i + 1</t>
        </is>
      </c>
      <c r="M929" t="n">
        <v>0</v>
      </c>
      <c r="N929" t="n">
        <v>0</v>
      </c>
      <c r="O929" t="n">
        <v>0</v>
      </c>
    </row>
    <row r="930">
      <c r="A930" t="inlineStr">
        <is>
          <t>jcabi</t>
        </is>
      </c>
      <c r="B930" t="inlineStr">
        <is>
          <t>src/main/java/com/jcabi/github/RtReferences.java</t>
        </is>
      </c>
      <c r="C930">
        <f>HYPERLINK("https://github.com/jcabi/jcabi-github/blob/master/src/main/java/com/jcabi/github/RtReferences.java")</f>
        <v/>
      </c>
      <c r="D930" t="inlineStr">
        <is>
          <t>ThegivenJavaCoderepresentsafinalclassnamed'RtReferences',whichisusedtohandlewithreferencerelateddatafromGithubAPIs.ItusesJCABIlibrariesforHTTPcommunicationandhandlingresponses.Theclasshasthreefields:'entry','request'and'owner'.TheserepresentrespectivelytheAPIentrypoint,'RESTfulrequestforthecomm</t>
        </is>
      </c>
      <c r="E930" t="n">
        <v>0</v>
      </c>
      <c r="F930" t="n">
        <v>0.1053</v>
      </c>
      <c r="G930" t="n">
        <v>0</v>
      </c>
      <c r="H930" t="inlineStr">
        <is>
          <t>```python
# This is a Python function that adds two numbers together and returns the result. 
# The time complexity of this operation is O(1), which means it takes constant time to execute regardless of the size of the input data.
def add(a, b):
    return a + b
```
The code provided here is an example of</t>
        </is>
      </c>
      <c r="I930" t="n">
        <v>0.0038</v>
      </c>
      <c r="J930" t="n">
        <v>0.09520000000000001</v>
      </c>
      <c r="K930" t="n">
        <v>0.1163</v>
      </c>
      <c r="L930" t="inlineStr">
        <is>
          <t>The provided code is a Java class named `RtReferences` that implements the interface `References` from package com.jcabi.github. 
It appears to be part of a larger GitHub REST API client library for interacting with references (e.g., branches or tags). The purpose of this class seems to be to provide an abstraction layer over the</t>
        </is>
      </c>
      <c r="M930" t="n">
        <v>0.0035</v>
      </c>
      <c r="N930" t="n">
        <v>0.0312</v>
      </c>
      <c r="O930" t="n">
        <v>0.12</v>
      </c>
    </row>
    <row r="931">
      <c r="A931" t="inlineStr">
        <is>
          <t>jcabi</t>
        </is>
      </c>
      <c r="B931" t="inlineStr">
        <is>
          <t>src/main/java/com/jcabi/github/RtBranches.java</t>
        </is>
      </c>
      <c r="C931">
        <f>HYPERLINK("https://github.com/jcabi/jcabi-github/blob/master/src/main/java/com/jcabi/github/RtBranches.java")</f>
        <v/>
      </c>
      <c r="D931" t="inlineStr">
        <is>
          <t>The code provided is a Java class named `RtBranches` which implements the interface `Branches` from package `com.jcabi.github`. This class represents branches in a GitHub repository and interacts with the RESTful API of GitHub to fetch branch information. The constructor takes two parameters - an entry point for the RESTful API (`req</t>
        </is>
      </c>
      <c r="E931" t="n">
        <v>0.0047</v>
      </c>
      <c r="F931" t="n">
        <v>0.0667</v>
      </c>
      <c r="G931" t="n">
        <v>0.122</v>
      </c>
      <c r="H931" t="inlineStr">
        <is>
          <t>The provided code is a Java class that represents branches of a GitHub repository using the JCabi library for HTTP requests and responses. The `add` method in this context appears to be an example of simple addition operation which has time complexity O(1). It's not clear what you mean by "concise, clear, and direct summary", so I will provide a brief explanation based on</t>
        </is>
      </c>
      <c r="I931" t="n">
        <v>0.0028</v>
      </c>
      <c r="J931" t="n">
        <v>0.0541</v>
      </c>
      <c r="K931" t="n">
        <v>0.1103</v>
      </c>
      <c r="L931" t="inlineStr">
        <is>
          <t>The provided code is a Java class named `RtBranches` that implements the interface `Branches` from package `com.jcabi.github`. This class interacts with GitHub's REST API to manage branches of repositories.
It uses JCabi library which provides an abstraction for HTTP requests and responses in Java. The main purpose</t>
        </is>
      </c>
      <c r="M931" t="n">
        <v>0.0051</v>
      </c>
      <c r="N931" t="n">
        <v>0.06900000000000001</v>
      </c>
      <c r="O931" t="n">
        <v>0.1681</v>
      </c>
    </row>
    <row r="932">
      <c r="A932" t="inlineStr">
        <is>
          <t>jcabi</t>
        </is>
      </c>
      <c r="B932" t="inlineStr">
        <is>
          <t>src/main/java/com/jcabi/github/UserAgent.java</t>
        </is>
      </c>
      <c r="C932">
        <f>HYPERLINK("https://github.com/jcabi/jcabi-github/blob/master/src/main/java/com/jcabi/github/UserAgent.java")</f>
        <v/>
      </c>
      <c r="D932" t="inlineStr">
        <is>
          <t>ThegivencodeisrelatedtoGitHub'sAPIabstractionlayerinJava.Itdefinesaninterfacecalled`UserAgent`thathasasinglemethodnamed`format()`whichreturnsastringrepresentinguser-agentHTTPheadervalue. The code is licensed under the MIT license and it belongs to Yegor Bugayenko (2013 - 2</t>
        </is>
      </c>
      <c r="E932" t="n">
        <v>0.0108</v>
      </c>
      <c r="F932" t="n">
        <v>0.0625</v>
      </c>
      <c r="G932" t="n">
        <v>0.0556</v>
      </c>
      <c r="H932" t="inlineStr">
        <is>
          <t>The function `add` takes two parameters (numbers a and b), adds them together using the '+' operator, then returns the result. The time complexity of this operation is O(1).
```java
public class Main {
    public static void main(String[] args) {
        System.out.println("Hello World!");  // Display the string</t>
        </is>
      </c>
      <c r="I932" t="n">
        <v>0.004</v>
      </c>
      <c r="J932" t="n">
        <v>0.0727</v>
      </c>
      <c r="K932" t="n">
        <v>0.1271</v>
      </c>
      <c r="L932" t="inlineStr">
        <is>
          <t>The provided code is for a Java interface named `UserAgent` in the package `com.jcabi.github`. This interface has one method called `format()` which returns a String representing user agent HTTP header value. The purpose of this code seems to be to provide consistent and standardized way of generating User Agent strings across different parts of JCabi's GitHub library.</t>
        </is>
      </c>
      <c r="M932" t="n">
        <v>0.0038</v>
      </c>
      <c r="N932" t="n">
        <v>0.0588</v>
      </c>
      <c r="O932" t="n">
        <v>0.1163</v>
      </c>
    </row>
    <row r="933">
      <c r="A933" t="inlineStr">
        <is>
          <t>jcabi</t>
        </is>
      </c>
      <c r="B933" t="inlineStr">
        <is>
          <t>src/main/java/com/jcabi/github/RtStatuses.java</t>
        </is>
      </c>
      <c r="C933">
        <f>HYPERLINK("https://github.com/jcabi/jcabi-github/blob/master/src/main/java/com/jcabi/github/RtStatuses.java")</f>
        <v/>
      </c>
      <c r="D933" t="inlineStr">
        <is>
          <t>ThegivencodeisaboutcommunicatingwiththeGithubAPItofetchthestatusesassociatedwithaspecificcommit.ItusesJCABI'sHTTPlibrarytoworkwithrestapiandJSONresponsesfromGithub.Therearetwoparametersinconstructorwhichdefinehttprequestandspecificcommit. Themainmethoddoesnotexistinthedocumentedcodebutmaybeusedtomake</t>
        </is>
      </c>
      <c r="E933" t="n">
        <v>0</v>
      </c>
      <c r="F933" t="n">
        <v>0</v>
      </c>
      <c r="G933" t="n">
        <v>0</v>
      </c>
      <c r="H933" t="inlineStr">
        <is>
          <t>```python
from jose import JWTError, jwt
ALGORITHM = "HS256"
SECRET_KEY = "your-secret-key"
ACCESS_TOKEN_EXPIRE_MINUTES = 30
def create_access_token(data: dict):
    to_encode = data</t>
        </is>
      </c>
      <c r="I933" t="n">
        <v>0</v>
      </c>
      <c r="J933" t="n">
        <v>0</v>
      </c>
      <c r="K933" t="n">
        <v>0</v>
      </c>
      <c r="L933" t="inlineStr">
        <is>
          <t>The provided code is a Java class named `RtStatuses` that interacts with the GitHub API to fetch statuses for a given commit. The main purpose of this class seems to be creating an object based on a specific commit and making RESTful requests using JCabi library (which provides HTTP client functionality).
```java
// SPDX-FileCopyrightText</t>
        </is>
      </c>
      <c r="M933" t="n">
        <v>0.0034</v>
      </c>
      <c r="N933" t="n">
        <v>0.0645</v>
      </c>
      <c r="O933" t="n">
        <v>0.119</v>
      </c>
    </row>
    <row r="934">
      <c r="A934" t="inlineStr">
        <is>
          <t>jcabi</t>
        </is>
      </c>
      <c r="B934" t="inlineStr">
        <is>
          <t>src/main/java/com/jcabi/github/References.java</t>
        </is>
      </c>
      <c r="C934">
        <f>HYPERLINK("https://github.com/jcabi/jcabi-github/blob/master/src/main/java/com/jcabi/github/References.java")</f>
        <v/>
      </c>
      <c r="D934" t="inlineStr">
        <is>
          <t>ThisisacodeforworkingwithGitHub'sReferencesAPI.ItdefinesaninterfacecalledReferenceswhichhasmethodstogetownerrepo(),createnewerence()andreadexistingreference(). It also throws IOException in case of any errors during these operations. The complexity is O(N), indicating that the time taken may increase linearly with the size of input data. This code</t>
        </is>
      </c>
      <c r="E934" t="n">
        <v>0.0056</v>
      </c>
      <c r="F934" t="n">
        <v>0.0435</v>
      </c>
      <c r="G934" t="n">
        <v>0.0476</v>
      </c>
      <c r="H934" t="inlineStr">
        <is>
          <t>The function `add` in the provided code takes two parameters (numbers), adds them together and returns the result. It has a time complexity of O(1) as it performs only one operation regardless of input size. The summary provides an overview of its functionality which is to add two numbers.
The README file explains that this repository contains backend software components written for various algorithms.</t>
        </is>
      </c>
      <c r="I934" t="n">
        <v>0.0037</v>
      </c>
      <c r="J934" t="n">
        <v>0.0548</v>
      </c>
      <c r="K934" t="n">
        <v>0.1471</v>
      </c>
      <c r="L934" t="inlineStr">
        <is>
          <t>The provided code is a Java interface named "References". This interface provides methods for managing references in the GitHub system. The main purpose of this class seems to be interacting with the GitHub References API which allows creation and retrieval of git references (like branches or tags). 
The 'repo()' method returns the repository that owns these references. The 'create(String</t>
        </is>
      </c>
      <c r="M934" t="n">
        <v>0.0037</v>
      </c>
      <c r="N934" t="n">
        <v>0.0588</v>
      </c>
      <c r="O934" t="n">
        <v>0.07630000000000001</v>
      </c>
    </row>
    <row r="935">
      <c r="A935" t="inlineStr">
        <is>
          <t>jcabi</t>
        </is>
      </c>
      <c r="B935" t="inlineStr">
        <is>
          <t>src/main/java/com/jcabi/github/Milestones.java</t>
        </is>
      </c>
      <c r="C935">
        <f>HYPERLINK("https://github.com/jcabi/jcabi-github/blob/master/src/main/java/com/jcabi/github/Milestones.java")</f>
        <v/>
      </c>
      <c r="D935" t="inlineStr">
        <is>
          <t>The provided code defines an interface `Milestones` for interacting with GitHub's Milestones API. It provides methods to create a milestone and get specific milestones by number from the repository associated with this interface instance. The implementation of these methods is not included in the given code but it should be available since it follows standard Java conventions.
The interface has two</t>
        </is>
      </c>
      <c r="E935" t="n">
        <v>0.003</v>
      </c>
      <c r="F935" t="n">
        <v>0.0571</v>
      </c>
      <c r="G935" t="n">
        <v>0.1128</v>
      </c>
      <c r="H935" t="inlineStr">
        <is>
          <t>The provided code is a Java interface for interacting with GitHub's Milestones API. The functionality includes creating milestones and retrieving specific ones based on their numbers.
Here are the methods defined in this interface: 
`repo()` - Returns the repository that owns these milestones.
`create(String title) throws IOException` - Creates</t>
        </is>
      </c>
      <c r="I935" t="n">
        <v>0.0045</v>
      </c>
      <c r="J935" t="n">
        <v>0.0702</v>
      </c>
      <c r="K935" t="n">
        <v>0.124</v>
      </c>
      <c r="L935" t="inlineStr">
        <is>
          <t>The provided code is a Java interface named `Milestones` that defines the functionality of GitHub's milestone API. It provides methods for creating and retrieving specific milestones on repositories in GitHub. The main purpose of this class seems to be managing issues within project management systems by assigning them to different 'milestones', or categories based on their status (e.</t>
        </is>
      </c>
      <c r="M935" t="n">
        <v>0.0037</v>
      </c>
      <c r="N935" t="n">
        <v>0.0597</v>
      </c>
      <c r="O935" t="n">
        <v>0.1154</v>
      </c>
    </row>
    <row r="936">
      <c r="A936" t="inlineStr">
        <is>
          <t>jcabi</t>
        </is>
      </c>
      <c r="B936" t="inlineStr">
        <is>
          <t>src/main/java/com/jcabi/github/RtGistComment.java</t>
        </is>
      </c>
      <c r="C936">
        <f>HYPERLINK("https://github.com/jcabi/jcabi-github/blob/master/src/main/java/com/jcabi/github/RtGistComment.java")</f>
        <v/>
      </c>
      <c r="D936" t="inlineStr">
        <is>
          <t>The code is a Java class named `RtGistComment` that implements the interface `GistComment` from package `com.jcabi.github`. It has three private final transient fields - `request` (type Request), `owner` (type Gist), and `num` (type int). The class also uses Lombok annotations to generate</t>
        </is>
      </c>
      <c r="E936" t="n">
        <v>0.0052</v>
      </c>
      <c r="F936" t="n">
        <v>0.0784</v>
      </c>
      <c r="G936" t="n">
        <v>0.1316</v>
      </c>
      <c r="H936" t="inlineStr">
        <is>
          <t>```python
from jose import JWTError, jwt
ALGORITHM = "HS256"
SECRET_KEY = "mysecretkey"
TOKEN_URL = "/login/oauth/access_token"
def create_access_token(*, data: dict, expires_delta: timed</t>
        </is>
      </c>
      <c r="I936" t="n">
        <v>0</v>
      </c>
      <c r="J936" t="n">
        <v>0</v>
      </c>
      <c r="K936" t="n">
        <v>0</v>
      </c>
      <c r="L936" t="inlineStr">
        <is>
          <t>Thegivensourcecodeappearsnottobefunctioningproperly.Itdoesnothaveanymethodstoexecuteandsomemethodsinvocationsdonotseemcorrect.
I am looking for a concise and clear summary of the functionality of this provided code snippet. The code is written in Java and it appears to be dealing with GitHub gists</t>
        </is>
      </c>
      <c r="M936" t="n">
        <v>0.0067</v>
      </c>
      <c r="N936" t="n">
        <v>0.09520000000000001</v>
      </c>
      <c r="O936" t="n">
        <v>0.1905</v>
      </c>
    </row>
    <row r="937">
      <c r="A937" t="inlineStr">
        <is>
          <t>jcabi</t>
        </is>
      </c>
      <c r="B937" t="inlineStr">
        <is>
          <t>src/main/java/com/jcabi/github/RtTags.java</t>
        </is>
      </c>
      <c r="C937">
        <f>HYPERLINK("https://github.com/jcabi/jcabi-github/blob/master/src/main/java/com/jcabi/github/RtTags.java")</f>
        <v/>
      </c>
      <c r="D937" t="inlineStr">
        <is>
          <t>```python
# SPDX-FileCopyrightText: Copyright (c) 2013-2026 Yegor Bugayenko
# SPDX-License-Identifier: MIT
"""Module for interacting with GitHub tags."""
from jcabi_github import Tags
from jcabi_aspects import Imm</t>
        </is>
      </c>
      <c r="E937" t="n">
        <v>0</v>
      </c>
      <c r="F937" t="n">
        <v>0.0541</v>
      </c>
      <c r="G937" t="n">
        <v>0</v>
      </c>
      <c r="H937" t="inlineStr">
        <is>
          <t>**/publicRtTagsimplementation(Request req, Repo repo){this.entry = req; this.request = request; this.owner = owner;}publicJsonObjecttags()throws IOException{returnnewJsonResponse((RestResponse) entry.fetch().as(String.class)).asJson();}
```
Please provide a concise, clear and direct summary</t>
        </is>
      </c>
      <c r="I937" t="n">
        <v>0.0083</v>
      </c>
      <c r="J937" t="n">
        <v>0.09760000000000001</v>
      </c>
      <c r="K937" t="n">
        <v>0.0526</v>
      </c>
      <c r="L937" t="inlineStr">
        <is>
          <t>**/publicRtTagsimplementstags(Requestreq,Repoownerr){this.entry=req;this.request=request;this.owner=owner;}/***Getterfor'entry'.***@returnRequesttheentryrequestSummary:###Response:**/public Request getEntry(){return this.entry;}/***Getterfor'request'.***@return</t>
        </is>
      </c>
      <c r="M937" t="n">
        <v>0</v>
      </c>
      <c r="N937" t="n">
        <v>0.0606</v>
      </c>
      <c r="O937" t="n">
        <v>0</v>
      </c>
    </row>
    <row r="938">
      <c r="A938" t="inlineStr">
        <is>
          <t>jcabi</t>
        </is>
      </c>
      <c r="B938" t="inlineStr">
        <is>
          <t>src/main/java/com/jcabi/github/RtValuePagination.java</t>
        </is>
      </c>
      <c r="C938">
        <f>HYPERLINK("https://github.com/jcabi/jcabi-github/blob/master/src/main/java/com/jcabi/github/RtValuePagination.java")</f>
        <v/>
      </c>
      <c r="D938" t="inlineStr">
        <is>
          <t>The code is a Java implementation of GitHub's value pagination feature for API responses from the GitHub v3 REST endpoints. It uses JCabi library to handle HTTP requests and responses in an immutable way. The class implements Iterable interface which allows it to be used with enhanced 'for loop'. This means you can iterate over all elements returned by this object without knowing</t>
        </is>
      </c>
      <c r="E938" t="n">
        <v>0.0038</v>
      </c>
      <c r="F938" t="n">
        <v>0.0556</v>
      </c>
      <c r="G938" t="n">
        <v>0.1481</v>
      </c>
      <c r="H938" t="inlineStr">
        <is>
          <t>Yourconcise,clearsummaryis:"ThegivencodeusesJCabi'sHTTPclienttointeractwiththeGitHubAPI.ItperformsGETrequestsonavarietyofresourceslikeissues,pullrequestsandsnippets.Eachresourcecanbeaccessedusingdifferentmethodsdependinguponwhatinformationyouwanttotakefromthem."
```python</t>
        </is>
      </c>
      <c r="I938" t="n">
        <v>0</v>
      </c>
      <c r="J938" t="n">
        <v>0</v>
      </c>
      <c r="K938" t="n">
        <v>0</v>
      </c>
      <c r="L938" t="inlineStr">
        <is>
          <t>ThegivenJavaSRCcodefilerepresentsanobjectorientedapproachtoworkingwithGithubAPIusingJCABIlibraries.ItusesHTTPrequeststoacquiredatafromGithubservers.###Input:Aninstanceofthisclassrequiresatypeforiterablesandanothertypeforsources.Thesewilldeterminethetypesofobjectsreturnedbytheiteratorandthose</t>
        </is>
      </c>
      <c r="M938" t="n">
        <v>0</v>
      </c>
      <c r="N938" t="n">
        <v>0</v>
      </c>
      <c r="O938" t="n">
        <v>0</v>
      </c>
    </row>
    <row r="939">
      <c r="A939" t="inlineStr">
        <is>
          <t>jcabi</t>
        </is>
      </c>
      <c r="B939" t="inlineStr">
        <is>
          <t>src/main/java/com/jcabi/github/Event.java</t>
        </is>
      </c>
      <c r="C939">
        <f>HYPERLINK("https://github.com/jcabi/jcabi-github/blob/master/src/main/java/com/jcabi/github/Event.java")</f>
        <v/>
      </c>
      <c r="D939" t="inlineStr">
        <is>
          <t>The code provided is a Java interface named `Event` that extends the `Comparable&lt;Event&gt;` and implements the `JsonReadable` interfaces from the 'com.jcabi.github' package. This interface represents an event in GitHub which can be of different types such as "closed". The implementation details are not provided here but it seems to work with JSON data obtained via the</t>
        </is>
      </c>
      <c r="E939" t="n">
        <v>0.0043</v>
      </c>
      <c r="F939" t="n">
        <v>0.0597</v>
      </c>
      <c r="G939" t="n">
        <v>0.1563</v>
      </c>
      <c r="H939" t="inlineStr">
        <is>
          <t>```python
# This is a simple Python function that adds two numbers together and returns the result. 
# The time complexity of this operation is O(1), as it performs a single arithmetic operation (adding).
def add(a, b):
    return a + b
```
```</t>
        </is>
      </c>
      <c r="I939" t="n">
        <v>0.0051</v>
      </c>
      <c r="J939" t="n">
        <v>0.125</v>
      </c>
      <c r="K939" t="n">
        <v>0.1304</v>
      </c>
      <c r="L939" t="inlineStr">
        <is>
          <t>```plaintext
The provided code is a Java interface named `Event` that extends the `Comparable` and `JsonReadable` interfaces from Jcabi's GitHub library. This interface represents an event in the context of GitHub issues. It contains several constants representing different types of events such as "closed". 
It also provides methods for getting various information about</t>
        </is>
      </c>
      <c r="M939" t="n">
        <v>0.0041</v>
      </c>
      <c r="N939" t="n">
        <v>0.0323</v>
      </c>
      <c r="O939" t="n">
        <v>0.08</v>
      </c>
    </row>
    <row r="940">
      <c r="A940" t="inlineStr">
        <is>
          <t>jcabi</t>
        </is>
      </c>
      <c r="B940" t="inlineStr">
        <is>
          <t>src/main/java/com/jcabi/github/Blob.java</t>
        </is>
      </c>
      <c r="C940">
        <f>HYPERLINK("https://github.com/jcabi/jcabi-github/blob/master/src/main/java/com/jcabi/github/Blob.java")</f>
        <v/>
      </c>
      <c r="D940" t="inlineStr">
        <is>
          <t>The provided code is a Java interface `Blob` that extends the `JsonReadable` class from JCabi library for GitHub API v3's Blobs API. The interface has one method `sha()` which returns SHA of blob. There is also an immutable and loggable implementation class named Smart implemented by this interface called `Smart`. This class</t>
        </is>
      </c>
      <c r="E940" t="n">
        <v>0.0042</v>
      </c>
      <c r="F940" t="n">
        <v>0.0328</v>
      </c>
      <c r="G940" t="n">
        <v>0.121</v>
      </c>
      <c r="H940" t="inlineStr">
        <is>
          <t>The provided code is a Java interface for the GitHub Blob API. It defines methods to get the SHA of a blob and also provides smart implementation with extra features like logging and JSON parsing. The complexity of this function is O(1), as it only performs constant time operations regardless of input size.
Here's an overview of what each part does in more detail</t>
        </is>
      </c>
      <c r="I940" t="n">
        <v>0.0028</v>
      </c>
      <c r="J940" t="n">
        <v>0.0541</v>
      </c>
      <c r="K940" t="n">
        <v>0.1471</v>
      </c>
      <c r="L940" t="inlineStr">
        <is>
          <t>The code provided is a Java interface named `Blob` that extends the `JsonReadable` class from JCabi library for GitHub API integration. The purpose of this code seems to be handling blob objects in Git repositories which are essentially binary files or data blocks used by version control systems like git and can also be stored as JSON format.
The main functionality includes two</t>
        </is>
      </c>
      <c r="M940" t="n">
        <v>0.0034</v>
      </c>
      <c r="N940" t="n">
        <v>0.0563</v>
      </c>
      <c r="O940" t="n">
        <v>0.1111</v>
      </c>
    </row>
    <row r="941">
      <c r="A941" t="inlineStr">
        <is>
          <t>jcabi</t>
        </is>
      </c>
      <c r="B941" t="inlineStr">
        <is>
          <t>src/main/java/com/jcabi/github/RtPullComments.java</t>
        </is>
      </c>
      <c r="C941">
        <f>HYPERLINK("https://github.com/jcabi/jcabi-github/blob/master/src/main/java/com/jcabi/github/RtPullComments.java")</f>
        <v/>
      </c>
      <c r="D941" t="inlineStr">
        <is>
          <t>Thecodeisbeingrefactoredtobeacommentingtoolforagivenrepository.ItusesJCABIlibrarieswhichallowstotheintegrationwithvariousAPIsincludingGithub's.ThecodehasbeenwritteninJavaandfollowsobjectorientedprogrammingprinciples.Themainfocusofthedesignpatternshavebeneaththiscodeisimmutability,</t>
        </is>
      </c>
      <c r="E941" t="n">
        <v>0</v>
      </c>
      <c r="F941" t="n">
        <v>0</v>
      </c>
      <c r="G941" t="n">
        <v>0</v>
      </c>
      <c r="H941" t="inlineStr">
        <is>
          <t>Thegivenproblemisaboutaddingtwonumbers.However,inthiscasewehaveacodewhichdoesnotseemtobeusingstandardoperationsforaddingnumbersbutinsteadusesagithubapi.Therefore,IwillneedtounderstandhowtheseapicallsworkbeforeIcancorrectlysolvethisproblem.
```python
from github import Github
#</t>
        </is>
      </c>
      <c r="I941" t="n">
        <v>0</v>
      </c>
      <c r="J941" t="n">
        <v>0</v>
      </c>
      <c r="K941" t="n">
        <v>0</v>
      </c>
      <c r="L941" t="inlineStr">
        <is>
          <t>**/publicRtPullCommentseven(Requestentry,Requestrequest,Pullowner){this.requestentry=requestentry;this.requestrequest=requestrequest;this.pullowner=pullowner;}/*Getters*/publicStringgetLogin(){return this.requestentry.fetch().asString();}publicintgetId(){return this.requestrequest.fetch().asInt</t>
        </is>
      </c>
      <c r="M941" t="n">
        <v>0</v>
      </c>
      <c r="N941" t="n">
        <v>0.0588</v>
      </c>
      <c r="O941" t="n">
        <v>0</v>
      </c>
    </row>
    <row r="942">
      <c r="A942" t="inlineStr">
        <is>
          <t>jcabi</t>
        </is>
      </c>
      <c r="B942" t="inlineStr">
        <is>
          <t>src/main/java/com/jcabi/github/RtIssues.java</t>
        </is>
      </c>
      <c r="C942">
        <f>HYPERLINK("https://github.com/jcabi/jcabi-github/blob/master/src/main/java/com/jcabi/github/RtIssues.java")</f>
        <v/>
      </c>
      <c r="D942" t="inlineStr">
        <is>
          <t>```
The code you provided is a Java class named `RtIssues` which extends an interface called `Issues` and implements some functionalities related to GitHub issues. This class uses several external libraries such as jcabi for HTTP requests, JSON processing etc., and it also makes use of Lombok's features like @Immutable (which ensures the object'</t>
        </is>
      </c>
      <c r="E942" t="n">
        <v>0.0045</v>
      </c>
      <c r="F942" t="n">
        <v>0.0968</v>
      </c>
      <c r="G942" t="n">
        <v>0.1587</v>
      </c>
      <c r="H942" t="inlineStr">
        <is>
          <t>```python
# This is a Python code snippet that defines the function add() for adding two numbers. 
def add(a, b):
    return a + b
```
The functionality of this code is to take in two parameters (numbers), and returns their sum. The time complexity of this operation is O(1). It's</t>
        </is>
      </c>
      <c r="I942" t="n">
        <v>0.0048</v>
      </c>
      <c r="J942" t="n">
        <v>0.1034</v>
      </c>
      <c r="K942" t="n">
        <v>0.123</v>
      </c>
      <c r="L942" t="inlineStr">
        <is>
          <t>The purpose of this code is to interact with the GitHub API and retrieve issues from a repository. It does so by making HTTP requests using JCabi libraries for handling RESTful responses and parsing JSON data. The main functionality includes creating an instance of `RtIssues` providing necessary details such as entry point URL, request object, and owner name. This class also implements the '</t>
        </is>
      </c>
      <c r="M942" t="n">
        <v>0.004</v>
      </c>
      <c r="N942" t="n">
        <v>0.08450000000000001</v>
      </c>
      <c r="O942" t="n">
        <v>0.1471</v>
      </c>
    </row>
    <row r="943">
      <c r="A943" t="inlineStr">
        <is>
          <t>jcabi</t>
        </is>
      </c>
      <c r="B943" t="inlineStr">
        <is>
          <t>src/main/java/com/jcabi/github/wire/package-info.java</t>
        </is>
      </c>
      <c r="C943">
        <f>HYPERLINK("https://github.com/jcabi/jcabi-github/blob/master/src/main/java/com/jcabi/github/wire/package-info.java")</f>
        <v/>
      </c>
      <c r="D943" t="inlineStr">
        <is>
          <t>The code is a part of the jCabi GitHub library which contains backend software components related to communication with GitHub API using Java. It implements core algorithms and has been used in initial commit for setting up this repository. The complexity is O(N), where N represents number of wires (connections). This code size is 156 lines long.
Please note that I</t>
        </is>
      </c>
      <c r="E943" t="n">
        <v>0.007900000000000001</v>
      </c>
      <c r="F943" t="n">
        <v>0.1143</v>
      </c>
      <c r="G943" t="n">
        <v>0.3206</v>
      </c>
      <c r="H943" t="inlineStr">
        <is>
          <t>ThegivenJavaCodesimpleGitHubclientthatusesJcabi'sGHAPItoaccessdatafromagithubaccountiscomplexwithacomplexityofON.Ithascommentsdescribingthepurposeofeachmethodinthesourcefile.Therearealsocommitsinvolvedindicatingchangesovertime.Thesizeofthiscoderepresentshowmanylinestherearetot</t>
        </is>
      </c>
      <c r="I943" t="n">
        <v>0</v>
      </c>
      <c r="J943" t="n">
        <v>0</v>
      </c>
      <c r="K943" t="n">
        <v>0</v>
      </c>
      <c r="L943" t="inlineStr">
        <is>
          <t>The provided code file appears to be a Java class that implements the Wire protocol for interacting with GitHub API v3 using jGitHub library by Yegor Bugayenko. The main purpose of this class is to establish and manage connections between different parts of an application (like front end or back end components). It does so through the use of HTTP requests to interact with the</t>
        </is>
      </c>
      <c r="M943" t="n">
        <v>0.0033</v>
      </c>
      <c r="N943" t="n">
        <v>0.0548</v>
      </c>
      <c r="O943" t="n">
        <v>0.146</v>
      </c>
    </row>
    <row r="944">
      <c r="A944" t="inlineStr">
        <is>
          <t>jcabi</t>
        </is>
      </c>
      <c r="B944" t="inlineStr">
        <is>
          <t>src/main/java/com/jcabi/github/wire/RetryCarefulWire.java</t>
        </is>
      </c>
      <c r="C944">
        <f>HYPERLINK("https://github.com/jcabi/jcabi-github/blob/master/src/main/java/com/jcabi/github/wire/RetryCarefulWire.java")</f>
        <v/>
      </c>
      <c r="D944" t="inlineStr">
        <is>
          <t>The code provided is a wrapper for the JCabi library's HTTP client (`com.jcabi.http.Wire`). It provides functionality to retry failed requests and limit the number of remaining requests per hour before giving up. The `RetryCarefulWire` class wraps around another wire that may be more careful in handling exceptions or timeouts than usual.</t>
        </is>
      </c>
      <c r="E944" t="n">
        <v>0.0043</v>
      </c>
      <c r="F944" t="n">
        <v>0.0635</v>
      </c>
      <c r="G944" t="n">
        <v>0.0813</v>
      </c>
      <c r="H944" t="inlineStr">
        <is>
          <t>The summary of the provided code is as follows:
```plaintext
Name: RetryCarefulWire
Description: This class wraps a RetryWire and CarefulWire around an underlying wire to handle rate limiting and other issues that may arise during HTTP requests. It waits if the number of remaining requests per hour is less than a given threshold, retries</t>
        </is>
      </c>
      <c r="I944" t="n">
        <v>0.004</v>
      </c>
      <c r="J944" t="n">
        <v>0.0645</v>
      </c>
      <c r="K944" t="n">
        <v>0.0794</v>
      </c>
      <c r="L944" t="inlineStr">
        <is>
          <t>The code provided is a Java class that wraps around the `RetryWire` and `CarefulWire` classes from JCabi library to create a new wire named `RetryCarefulWire`. This class seems to implement a retry mechanism for HTTP requests made by an instance of `GitHub` object using this custom Wire implementation.
It</t>
        </is>
      </c>
      <c r="M944" t="n">
        <v>0.0045</v>
      </c>
      <c r="N944" t="n">
        <v>0.0702</v>
      </c>
      <c r="O944" t="n">
        <v>0.1653</v>
      </c>
    </row>
    <row r="945">
      <c r="A945" t="inlineStr">
        <is>
          <t>jcabi</t>
        </is>
      </c>
      <c r="B945" t="inlineStr">
        <is>
          <t>src/main/java/com/jcabi/github/wire/CarefulWire.java</t>
        </is>
      </c>
      <c r="C945">
        <f>HYPERLINK("https://github.com/jcabi/jcabi-github/blob/master/src/main/java/com/jcabi/github/wire/CarefulWire.java")</f>
        <v/>
      </c>
      <c r="D945" t="inlineStr">
        <is>
          <t>The code you provided is a Java class for a wire that waits if the number of remaining requests per hour is less than a given threshold as defined by GitHub's rate limiting rules. The implementation uses JCabi libraries to make HTTP requests and handle responses. It also logs information about rate limits in each response using Lombok annotations for better readability. This class has O(</t>
        </is>
      </c>
      <c r="E945" t="n">
        <v>0.0033</v>
      </c>
      <c r="F945" t="n">
        <v>0.0533</v>
      </c>
      <c r="G945" t="n">
        <v>0.1449</v>
      </c>
      <c r="H945" t="inlineStr">
        <is>
          <t>Thegivenreadmehasnocodeexamples.Itseemslikeamultilanguageprogrammingassistantwithsupportforvariousfeaturesincludingcodecompletion,errorchecking,andformatting.However,therearenospecificfunctionslistedtoexplain.
ariables:
    - name: "user_id"
      type: string
      description: The ID</t>
        </is>
      </c>
      <c r="I945" t="n">
        <v>0</v>
      </c>
      <c r="J945" t="n">
        <v>0</v>
      </c>
      <c r="K945" t="n">
        <v>0</v>
      </c>
      <c r="L945" t="inlineStr">
        <is>
          <t>ThegivenJavacodeusesJCabi'sHTTPlibrarytogetrateinformationfromresponsesreceivedfromGithubAPI.ItalsousesLombokforautomaticallygeneratedgettersandsetters.TheclasshasaconstructorwhichacceptsaThrottlingPolicyobject.Thethrottlingpolicydefineshowmanyunprocessedrequestsareallowedinanhourbeforewaiting</t>
        </is>
      </c>
      <c r="M945" t="n">
        <v>0</v>
      </c>
      <c r="N945" t="n">
        <v>0</v>
      </c>
      <c r="O945" t="n">
        <v>0</v>
      </c>
    </row>
    <row r="946">
      <c r="A946" t="inlineStr">
        <is>
          <t>jcabi</t>
        </is>
      </c>
      <c r="B946" t="inlineStr">
        <is>
          <t>src/main/java/com/jcabi/github/mock/MkStatuses.java</t>
        </is>
      </c>
      <c r="C946">
        <f>HYPERLINK("https://github.com/jcabi/jcabi-github/blob/master/src/main/java/com/jcabi/github/mock/MkStatuses.java")</f>
        <v/>
      </c>
      <c r="D946" t="inlineStr">
        <is>
          <t>The provided code is a mock implementation of the GitHub commit statuses using Jcabi library in Java. It represents an immutable class `MkStatuses` which implements the interface `Statuses` from com.jcabi.github package. The class has one field named 'cmmt', representing a Commit object and overrides the method 'commit()'. This mock class does not</t>
        </is>
      </c>
      <c r="E946" t="n">
        <v>0.0046</v>
      </c>
      <c r="F946" t="n">
        <v>0.0645</v>
      </c>
      <c r="G946" t="n">
        <v>0.1613</v>
      </c>
      <c r="H946" t="inlineStr">
        <is>
          <t>The function `add` adds two numbers together and returns the result. It takes in two parameters (numbers a and b), performs an addition operation on them, and then returns the sum as output. The time complexity of this function is O(1), meaning it executes in constant time regardless of the size of input values.
&lt;jreadme.md&gt;: 57 lines</t>
        </is>
      </c>
      <c r="I946" t="n">
        <v>0.0032</v>
      </c>
      <c r="J946" t="n">
        <v>0.0597</v>
      </c>
      <c r="K946" t="n">
        <v>0.155</v>
      </c>
      <c r="L946" t="inlineStr">
        <is>
          <t>The code provided is a mock class for GitHub commit statuses in Java named MkStatuses. This class implements the Statuses interface from jcabi-github library and represents a commit whose statuses are being mocked. The purpose of this class seems to be as follows: 
It provides an immutable object that encapsulates information about a specific commit (represented</t>
        </is>
      </c>
      <c r="M946" t="n">
        <v>0.0043</v>
      </c>
      <c r="N946" t="n">
        <v>0.09229999999999999</v>
      </c>
      <c r="O946" t="n">
        <v>0.1172</v>
      </c>
    </row>
    <row r="947">
      <c r="A947" t="inlineStr">
        <is>
          <t>jcabi</t>
        </is>
      </c>
      <c r="B947" t="inlineStr">
        <is>
          <t>src/main/java/com/jcabi/github/mock/MkGist.java</t>
        </is>
      </c>
      <c r="C947">
        <f>HYPERLINK("https://github.com/jcabi/jcabi-github/blob/master/src/main/java/com/jcabi/github/mock/MkGist.java")</f>
        <v/>
      </c>
      <c r="D947" t="inlineStr">
        <is>
          <t>The provided code is a mock implementation of the Github Gist interface using JCabi library for Java. It's designed to be immutable and loggable with DEBUG level logging enabled. The class has methods that are expected to return various information about gists like their IDs or content but currently they do not implement these functionalities as it seems there might be some misunderstanding in</t>
        </is>
      </c>
      <c r="E947" t="n">
        <v>0.0028</v>
      </c>
      <c r="F947" t="n">
        <v>0.0548</v>
      </c>
      <c r="G947" t="n">
        <v>0.1471</v>
      </c>
      <c r="H947" t="inlineStr">
        <is>
          <t>The provided code is a mock class for Github gist functionality in Java using JCabi library. It implements the Gist interface and contains methods to interact with GitHub's gist API such as creating new gists, fetching existing ones, adding comments etc. The complexity of this function is O(n), where n represents the number of operations performed on the storage object. This</t>
        </is>
      </c>
      <c r="I947" t="n">
        <v>0.0042</v>
      </c>
      <c r="J947" t="n">
        <v>0.0563</v>
      </c>
      <c r="K947" t="n">
        <v>0.188</v>
      </c>
      <c r="L947" t="inlineStr">
        <is>
          <t>The code provided is a Java class named `MkGist` that implements the Gist interface from JCabi library for GitHub API in Java. This class appears to be part of an application designed as a mock object for testing purposes. 
It has several methods and attributes defined but no method bodies are present. The purpose of this class seems to be to interact with the</t>
        </is>
      </c>
      <c r="M947" t="n">
        <v>0.0037</v>
      </c>
      <c r="N947" t="n">
        <v>0.0556</v>
      </c>
      <c r="O947" t="n">
        <v>0.1838</v>
      </c>
    </row>
    <row r="948">
      <c r="A948" t="inlineStr">
        <is>
          <t>jcabi</t>
        </is>
      </c>
      <c r="B948" t="inlineStr">
        <is>
          <t>src/main/java/com/jcabi/github/mock/MkRelease.java</t>
        </is>
      </c>
      <c r="C948">
        <f>HYPERLINK("https://github.com/jcabi/jcabi-github/blob/master/src/main/java/com/jcabi/github/mock/MkRelease.java")</f>
        <v/>
      </c>
      <c r="D948" t="inlineStr">
        <is>
          <t>The code is a mock implementation of the GitHub Release class in Java. It provides functionality for creating and managing releases on GitHub repositories. The release has features such as storage, user login information, repository coordinates, release ID, public constructor, and more. However, without knowing the specific details about this code, it's hard to provide a concise summary. Please provide further context or</t>
        </is>
      </c>
      <c r="E948" t="n">
        <v>0.0034</v>
      </c>
      <c r="F948" t="n">
        <v>0.0833</v>
      </c>
      <c r="G948" t="n">
        <v>0.1481</v>
      </c>
      <c r="H948" t="inlineStr">
        <is>
          <t>The provided code is a mock GitHub release class that implements the Release interface from jcabi-github library in Java. It has several private fields and methods for storing data about storage, user login status, repository coordinates, release id etc., along with constructors, getters and setters. The class also uses Lombok's @ToString annotation to generate an overridden toString</t>
        </is>
      </c>
      <c r="I948" t="n">
        <v>0.0038</v>
      </c>
      <c r="J948" t="n">
        <v>0.0597</v>
      </c>
      <c r="K948" t="n">
        <v>0.1163</v>
      </c>
      <c r="L948" t="inlineStr">
        <is>
          <t>```python
# Code Summary
The provided code is a mock implementation of the GitHub release functionality using JCabi library in Java. 
It creates an immutable class `MkRelease` that represents a Release on GitHub and provides methods to interact with it such as getting details about the release, its assets etc. The main purpose of this code seems to be creating</t>
        </is>
      </c>
      <c r="M948" t="n">
        <v>0.0036</v>
      </c>
      <c r="N948" t="n">
        <v>0.0896</v>
      </c>
      <c r="O948" t="n">
        <v>0.1515</v>
      </c>
    </row>
    <row r="949">
      <c r="A949" t="inlineStr">
        <is>
          <t>jcabi</t>
        </is>
      </c>
      <c r="B949" t="inlineStr">
        <is>
          <t>src/main/java/com/jcabi/github/mock/MkPublicMembers.java</t>
        </is>
      </c>
      <c r="C949">
        <f>HYPERLINK("https://github.com/jcabi/jcabi-github/blob/master/src/main/java/com/jcabi/github/mock/MkPublicMembers.java")</f>
        <v/>
      </c>
      <c r="D949" t="inlineStr">
        <is>
          <t>The code provided is a mock implementation of the GitHub's Organization Members API using JCabi library in Java. It provides functionality to get public members of a given organization from GitHub. The complexity of this operation is O(n), where n represents number of users in an organization. This class has methods for storage and organization objects which are not shown here but are used as part of its</t>
        </is>
      </c>
      <c r="E949" t="n">
        <v>0.0035</v>
      </c>
      <c r="F949" t="n">
        <v>0.0769</v>
      </c>
      <c r="G949" t="n">
        <v>0.1429</v>
      </c>
      <c r="H949" t="inlineStr">
        <is>
          <t>The provided code is a Java class that implements the PublicMembers interface from JCabi's GitHub library. This class represents mock public members of a GitHub organization. The implementation fetches and stores data about users who are publicly accessible in an organization on GitHub via its API. It also provides methods to add new members or remove existing ones.
The function `add` takes</t>
        </is>
      </c>
      <c r="I949" t="n">
        <v>0.0039</v>
      </c>
      <c r="J949" t="n">
        <v>0.08450000000000001</v>
      </c>
      <c r="K949" t="n">
        <v>0.1493</v>
      </c>
      <c r="L949" t="inlineStr">
        <is>
          <t>The provided code is a mock implementation of the GitHub Organization Members API using JCabi library in Java. The purpose of this class `MkPublicMembers` is to provide an interface for interacting with public members of a given organization on GitHub. It implements the PublicMembers interface from the JCabi library and uses two private fields - storage (representing some kind of persistent data store like</t>
        </is>
      </c>
      <c r="M949" t="n">
        <v>0.0034</v>
      </c>
      <c r="N949" t="n">
        <v>0.08450000000000001</v>
      </c>
      <c r="O949" t="n">
        <v>0.1471</v>
      </c>
    </row>
    <row r="950">
      <c r="A950" t="inlineStr">
        <is>
          <t>jcabi</t>
        </is>
      </c>
      <c r="B950" t="inlineStr">
        <is>
          <t>src/main/java/com/jcabi/github/mock/MkUserEmails.java</t>
        </is>
      </c>
      <c r="C950">
        <f>HYPERLINK("https://github.com/jcabi/jcabi-github/blob/master/src/main/java/com/jcabi/github/mock/MkUserEmails.java")</f>
        <v/>
      </c>
      <c r="D950" t="inlineStr">
        <is>
          <t>The code provided is a mock implementation of the `UserEmails` class from JCabi's GitHub library in Java. This class provides functionality to manage user emails on GitHub via an interface (`UserEmails`). The class has been annotated with immutability (@Immutable), logging capabilities (@Loggable), and other lombok annotations for better object handling</t>
        </is>
      </c>
      <c r="E950" t="n">
        <v>0.0048</v>
      </c>
      <c r="F950" t="n">
        <v>0.1017</v>
      </c>
      <c r="G950" t="n">
        <v>0.1639</v>
      </c>
      <c r="H950" t="inlineStr">
        <is>
          <t>The provided code is a Java class that implements the UserEmails interface from JCabi's GitHub library. It provides an add method for adding two numbers (numbers are not used in this context). The complexity of this function is O(1), meaning it has constant time complexity since no loop or recursion operations are performed.
In terms of functionality, this class appears</t>
        </is>
      </c>
      <c r="I950" t="n">
        <v>0.003</v>
      </c>
      <c r="J950" t="n">
        <v>0.0571</v>
      </c>
      <c r="K950" t="n">
        <v>0.1136</v>
      </c>
      <c r="L950" t="inlineStr">
        <is>
          <t>```python
# This is a Python code snippet that defines the class MockGitHubUserEmails which implements UserEmails from jcabi-github library in Java. 
# The purpose of this class seems to be to mock GitHub user emails for testing purposes. It uses an XML mapping and storage system internally.
# The main functionality appears to</t>
        </is>
      </c>
      <c r="M950" t="n">
        <v>0.0049</v>
      </c>
      <c r="N950" t="n">
        <v>0.1017</v>
      </c>
      <c r="O950" t="n">
        <v>0.16</v>
      </c>
    </row>
    <row r="951">
      <c r="A951" t="inlineStr">
        <is>
          <t>jcabi</t>
        </is>
      </c>
      <c r="B951" t="inlineStr">
        <is>
          <t>src/main/java/com/jcabi/github/mock/MkContents.java</t>
        </is>
      </c>
      <c r="C951">
        <f>HYPERLINK("https://github.com/jcabi/jcabi-github/blob/master/src/main/java/com/jcabi/github/mock/MkContents.java")</f>
        <v/>
      </c>
      <c r="D951" t="inlineStr">
        <is>
          <t>The code provided is a mock implementation of the GitHub Contents interface using JCabi library in Java. It provides functionality to simulate contents (files and directories) within a repository on GitHub. The class `MkContents` implements the `Contents` interface from the JCabi GitHub package. 
It has three private fields - storage, self, and coords which</t>
        </is>
      </c>
      <c r="E951" t="n">
        <v>0.0045</v>
      </c>
      <c r="F951" t="n">
        <v>0.0984</v>
      </c>
      <c r="G951" t="n">
        <v>0.119</v>
      </c>
      <c r="H951" t="inlineStr">
        <is>
          <t>The provided code is a mock implementation of the GitHub Contents interface in Java using JCabi library for interacting with GitHub's API. The functionality of this class includes adding content to a repository on GitHub. It uses immutable and logging aspects from jcabi library which ensure that objects are not modified after they have been created and logs method calls respectively.
The `</t>
        </is>
      </c>
      <c r="I951" t="n">
        <v>0.0034</v>
      </c>
      <c r="J951" t="n">
        <v>0.08450000000000001</v>
      </c>
      <c r="K951" t="n">
        <v>0.1481</v>
      </c>
      <c r="L951" t="inlineStr">
        <is>
          <t>The provided code is a Java class named `MkContents` that implements the interface `Contents` from JCabi's GitHub library. This class appears to be used for mocking Github contents and storing them in an internal storage (probably a database). 
 The main purpose of this class seems to be to store and retrieve content items associated with specific coordinates on a remote</t>
        </is>
      </c>
      <c r="M951" t="n">
        <v>0.004</v>
      </c>
      <c r="N951" t="n">
        <v>0.058</v>
      </c>
      <c r="O951" t="n">
        <v>0.1515</v>
      </c>
    </row>
    <row r="952">
      <c r="A952" t="inlineStr">
        <is>
          <t>jcabi</t>
        </is>
      </c>
      <c r="B952" t="inlineStr">
        <is>
          <t>src/main/java/com/jcabi/github/mock/MkIssue.java</t>
        </is>
      </c>
      <c r="C952">
        <f>HYPERLINK("https://github.com/jcabi/jcabi-github/blob/master/src/main/java/com/jcabi/github/mock/MkIssue.java")</f>
        <v/>
      </c>
      <c r="D952" t="inlineStr">
        <is>
          <t>ThegivenJava code represents a mock implementation of the GitHub issue functionality using Jcabi library in Java. It is designed to be immutable and loggable for debugging purposes. The class MockGitHubissue emulates an Issue object from the com.jcabi.github package by storing data locally within its instance variables. This allows it to behave like a real GitHub</t>
        </is>
      </c>
      <c r="E952" t="n">
        <v>0.0044</v>
      </c>
      <c r="F952" t="n">
        <v>0.09229999999999999</v>
      </c>
      <c r="G952" t="n">
        <v>0.1575</v>
      </c>
      <c r="H952" t="inlineStr">
        <is>
          <t>The function `add` takes two numbers as arguments and returns their sum. The time complexity of this operation is O(1), meaning it always executes in the same amount of time regardless of input size.
```python
def add(a, b):
    return a + b
```
Here's an example usage:
```python
result = add</t>
        </is>
      </c>
      <c r="I952" t="n">
        <v>0.0036</v>
      </c>
      <c r="J952" t="n">
        <v>0.0678</v>
      </c>
      <c r="K952" t="n">
        <v>0.122</v>
      </c>
      <c r="L952" t="inlineStr">
        <is>
          <t>ThegivenJavaSourceCodefilehasbeenanalyzed.Hereissummarizedescriptionofitsfunctionalitybasedonstepwiseanalysis:Thecodemocksaneventfromagithubrepositorybycreatinganeweventobjectinmemory.ItdoesnotcommunicatetoanyexternalAPIsorpersistdata.Instead,itusesamockedresponsestoavoiddependenciesforunittests.</t>
        </is>
      </c>
      <c r="M952" t="n">
        <v>0</v>
      </c>
      <c r="N952" t="n">
        <v>0</v>
      </c>
      <c r="O952" t="n">
        <v>0</v>
      </c>
    </row>
    <row r="953">
      <c r="A953" t="inlineStr">
        <is>
          <t>jcabi</t>
        </is>
      </c>
      <c r="B953" t="inlineStr">
        <is>
          <t>src/main/java/com/jcabi/github/mock/MkContent.java</t>
        </is>
      </c>
      <c r="C953">
        <f>HYPERLINK("https://github.com/jcabi/jcabi-github/blob/master/src/main/java/com/jcabi/github/mock/MkContent.java")</f>
        <v/>
      </c>
      <c r="D953" t="inlineStr">
        <is>
          <t>The code is a mock implementation of the Content interface from jcabi-github library in Java. It's used for testing purposes and doesn't interact with actual GitHub repositories. The class has three fields - storage (for storing data), self (username logged in), coords (repository name). This content represents README file which contains information about backend software components, complexity O(</t>
        </is>
      </c>
      <c r="E953" t="n">
        <v>0.0041</v>
      </c>
      <c r="F953" t="n">
        <v>0.0588</v>
      </c>
      <c r="G953" t="n">
        <v>0.1923</v>
      </c>
      <c r="H953" t="inlineStr">
        <is>
          <t>The function `add` is a simple addition operation that takes two numbers as input and returns their sum. It has a time complexity of O(1), meaning it performs the same number of operations regardless of the size of the inputs.
```python
def add(a, b):
    return a + b
``` 
Please note this code does not include any error</t>
        </is>
      </c>
      <c r="I953" t="n">
        <v>0.0031</v>
      </c>
      <c r="J953" t="n">
        <v>0.0606</v>
      </c>
      <c r="K953" t="n">
        <v>0.1154</v>
      </c>
      <c r="L953" t="inlineStr">
        <is>
          <t>The code provided is a Java class named `MkContent` that implements the interface `Content` from JCabi's GitHub library. This class represents content in a repository on GitHub and has several private fields to store information about storage, user login, repo name, and path of this content. The main functionality of this class involves storing data related to these four variables (storage,</t>
        </is>
      </c>
      <c r="M953" t="n">
        <v>0.0042</v>
      </c>
      <c r="N953" t="n">
        <v>0.0571</v>
      </c>
      <c r="O953" t="n">
        <v>0.1504</v>
      </c>
    </row>
    <row r="954">
      <c r="A954" t="inlineStr">
        <is>
          <t>jcabi</t>
        </is>
      </c>
      <c r="B954" t="inlineStr">
        <is>
          <t>src/main/java/com/jcabi/github/mock/MkLimits.java</t>
        </is>
      </c>
      <c r="C954">
        <f>HYPERLINK("https://github.com/jcabi/jcabi-github/blob/master/src/main/java/com/jcabi/github/mock/MkLimits.java")</f>
        <v/>
      </c>
      <c r="D954" t="inlineStr">
        <is>
          <t>The code provided is a mock implementation of the GitHub API rate limit functionality using JCabi library in Java. It's designed to be immutable and logs debug information for each instance created. The class `MkLimits` implements the interface `Limits` from the JCabi library which represents the limits on how many requests can be made by an authenticated user or IP address</t>
        </is>
      </c>
      <c r="E954" t="n">
        <v>0.0039</v>
      </c>
      <c r="F954" t="n">
        <v>0.0857</v>
      </c>
      <c r="G954" t="n">
        <v>0.1128</v>
      </c>
      <c r="H954" t="inlineStr">
        <is>
          <t>The provided code is a Java class that implements the Limits interface from jcabi-github library for mocking GitHub rate limit API. It has three private fields and one public constructor. The @Immutable annotation indicates that this class is immutable (i.e., its state cannot be changed after it's created). The @Loggable(Loggable.DEBUG) annotation</t>
        </is>
      </c>
      <c r="I954" t="n">
        <v>0.0043</v>
      </c>
      <c r="J954" t="n">
        <v>0.0625</v>
      </c>
      <c r="K954" t="n">
        <v>0.122</v>
      </c>
      <c r="L954" t="inlineStr">
        <is>
          <t>The provided code is a mock class for the GitHub API rate limit functionality in Java. The purpose of this class seems to be to provide an interface between the application and the actual GitHub API's rate limits while allowing for easier testing by providing a simulated environment.
The main operations are related to interacting with the storage (presumably some kind of data store or cache where rate</t>
        </is>
      </c>
      <c r="M954" t="n">
        <v>0.0032</v>
      </c>
      <c r="N954" t="n">
        <v>0.0519</v>
      </c>
      <c r="O954" t="n">
        <v>0.1071</v>
      </c>
    </row>
    <row r="955">
      <c r="A955" t="inlineStr">
        <is>
          <t>jcabi</t>
        </is>
      </c>
      <c r="B955" t="inlineStr">
        <is>
          <t>src/main/java/com/jcabi/github/mock/MkDeployKey.java</t>
        </is>
      </c>
      <c r="C955">
        <f>HYPERLINK("https://github.com/jcabi/jcabi-github/blob/master/src/main/java/com/jcabi/github/mock/MkDeployKey.java")</f>
        <v/>
      </c>
      <c r="D955" t="inlineStr">
        <is>
          <t>The code is a mock implementation of the DeployKey interface from jcabi-github library in Java. It's used for testing purposes and doesn't interact with GitHub API directly. The class MkDeployKey has three fields (storage, repoOwner, key), which are immutable (@Immutable annotation). This means once they have been initialized, their value can't</t>
        </is>
      </c>
      <c r="E955" t="n">
        <v>0.0043</v>
      </c>
      <c r="F955" t="n">
        <v>0.0635</v>
      </c>
      <c r="G955" t="n">
        <v>0.1626</v>
      </c>
      <c r="H955" t="inlineStr">
        <is>
          <t>The provided code is a Java class that implements the DeployKey interface from JCabi library for GitHub API interaction. It has three private fields (`storage`, `repoOwner` and `key`), which are initialized through its constructor with arguments of different types. The implementation does not contain any functionality related to addition but it could be considered as an example of how such functionality might look</t>
        </is>
      </c>
      <c r="I955" t="n">
        <v>0.0038</v>
      </c>
      <c r="J955" t="n">
        <v>0.0563</v>
      </c>
      <c r="K955" t="n">
        <v>0.1111</v>
      </c>
      <c r="L955" t="inlineStr">
        <is>
          <t>The provided code is a mock class for managing GitHub deploy keys in Java using the jcabi library. The main purpose of this class is to store and manage information about deploy keys associated with specific repositories on GitHub.
Here's what it does: 
It creates an immutable object that logs its actions at DEBUG level. It stores storage (likely referring to</t>
        </is>
      </c>
      <c r="M955" t="n">
        <v>0.003</v>
      </c>
      <c r="N955" t="n">
        <v>0.0571</v>
      </c>
      <c r="O955" t="n">
        <v>0.1128</v>
      </c>
    </row>
    <row r="956">
      <c r="A956" t="inlineStr">
        <is>
          <t>jcabi</t>
        </is>
      </c>
      <c r="B956" t="inlineStr">
        <is>
          <t>src/main/java/com/jcabi/github/mock/MkDeployKeys.java</t>
        </is>
      </c>
      <c r="C956">
        <f>HYPERLINK("https://github.com/jcabi/jcabi-github/blob/master/src/main/java/com/jcabi/github/mock/MkDeployKeys.java")</f>
        <v/>
      </c>
      <c r="D956" t="inlineStr">
        <is>
          <t>The provided code is a mock implementation of the DeployKeys interface from JCabi's GitHub library in Java. It provides functionality for managing deploy keys on a repository. The class is immutable and has logging capabilities enabled at DEBUG level. 
It uses Xembly to manipulate XML data related to deploy key IDs. This class also implements equals and hashCode methods</t>
        </is>
      </c>
      <c r="E956" t="n">
        <v>0.0044</v>
      </c>
      <c r="F956" t="n">
        <v>0.0882</v>
      </c>
      <c r="G956" t="n">
        <v>0.1527</v>
      </c>
      <c r="H956" t="inlineStr">
        <is>
          <t>The function `add` takes two parameters (numbers), adds them together and returns the result. The time complexity of this operation is O(1).
# Summary
```python
def add(a, b):
    return a + b
```
# Code Explanation
This Python function simply performs addition on two numbers provided as arguments to it.</t>
        </is>
      </c>
      <c r="I956" t="n">
        <v>0.0044</v>
      </c>
      <c r="J956" t="n">
        <v>0.07140000000000001</v>
      </c>
      <c r="K956" t="n">
        <v>0.123</v>
      </c>
      <c r="L956" t="inlineStr">
        <is>
          <t>The provided code is a Java class named `MkDeployKeys` that implements the interface `DeployKeys` from JCabi's GitHub library. This class appears to be used for managing and manipulating deploy keys in a repository on GitHub.
Here are some key features of this class:
1. It has an immutable attribute which means its state</t>
        </is>
      </c>
      <c r="M956" t="n">
        <v>0.0045</v>
      </c>
      <c r="N956" t="n">
        <v>0.0645</v>
      </c>
      <c r="O956" t="n">
        <v>0.16</v>
      </c>
    </row>
    <row r="957">
      <c r="A957" t="inlineStr">
        <is>
          <t>jcabi</t>
        </is>
      </c>
      <c r="B957" t="inlineStr">
        <is>
          <t>src/main/java/com/jcabi/github/mock/MkCheck.java</t>
        </is>
      </c>
      <c r="C957">
        <f>HYPERLINK("https://github.com/jcabi/jcabi-github/blob/master/src/main/java/com/jcabi/github/mock/MkCheck.java")</f>
        <v/>
      </c>
      <c r="D957" t="inlineStr">
        <is>
          <t>The code defines a mock GitHub check implementation using JCabi library for Java. It is immutable and logs debug information about its operations. The class implements the Check interface from JCabi's GitHub package. This means it can be used to represent a GitHub check in unit tests or other similar scenarios where checks are needed but cannot be directly instantiated with real data due to API</t>
        </is>
      </c>
      <c r="E957" t="n">
        <v>0.0036</v>
      </c>
      <c r="F957" t="n">
        <v>0.0533</v>
      </c>
      <c r="G957" t="n">
        <v>0.1449</v>
      </c>
      <c r="H957" t="inlineStr">
        <is>
          <t>The function `add` takes two parameters (`a` and `b`), adds them together, and returns the result. It operates with a time complexity of O(1). The code is designed to add numbers in an immutable way that logs debug information about its operation.
The provided README file explains what this repository contains - backend software components. 
In terms</t>
        </is>
      </c>
      <c r="I957" t="n">
        <v>0.0038</v>
      </c>
      <c r="J957" t="n">
        <v>0.0615</v>
      </c>
      <c r="K957" t="n">
        <v>0.155</v>
      </c>
      <c r="L957" t="inlineStr">
        <is>
          <t>The code provided is a mock implementation of the GitHub check functionality using JCabi library in Java. The main purpose of this class seems to be creating an instance that represents a single check on a pull request from a specific repository. It takes four parameters during initialization - storage object, coordinates of repo, pull object and identifier for the check. 
It also has getters for each</t>
        </is>
      </c>
      <c r="M957" t="n">
        <v>0.0032</v>
      </c>
      <c r="N957" t="n">
        <v>0.08110000000000001</v>
      </c>
      <c r="O957" t="n">
        <v>0.1439</v>
      </c>
    </row>
    <row r="958">
      <c r="A958" t="inlineStr">
        <is>
          <t>jcabi</t>
        </is>
      </c>
      <c r="B958" t="inlineStr">
        <is>
          <t>src/main/java/com/jcabi/github/mock/MkIterable.java</t>
        </is>
      </c>
      <c r="C958">
        <f>HYPERLINK("https://github.com/jcabi/jcabi-github/blob/master/src/main/java/com/jcabi/github/mock/MkIterable.java")</f>
        <v/>
      </c>
      <c r="D958" t="inlineStr">
        <is>
          <t>The code provided is a mock implementation of an iterable object in Java that interacts with GitHub's API using the jcabi library. It provides functionality to get XML from storage and perform XPath search on it. The mapping function maps each element found by XPath into another type T. This class has been annotated for immutability (once constructed, its state cannot be changed</t>
        </is>
      </c>
      <c r="E958" t="n">
        <v>0.0038</v>
      </c>
      <c r="F958" t="n">
        <v>0.0833</v>
      </c>
      <c r="G958" t="n">
        <v>0.1481</v>
      </c>
      <c r="H958" t="inlineStr">
        <is>
          <t>The provided code is a Java class named `MkIterable` that implements the Iterable interface for generic type T. The purpose of this class seems to be to iterate over an XML document stored in a storage object using XPath and apply a mapping function on each element found. 
It uses several annotations such as @Immutable (indicating that once constructed, the</t>
        </is>
      </c>
      <c r="I958" t="n">
        <v>0.0036</v>
      </c>
      <c r="J958" t="n">
        <v>0.0588</v>
      </c>
      <c r="K958" t="n">
        <v>0.1515</v>
      </c>
      <c r="L958" t="inlineStr">
        <is>
          <t>The provided code is a mock class `MkIterable` in Java that implements the Iterable interface for iterating over an XML document stored in a storage object using XPath and mapping it to another type T. The main purpose of this class seems to be providing a way to abstract away some complexity from other parts of the system by encapsulating these details into one place.</t>
        </is>
      </c>
      <c r="M958" t="n">
        <v>0.0033</v>
      </c>
      <c r="N958" t="n">
        <v>0.0548</v>
      </c>
      <c r="O958" t="n">
        <v>0.146</v>
      </c>
    </row>
    <row r="959">
      <c r="A959" t="inlineStr">
        <is>
          <t>jcabi</t>
        </is>
      </c>
      <c r="B959" t="inlineStr">
        <is>
          <t>src/main/java/com/jcabi/github/mock/MkRepoCommits.java</t>
        </is>
      </c>
      <c r="C959">
        <f>HYPERLINK("https://github.com/jcabi/jcabi-github/blob/master/src/main/java/com/jcabi/github/mock/MkRepoCommits.java")</f>
        <v/>
      </c>
      <c r="D959" t="inlineStr">
        <is>
          <t>The code provided is a mock implementation of the `RepoCommits` interface from JCabi's GitHub library. This class represents commits in a Git repository and provides functionality for comparing them with each other. It uses an immutable design pattern to ensure that once created, objects cannot be changed after they are constructed. The logging aspect allows it to log debug information about its operations.</t>
        </is>
      </c>
      <c r="E959" t="n">
        <v>0.0038</v>
      </c>
      <c r="F959" t="n">
        <v>0.0556</v>
      </c>
      <c r="G959" t="n">
        <v>0.1481</v>
      </c>
      <c r="H959" t="inlineStr">
        <is>
          <t>The function `add` is a simple mathematical operation that takes two numbers as input and returns their sum. It operates in constant time complexity O(1), meaning it performs the same number of operations regardless of the size of the inputs. The code provided does not repeat itself or contain any unnecessary comments.
```python
def add(a, b):
    return a + b</t>
        </is>
      </c>
      <c r="I959" t="n">
        <v>0.003</v>
      </c>
      <c r="J959" t="n">
        <v>0.058</v>
      </c>
      <c r="K959" t="n">
        <v>0.07580000000000001</v>
      </c>
      <c r="L959" t="inlineStr">
        <is>
          <t>The code provided is a Java class named `MkRepoCommits` which implements the interface `RepoCommits` from JCabi library for GitHub API interaction in Java. The purpose of this class seems to be to mock commits of a GitHub repository by providing an implementation that can simulate the behavior of real RepoCommits objects but with different behaviors and</t>
        </is>
      </c>
      <c r="M959" t="n">
        <v>0.0039</v>
      </c>
      <c r="N959" t="n">
        <v>0.09379999999999999</v>
      </c>
      <c r="O959" t="n">
        <v>0.1172</v>
      </c>
    </row>
    <row r="960">
      <c r="A960" t="inlineStr">
        <is>
          <t>jcabi</t>
        </is>
      </c>
      <c r="B960" t="inlineStr">
        <is>
          <t>src/main/java/com/jcabi/github/mock/MkEvent.java</t>
        </is>
      </c>
      <c r="C960">
        <f>HYPERLINK("https://github.com/jcabi/jcabi-github/blob/master/src/main/java/com/jcabi/github/mock/MkEvent.java")</f>
        <v/>
      </c>
      <c r="D960" t="inlineStr">
        <is>
          <t>The provided code is a mock implementation of the GitHub event interface using JCabi library in Java. The class `MkEvent` represents an immutable object that logs debug information and has a toString method for easy logging. It stores a transient instance of `MkStorage` which could be used to store data about events. There are two static final strings representing constants related to created at</t>
        </is>
      </c>
      <c r="E960" t="n">
        <v>0.0028</v>
      </c>
      <c r="F960" t="n">
        <v>0.0556</v>
      </c>
      <c r="G960" t="n">
        <v>0.1103</v>
      </c>
      <c r="H960" t="inlineStr">
        <is>
          <t>The function provided is a mock of the GitHub event class in Java. It has been designed to be immutable and log all its operations for debugging purposes. The code size of this README file is 578 characters long (including spaces).
I am not sure what you mean by "don't repeat the code". If it refers to repeating any part of the</t>
        </is>
      </c>
      <c r="I960" t="n">
        <v>0.0029</v>
      </c>
      <c r="J960" t="n">
        <v>0.0563</v>
      </c>
      <c r="K960" t="n">
        <v>0.1119</v>
      </c>
      <c r="L960" t="inlineStr">
        <is>
          <t>ThegivenJavaSourceCoderepresentsamockingobjectforGitHubrevent.ItusesJCABIlibrariesfortogettingdatafromGithubAPIandprocesseseventsusingcustomstorage.ThecodehasbeeninitializedwithacomplexalgorithmimplementedbyJCABI'sownlibrary.Thepurposeofthiscodeisshortcircuitingcommunicationbetween</t>
        </is>
      </c>
      <c r="M960" t="n">
        <v>0</v>
      </c>
      <c r="N960" t="n">
        <v>0</v>
      </c>
      <c r="O960" t="n">
        <v>0</v>
      </c>
    </row>
    <row r="961">
      <c r="A961" t="inlineStr">
        <is>
          <t>jcabi</t>
        </is>
      </c>
      <c r="B961" t="inlineStr">
        <is>
          <t>src/main/java/com/jcabi/github/mock/MkCommit.java</t>
        </is>
      </c>
      <c r="C961">
        <f>HYPERLINK("https://github.com/jcabi/jcabi-github/blob/master/src/main/java/com/jcabi/github/mock/MkCommit.java")</f>
        <v/>
      </c>
      <c r="D961" t="inlineStr">
        <is>
          <t>```plaintext
This repository contains backend software components. Complexity is O(N), with implementation of core algorithms and initial code base commit. Code size is 1000 lines. The class `MkCommit` implements the GitHub Commit interface. It has an immutable structure and logs all operations performed on it at DEBUG level. Equals &amp; Hashcode</t>
        </is>
      </c>
      <c r="E961" t="n">
        <v>0.0054</v>
      </c>
      <c r="F961" t="n">
        <v>0.1695</v>
      </c>
      <c r="G961" t="n">
        <v>0.2033</v>
      </c>
      <c r="H961" t="inlineStr">
        <is>
          <t>The function `add` takes two parameters (numbers), adds them together and returns the result. The time complexity of this operation is O(1).
&lt;jupyter_code&gt;
# Code:
def add(a, b):
    return a + b
&lt;jupyter_output&gt;
&lt;empty_output&gt;
&lt;jup</t>
        </is>
      </c>
      <c r="I961" t="n">
        <v>0.0053</v>
      </c>
      <c r="J961" t="n">
        <v>0.08699999999999999</v>
      </c>
      <c r="K961" t="n">
        <v>0.1402</v>
      </c>
      <c r="L961" t="inlineStr">
        <is>
          <t>```python
# This is a mock of the GitHub commit class in Java. It implements the Commit interface from jcabi-github library. 
# The purpose of this code is to provide an abstraction over real commits and allow for easier testing by providing fake data.
# The main functionality includes storing, getting, and comparing commits.
# Inputs</t>
        </is>
      </c>
      <c r="M961" t="n">
        <v>0.0046</v>
      </c>
      <c r="N961" t="n">
        <v>0.1311</v>
      </c>
      <c r="O961" t="n">
        <v>0.1563</v>
      </c>
    </row>
    <row r="962">
      <c r="A962" t="inlineStr">
        <is>
          <t>jcabi</t>
        </is>
      </c>
      <c r="B962" t="inlineStr">
        <is>
          <t>src/main/java/com/jcabi/github/mock/MkMilestones.java</t>
        </is>
      </c>
      <c r="C962">
        <f>HYPERLINK("https://github.com/jcabi/jcabi-github/blob/master/src/main/java/com/jcabi/github/mock/MkMilestones.java")</f>
        <v/>
      </c>
      <c r="D962" t="inlineStr">
        <is>
          <t>The code provided is a mock implementation of the Milestones interface in JCabi's GitHub library for Java. It provides an immutable class that mocks milestones by storing them in memory and retrieving from it using Xpath queries on stored data. The storage mechanism allows to store user login, repository name and coordinates which are used as identifiers for each milestone. This</t>
        </is>
      </c>
      <c r="E962" t="n">
        <v>0.0036</v>
      </c>
      <c r="F962" t="n">
        <v>0.0571</v>
      </c>
      <c r="G962" t="n">
        <v>0.1504</v>
      </c>
      <c r="H962" t="inlineStr">
        <is>
          <t>The provided code is a Java class that implements the Milestones interface from JCabi GitHub library for managing milestones in a repository. The functionality of this code includes creating new milestones and retrieving information about existing ones such as their number. It does not perform addition operation but rather interacts with Github API to manage its resources.
It uses Xembly</t>
        </is>
      </c>
      <c r="I962" t="n">
        <v>0.004</v>
      </c>
      <c r="J962" t="n">
        <v>0.0882</v>
      </c>
      <c r="K962" t="n">
        <v>0.1515</v>
      </c>
      <c r="L962" t="inlineStr">
        <is>
          <t>The code is a mock implementation of the GitHub milestones API using JCabi library for Java. 
It's main purpose is to provide an interface between the application and the actual GitHub RESTful API by abstracting away details such as authentication and HTTP requests. It also provides some additional functionality like storing data in memory instead of hitting the database every time</t>
        </is>
      </c>
      <c r="M962" t="n">
        <v>0.0036</v>
      </c>
      <c r="N962" t="n">
        <v>0.0571</v>
      </c>
      <c r="O962" t="n">
        <v>0.1128</v>
      </c>
    </row>
    <row r="963">
      <c r="A963" t="inlineStr">
        <is>
          <t>jcabi</t>
        </is>
      </c>
      <c r="B963" t="inlineStr">
        <is>
          <t>src/main/java/com/jcabi/github/mock/MkPublicKey.java</t>
        </is>
      </c>
      <c r="C963">
        <f>HYPERLINK("https://github.com/jcabi/jcabi-github/blob/master/src/main/java/com/jcabi/github/mock/MkPublicKey.java")</f>
        <v/>
      </c>
      <c r="D963" t="inlineStr">
        <is>
          <t>The code provided is a mock implementation of the PublicKey class from com.jcabi.github package in Java. It's used for testing purposes and doesn't interact with actual GitHub servers. The functionality includes storing storage details (like user login), issue number related to key generation etc., provides immutability by making all fields final and transients, logs debug information using jc</t>
        </is>
      </c>
      <c r="E963" t="n">
        <v>0.0037</v>
      </c>
      <c r="F963" t="n">
        <v>0.0857</v>
      </c>
      <c r="G963" t="n">
        <v>0.1154</v>
      </c>
      <c r="H963" t="inlineStr">
        <is>
          <t>The provided code is a mock class for the GitHub public key feature in Java. The `MkPublicKey` constructor takes three parameters - storage, login and number which are used to construct an instance of this class. This class implements the PublicKey interface from jcabi-github library. It's immutable (once constructed, its state cannot change), has debug logging enabled via As</t>
        </is>
      </c>
      <c r="I963" t="n">
        <v>0.0041</v>
      </c>
      <c r="J963" t="n">
        <v>0.0588</v>
      </c>
      <c r="K963" t="n">
        <v>0.1527</v>
      </c>
      <c r="L963" t="inlineStr">
        <is>
          <t>The provided code is a Java class named `MkPublicKey` that implements the interface `PublicKey` from JCabi library for GitHub API in order to mock public keys on behalf of users.
It has three private final fields: 
1. `storage` which stores an instance of MkStorage (not shown here). It seems like it's used</t>
        </is>
      </c>
      <c r="M963" t="n">
        <v>0.0035</v>
      </c>
      <c r="N963" t="n">
        <v>0.0328</v>
      </c>
      <c r="O963" t="n">
        <v>0.0806</v>
      </c>
    </row>
    <row r="964">
      <c r="A964" t="inlineStr">
        <is>
          <t>jcabi</t>
        </is>
      </c>
      <c r="B964" t="inlineStr">
        <is>
          <t>src/main/java/com/jcabi/github/mock/MkReleaseAsset.java</t>
        </is>
      </c>
      <c r="C964">
        <f>HYPERLINK("https://github.com/jcabi/jcabi-github/blob/master/src/main/java/com/jcabi/github/mock/MkReleaseAsset.java")</f>
        <v/>
      </c>
      <c r="D964" t="inlineStr">
        <is>
          <t>The code provided is a mock implementation of the ReleaseAsset interface from the jCabi library for GitHub in Java. It appears to be used primarily as part of testing or development environments where real interactions with GitHub's API are not required. The class implements an immutable object and logs debug information when methods are called on it.
It seems to store data about storage,</t>
        </is>
      </c>
      <c r="E964" t="n">
        <v>0.0034</v>
      </c>
      <c r="F964" t="n">
        <v>0.0548</v>
      </c>
      <c r="G964" t="n">
        <v>0.1103</v>
      </c>
      <c r="H964" t="inlineStr">
        <is>
          <t>The function `add()` is a simple addition operation that takes two arguments and returns their sum. It operates in constant time complexity O(1), as it performs only one arithmetic operation regardless of the input size. The code does not repeat itself or contain any redundancy.
Please provide an example of how to use this add function with 5 and 7 as inputs.</t>
        </is>
      </c>
      <c r="I964" t="n">
        <v>0.0029</v>
      </c>
      <c r="J964" t="n">
        <v>0.08450000000000001</v>
      </c>
      <c r="K964" t="n">
        <v>0.1119</v>
      </c>
      <c r="L964" t="inlineStr">
        <is>
          <t>The code provided is a mock class for GitHub's Release Assets using JCabi library in Java. The purpose of this class seems to be creating and managing release assets on GitHub repositories. It uses the JCabi library which provides an abstraction layer over REST APIs like GitHub. 
The main operations performed are related to storing data (</t>
        </is>
      </c>
      <c r="M964" t="n">
        <v>0.0032</v>
      </c>
      <c r="N964" t="n">
        <v>0.0615</v>
      </c>
      <c r="O964" t="n">
        <v>0.1163</v>
      </c>
    </row>
    <row r="965">
      <c r="A965" t="inlineStr">
        <is>
          <t>jcabi</t>
        </is>
      </c>
      <c r="B965" t="inlineStr">
        <is>
          <t>src/main/java/com/jcabi/github/mock/MkTags.java</t>
        </is>
      </c>
      <c r="C965">
        <f>HYPERLINK("https://github.com/jcabi/jcabi-github/blob/master/src/main/java/com/jcabi/github/mock/MkTags.java")</f>
        <v/>
      </c>
      <c r="D965" t="inlineStr">
        <is>
          <t>The code is a mock implementation of the Github Tags API using JCabi library in Java. It's immutable and loggable which means it cannot be changed once created and all its operations are logged for debugging purposes respectively. The class implements `Tags` interface from jcabi-github package. This class has three fields - storage (which stores data), self (to</t>
        </is>
      </c>
      <c r="E965" t="n">
        <v>0.0041</v>
      </c>
      <c r="F965" t="n">
        <v>0.0597</v>
      </c>
      <c r="G965" t="n">
        <v>0.1538</v>
      </c>
      <c r="H965" t="inlineStr">
        <is>
          <t>The provided code is a mock of the GitHub Tags API using JCabi library in Java. The functionality includes adding tags to repositories on GitHub via an interface (`Tags`). It also provides methods for manipulating and accessing tag information such as creation date, last update time etc., based on `Tag` objects. 
The function add() takes two parameters '</t>
        </is>
      </c>
      <c r="I965" t="n">
        <v>0.0037</v>
      </c>
      <c r="J965" t="n">
        <v>0.0615</v>
      </c>
      <c r="K965" t="n">
        <v>0.0769</v>
      </c>
      <c r="L965" t="inlineStr">
        <is>
          <t>**/
// This is a mock class for GitHub Tags which implements the interface 'Tags'. 
// It's used to test other parts of our code without actually interacting with real Github servers.
// The main purpose of this class is to provide an abstraction layer over actual calls to github API and store data locally in memory instead of making network requests.</t>
        </is>
      </c>
      <c r="M965" t="n">
        <v>0.0039</v>
      </c>
      <c r="N965" t="n">
        <v>0.0896</v>
      </c>
      <c r="O965" t="n">
        <v>0.1493</v>
      </c>
    </row>
    <row r="966">
      <c r="A966" t="inlineStr">
        <is>
          <t>jcabi</t>
        </is>
      </c>
      <c r="B966" t="inlineStr">
        <is>
          <t>src/main/java/com/jcabi/github/mock/package-info.java</t>
        </is>
      </c>
      <c r="C966">
        <f>HYPERLINK("https://github.com/jcabi/jcabi-github/blob/master/src/main/java/com/jcabi/github/mock/package-info.java")</f>
        <v/>
      </c>
      <c r="D966" t="inlineStr">
        <is>
          <t>The code provided is a mock GitHub server implementation in Java. It's designed to simulate the behavior of real GitHub API for testing purposes without actually making network requests or interacting with live data. The complexity of this code is O(N), as it involves looping through lists and performing operations on each element (where N represents the number of elements). This repository contains backend software components implementing core</t>
        </is>
      </c>
      <c r="E966" t="n">
        <v>0.0038</v>
      </c>
      <c r="F966" t="n">
        <v>0.1026</v>
      </c>
      <c r="G966" t="n">
        <v>0.2657</v>
      </c>
      <c r="H966" t="inlineStr">
        <is>
          <t>The provided code is a mock GitHub server implementation in Java using the jcabi-github library for interacting with the GitHub API. The function add() performs addition of two numbers. It takes two parameters 'a' and 'b', adds them together and returns the result. This operation has a time complexity of O(1), indicating that it operates in constant time regardless of input size.</t>
        </is>
      </c>
      <c r="I966" t="n">
        <v>0.0035</v>
      </c>
      <c r="J966" t="n">
        <v>0.0833</v>
      </c>
      <c r="K966" t="n">
        <v>0.1493</v>
      </c>
      <c r="L966" t="inlineStr">
        <is>
          <t>Package com.jcabi.github.mock provides a mock implementation of the GitHub server for testing purposes. It is part of JCabi project and uses MIT license. The package contains classes to simulate various responses from the real GitHub API. This allows developers to avoid making actual requests during unit tests or other forms of development where network access may be restricted.
The main class</t>
        </is>
      </c>
      <c r="M966" t="n">
        <v>0.0036</v>
      </c>
      <c r="N966" t="n">
        <v>0.0556</v>
      </c>
      <c r="O966" t="n">
        <v>0.1504</v>
      </c>
    </row>
    <row r="967">
      <c r="A967" t="inlineStr">
        <is>
          <t>jcabi</t>
        </is>
      </c>
      <c r="B967" t="inlineStr">
        <is>
          <t>src/main/java/com/jcabi/github/mock/MkPulls.java</t>
        </is>
      </c>
      <c r="C967">
        <f>HYPERLINK("https://github.com/jcabi/jcabi-github/blob/master/src/main/java/com/jcabi/github/mock/MkPulls.java")</f>
        <v/>
      </c>
      <c r="D967" t="inlineStr">
        <is>
          <t>The code provided is a mock implementation of the Pulls interface from JCabi's GitHub library in Java. This class represents an immutable object that logs its operations at DEBUG level and uses Lombok for toString(), equals() and hashCode(). It also has a private static final String USER_BRANCH_SEP which acts as separator between username and branch name</t>
        </is>
      </c>
      <c r="E967" t="n">
        <v>0.0039</v>
      </c>
      <c r="F967" t="n">
        <v>0.0597</v>
      </c>
      <c r="G967" t="n">
        <v>0.1563</v>
      </c>
      <c r="H967" t="inlineStr">
        <is>
          <t>The function `add` is a simple mathematical operation that takes two numbers as arguments and returns their sum. The time complexity of this function is O(1), meaning it performs a fixed number of operations regardless of the size of the input data.
&lt;jupyter_output&gt;
&lt;empty_output&gt;
&lt;jupyter_text&gt;
Problem 4</t>
        </is>
      </c>
      <c r="I967" t="n">
        <v>0.0039</v>
      </c>
      <c r="J967" t="n">
        <v>0.0678</v>
      </c>
      <c r="K967" t="n">
        <v>0.1261</v>
      </c>
      <c r="L967" t="inlineStr">
        <is>
          <t>The provided code is a mock implementation of the Pulls interface in GitHub's API using JCabi library for Java. This class represents a collection of pull requests and provides methods to interact with them. The main purpose of this class seems to be creating new instances of Pull objects based on input parameters (user name, branch name). It also has functionality related to retrieval and manipulation</t>
        </is>
      </c>
      <c r="M967" t="n">
        <v>0.0036</v>
      </c>
      <c r="N967" t="n">
        <v>0.08</v>
      </c>
      <c r="O967" t="n">
        <v>0.1449</v>
      </c>
    </row>
    <row r="968">
      <c r="A968" t="inlineStr">
        <is>
          <t>okhttp</t>
        </is>
      </c>
      <c r="B968" t="inlineStr">
        <is>
          <t>android-test/src/test/kotlin/okhttp/android/test/AndroidSocketAdapterTest.kt</t>
        </is>
      </c>
      <c r="C968">
        <f>HYPERLINK("https://github.com/square/okhttp/blob/master/android-test/src/test/kotlin/okhttp/android/test/AndroidSocketAdapterTest.kt")</f>
        <v/>
      </c>
      <c r="D968" t="inlineStr">
        <is>
          <t>The code you provided is a license header for an Apache 2.0 licensed software component named okhttp. The license grants users the right to use this software in any application they desire as long as it complies with its terms and conditions. It also allows them to obtain a copy of the license at http://www.apache.org/licenses/LICENSE-2.</t>
        </is>
      </c>
      <c r="E968" t="n">
        <v>0.004</v>
      </c>
      <c r="F968" t="n">
        <v>0.0857</v>
      </c>
      <c r="G968" t="n">
        <v>0.2485</v>
      </c>
      <c r="H968" t="inlineStr">
        <is>
          <t>The code provided is a Java function for adding two numbers together (similar to the addition operation). The complexity of this function is O(1), meaning it takes constant time regardless of input size or number of inputs. It does not involve any loops or recursive calls that could increase its runtime based on the input data.
The Apache License 2.0 applies to all files in this</t>
        </is>
      </c>
      <c r="I968" t="n">
        <v>0</v>
      </c>
      <c r="J968" t="n">
        <v>0.0526</v>
      </c>
      <c r="K968" t="n">
        <v>0.0725</v>
      </c>
      <c r="L968" t="inlineStr">
        <is>
          <t>ThegivenJavaSourceCodeRepresentsaversionofOkHttpforAndroidwhichusesconscryptlibraryforduringHTTPScommunication.ItensuressecuretransportusingSSLviaHttpsURLConnection.Theprimaryroleoffilesinthisprojectaresetupofnetworkcallswithcustomizedsocketfactorythatutilizesconscryptlibrary'sfeatures.
 The code is licensed</t>
        </is>
      </c>
      <c r="M968" t="n">
        <v>0</v>
      </c>
      <c r="N968" t="n">
        <v>0</v>
      </c>
      <c r="O968" t="n">
        <v>0</v>
      </c>
    </row>
    <row r="969">
      <c r="A969" t="inlineStr">
        <is>
          <t>okhttp</t>
        </is>
      </c>
      <c r="B969" t="inlineStr">
        <is>
          <t>android-test/src/test/kotlin/okhttp/android/test/AndroidLoggingTest.kt</t>
        </is>
      </c>
      <c r="C969">
        <f>HYPERLINK("https://github.com/square/okhttp/blob/master/android-test/src/test/kotlin/okhttp/android/test/AndroidLoggingTest.kt")</f>
        <v/>
      </c>
      <c r="D969" t="inlineStr">
        <is>
          <t># This repository contains backend software components written in Java and Kotlin which are used for network requests using OkHTTP library. 
The code is licensed under the Apache License version 2.0. It's distributed on an "AS IS" BASIS without any warranties or conditions of any kind either expressed or implied. The specific language governing permissions and limitations under the</t>
        </is>
      </c>
      <c r="E969" t="n">
        <v>0.0041</v>
      </c>
      <c r="F969" t="n">
        <v>0.0882</v>
      </c>
      <c r="G969" t="n">
        <v>0.1527</v>
      </c>
      <c r="H969" t="inlineStr">
        <is>
          <t>The code you provided is a simple function for addition in Python named `add` which takes two parameters and returns their sum. The time complexity of this operation is O(1), meaning it performs the same number of operations regardless of input size.
Here's the summary with no redundancy: 
```python
# Copyright (c) 2022 Square Inc</t>
        </is>
      </c>
      <c r="I969" t="n">
        <v>0.0033</v>
      </c>
      <c r="J969" t="n">
        <v>0.0625</v>
      </c>
      <c r="K969" t="n">
        <v>0.1181</v>
      </c>
      <c r="L969" t="inlineStr">
        <is>
          <t>The given code is a part of an Android application that uses OkHTTP library for network requests. The main purpose of this code seems to be establishing a connection with the server using OkHTTP and sending GET request. If any unknown host exception occurs during the process, it will log the error message in the console. This functionality can be summarized as follows:"Connect to server using OKHTTP and send GET</t>
        </is>
      </c>
      <c r="M969" t="n">
        <v>0.0034</v>
      </c>
      <c r="N969" t="n">
        <v>0.0759</v>
      </c>
      <c r="O969" t="n">
        <v>0.1056</v>
      </c>
    </row>
    <row r="970">
      <c r="A970" t="inlineStr">
        <is>
          <t>okhttp</t>
        </is>
      </c>
      <c r="B970" t="inlineStr">
        <is>
          <t>android-test/src/test/kotlin/okhttp/android/test/ShadowDnsResolver.kt</t>
        </is>
      </c>
      <c r="C970">
        <f>HYPERLINK("https://github.com/square/okhttp/blob/master/android-test/src/test/kotlin/okhttp/android/test/ShadowDnsResolver.kt")</f>
        <v/>
      </c>
      <c r="D970" t="inlineStr">
        <is>
          <t>The code provided is a shadow class for the DnsResolver interface in OkHttp library used to mock DNS resolution during testing with Robolectric framework. It provides an implementation of the resolver that can be controlled by setting up response addresses or exceptions. The code also includes Apache License 2.0 copyright notice and conditions under which it may not be distributed.
Please note this summary does</t>
        </is>
      </c>
      <c r="E970" t="n">
        <v>0.0028</v>
      </c>
      <c r="F970" t="n">
        <v>0.0541</v>
      </c>
      <c r="G970" t="n">
        <v>0.146</v>
      </c>
      <c r="H970" t="inlineStr">
        <is>
          <t>The code you provided is a Java class that shadows the DnsResolver class from OkHttp library for Android testing using Robolectric framework. It provides an implementation of DNS resolution by returning predefined InetAddresses based on input hostnames. This allows to simulate network conditions in tests without actually making real requests.
Here's a concise summary:
```plaintext</t>
        </is>
      </c>
      <c r="I970" t="n">
        <v>0.0033</v>
      </c>
      <c r="J970" t="n">
        <v>0.0312</v>
      </c>
      <c r="K970" t="n">
        <v>0.1181</v>
      </c>
      <c r="L970" t="inlineStr">
        <is>
          <t>The code provided is a shadow class for the DnsResolver class from OkHttp library in Android development. This class shadows the original DnsResolver class to provide custom behavior and functionality during testing with Robolectric framework. The purpose of this class seems to be to respond to DNS queries by returning predefined InetAddresses or throwing exceptions based on certain conditions.
The main operations</t>
        </is>
      </c>
      <c r="M970" t="n">
        <v>0.0039</v>
      </c>
      <c r="N970" t="n">
        <v>0.0571</v>
      </c>
      <c r="O970" t="n">
        <v>0.1119</v>
      </c>
    </row>
    <row r="971">
      <c r="A971" t="inlineStr">
        <is>
          <t>okhttp</t>
        </is>
      </c>
      <c r="B971" t="inlineStr">
        <is>
          <t>android-test/src/test/kotlin/okhttp/android/test/BaseOkHttpClientUnitTest.kt</t>
        </is>
      </c>
      <c r="C971">
        <f>HYPERLINK("https://github.com/square/okhttp/blob/master/android-test/src/test/kotlin/okhttp/android/test/BaseOkHttpClientUnitTest.kt")</f>
        <v/>
      </c>
      <c r="D971" t="inlineStr">
        <is>
          <t>The code you provided appears to be a license header for an Apache 2.0 licensed software component in Java. It's not specific to any function or functionality of the application but rather provides information about what users can and cannot do with this piece of code under certain conditions as outlined by the Apache License 2.0. The repository contains backend software components written in Java which implements</t>
        </is>
      </c>
      <c r="E971" t="n">
        <v>0.0038</v>
      </c>
      <c r="F971" t="n">
        <v>0.0769</v>
      </c>
      <c r="G971" t="n">
        <v>0.1799</v>
      </c>
      <c r="H971" t="inlineStr">
        <is>
          <t>The code provided is a simple function for addition of two numbers in Python language. The functionality of this code can be summarized as follows:
It takes two parameters (numbers), adds them together and returns the result. This operation has a time complexity of O(1). 
Here's how it looks like:
```python
def add(a, b):</t>
        </is>
      </c>
      <c r="I971" t="n">
        <v>0.0045</v>
      </c>
      <c r="J971" t="n">
        <v>0.0615</v>
      </c>
      <c r="K971" t="n">
        <v>0.119</v>
      </c>
      <c r="L971" t="inlineStr">
        <is>
          <t>The provided code is a Java implementation of OkHTTP client for Android testing using AssertK library for assertions and unit tests. The main purpose of this code seems to be creating an instance of the OkHttpClient with cache capabilities enabled. 
It takes as input parameters the URL string (urlStr) which should point to a valid HTTP or HTTPS server, and the directory path</t>
        </is>
      </c>
      <c r="M971" t="n">
        <v>0.0029</v>
      </c>
      <c r="N971" t="n">
        <v>0.0563</v>
      </c>
      <c r="O971" t="n">
        <v>0.1481</v>
      </c>
    </row>
    <row r="972">
      <c r="A972" t="inlineStr">
        <is>
          <t>okhttp</t>
        </is>
      </c>
      <c r="B972" t="inlineStr">
        <is>
          <t>android-test/src/test/kotlin/okhttp/android/test/RobolectricOkHttpClientTest.kt</t>
        </is>
      </c>
      <c r="C972">
        <f>HYPERLINK("https://github.com/square/okhttp/blob/master/android-test/src/test/kotlin/okhttp/android/test/RobolectricOkHttpClientTest.kt")</f>
        <v/>
      </c>
      <c r="D972" t="inlineStr">
        <is>
          <t>The code you provided is a license header for an Apache License 2.0 which states that the user may not use this file except in compliance with the License. The user can obtain a copy of the License at http://www.apache.org/licenses/LICENSE-2.0 and distributed under the License is distributed on an "AS IS" BASIS, WITHOUT WARRANT</t>
        </is>
      </c>
      <c r="E972" t="n">
        <v>0.0034</v>
      </c>
      <c r="F972" t="n">
        <v>0.0571</v>
      </c>
      <c r="G972" t="n">
        <v>0.119</v>
      </c>
      <c r="H972" t="inlineStr">
        <is>
          <t>The code you provided is a simple addition function in Python named `add` that takes two parameters and returns their sum. The time complexity of this operation is O(1), meaning it always executes the same number of operations regardless of input size.
Here's a concise summary without repeating any code: 
```python
# Function to add two numbers
def add</t>
        </is>
      </c>
      <c r="I972" t="n">
        <v>0.0031</v>
      </c>
      <c r="J972" t="n">
        <v>0.0588</v>
      </c>
      <c r="K972" t="n">
        <v>0.1145</v>
      </c>
      <c r="L972" t="inlineStr">
        <is>
          <t>The code provided is a Junit test class for an OkHttp client using Robolectric framework in Android development environment. The purpose of this class seems to be testing the functionality and performance of the OkHttp client implementation with different configurations (SDK versions).
The main operations performed by the class are as follows: 
1. Importing necessary libraries such as androidx.test</t>
        </is>
      </c>
      <c r="M972" t="n">
        <v>0.0065</v>
      </c>
      <c r="N972" t="n">
        <v>0.0882</v>
      </c>
      <c r="O972" t="n">
        <v>0.2409</v>
      </c>
    </row>
    <row r="973">
      <c r="A973" t="inlineStr">
        <is>
          <t>okhttp</t>
        </is>
      </c>
      <c r="B973" t="inlineStr">
        <is>
          <t>android-test/src/test/kotlin/okhttp/android/test/NonRobolectricOkHttpClientTest.kt</t>
        </is>
      </c>
      <c r="C973">
        <f>HYPERLINK("https://github.com/square/okhttp/blob/master/android-test/src/test/kotlin/okhttp/android/test/NonRobolectricOkHttpClientTest.kt")</f>
        <v/>
      </c>
      <c r="D973" t="inlineStr">
        <is>
          <t>The provided code is a license header for an Apache 2.0 licensed project that uses OkHttp and Junit testing frameworks for Android development. It also contains import statements for various assert libraries to aid in unit tests. The repository has been initialized with initial commit but no further commits have been made yet. This code size of the file appears to be around 1000 lines long</t>
        </is>
      </c>
      <c r="E973" t="n">
        <v>0.0033</v>
      </c>
      <c r="F973" t="n">
        <v>0.0267</v>
      </c>
      <c r="G973" t="n">
        <v>0.1087</v>
      </c>
      <c r="H973" t="inlineStr">
        <is>
          <t>The code you provided is a simple addition function `add` that takes two numbers as input and returns their sum. The complexity of this operation is O(1), meaning it performs the same number of operations regardless of the size of the inputs. This function does not contain any loops or recursive calls which would increase its time complexity if present in real world scenarios.
There are no comments</t>
        </is>
      </c>
      <c r="I973" t="n">
        <v>0.0032</v>
      </c>
      <c r="J973" t="n">
        <v>0.0519</v>
      </c>
      <c r="K973" t="n">
        <v>0.1071</v>
      </c>
      <c r="L973" t="inlineStr">
        <is>
          <t>ThegivenJavaSourcedocumentcontainssixclasses,includingMainActivity,OkHttpClient,RequestBodyBuilder,ResponseHandler,andAppCompatActivity.Alltheseclasseshaveuniqueresponsibilitiesinthedocumentsolution.Forinstance,MainActivityhandlesuserinteractionevents,suchasbuttonclicks,whileOkHttpClientmanagesnetworkrequeststootherservers.ItusesaRequestBody</t>
        </is>
      </c>
      <c r="M973" t="n">
        <v>0</v>
      </c>
      <c r="N973" t="n">
        <v>0</v>
      </c>
      <c r="O973" t="n">
        <v>0</v>
      </c>
    </row>
    <row r="974">
      <c r="A974" t="inlineStr">
        <is>
          <t>okhttp</t>
        </is>
      </c>
      <c r="B974" t="inlineStr">
        <is>
          <t>android-test/src/test/kotlin/okhttp/android/test/DisabledInitialiserTest.kt</t>
        </is>
      </c>
      <c r="C974">
        <f>HYPERLINK("https://github.com/square/okhttp/blob/master/android-test/src/test/kotlin/okhttp/android/test/DisabledInitialiserTest.kt")</f>
        <v/>
      </c>
      <c r="D974" t="inlineStr">
        <is>
          <t>The provided code is a license header for an Apache 2.0 licensed project which states that it may not be used except in compliance with the License and requires obtaining of copy from http://www.apache.org/licenses/LICENSE-2.0 unless agreed to by applicable law or agreed to in writing. The software distributed under this License is distributed on an "AS IS" B</t>
        </is>
      </c>
      <c r="E974" t="n">
        <v>0.0037</v>
      </c>
      <c r="F974" t="n">
        <v>0.027</v>
      </c>
      <c r="G974" t="n">
        <v>0.1538</v>
      </c>
      <c r="H974" t="inlineStr">
        <is>
          <t>The provided code is a Java function named `add` that takes two numbers as arguments and returns their sum. This functionality can be summarized with the statement "Adds twonumbers". The complexity of this operation is O(1), meaning it performs a constant number of operations regardless of input size.
The README file contains information about the repository which includes details on backend software</t>
        </is>
      </c>
      <c r="I974" t="n">
        <v>0.0042</v>
      </c>
      <c r="J974" t="n">
        <v>0.0563</v>
      </c>
      <c r="K974" t="n">
        <v>0.1493</v>
      </c>
      <c r="L974" t="inlineStr">
        <is>
          <t>The code provided is a Java package named "okhttp.android.test". It uses the OkHttp library for networking in Android applications. The main purpose of this code seems to be testing network requests using assert statements from JUnit and AssertK libraries. 
The primary operations performed are making HTTP GET or POST requests with optional headers and parameters. If an error occurs during these requests (</t>
        </is>
      </c>
      <c r="M974" t="n">
        <v>0.0029</v>
      </c>
      <c r="N974" t="n">
        <v>0.0556</v>
      </c>
      <c r="O974" t="n">
        <v>0.1111</v>
      </c>
    </row>
    <row r="975">
      <c r="A975" t="inlineStr">
        <is>
          <t>okhttp</t>
        </is>
      </c>
      <c r="B975" t="inlineStr">
        <is>
          <t>android-test/src/androidTest/java/okhttp/android/test/OkHttpTest.kt</t>
        </is>
      </c>
      <c r="C975">
        <f>HYPERLINK("https://github.com/square/okhttp/blob/master/android-test/src/androidTest/java/okhttp/android/test/OkHttpTest.kt")</f>
        <v/>
      </c>
      <c r="D975" t="inlineStr">
        <is>
          <t>ThegivencodeappearstobeaJavaAndroidapplicationthatusesOkHttpfornetworkcommunication,MoshiasJSONparserlibrary,andgooglesecurityproviderinstaller.It'slicensedundertheApachev2license.Therearenocodecommentspresentbuttherearesomeclassesandmethodsdefinedwhichcouldpossiblycontaincomplexlogic.Themainactivitymightalsohaveintegrated</t>
        </is>
      </c>
      <c r="E975" t="n">
        <v>0</v>
      </c>
      <c r="F975" t="n">
        <v>0</v>
      </c>
      <c r="G975" t="n">
        <v>0</v>
      </c>
      <c r="H975" t="inlineStr">
        <is>
          <t>The code you provided is a simple addition function in Python named `add` that takes two arguments and returns their sum. The time complexity of this operation is O(1), meaning it always executes in constant time regardless of the size of the input data.
Here's the summary for your README file: 
```markdown
# simplemath
## Comple</t>
        </is>
      </c>
      <c r="I975" t="n">
        <v>0.0033</v>
      </c>
      <c r="J975" t="n">
        <v>0.0625</v>
      </c>
      <c r="K975" t="n">
        <v>0.1172</v>
      </c>
      <c r="L975" t="inlineStr">
        <is>
          <t>The provided code is a part of the Square's OkHttp library for Android testing. It imports necessary classes and packages to set up instrumental tests on an Android device or emulator using Google Play Services. The main purpose of this code seems to be installing security providers if they are not already installed, which could help with network requests in an application that uses OkHttp.
It</t>
        </is>
      </c>
      <c r="M975" t="n">
        <v>0.0028</v>
      </c>
      <c r="N975" t="n">
        <v>0.0267</v>
      </c>
      <c r="O975" t="n">
        <v>0.1087</v>
      </c>
    </row>
    <row r="976">
      <c r="A976" t="inlineStr">
        <is>
          <t>okhttp</t>
        </is>
      </c>
      <c r="B976" t="inlineStr">
        <is>
          <t>android-test/src/androidTest/java/okhttp/android/test/StrictModeTest.kt</t>
        </is>
      </c>
      <c r="C976">
        <f>HYPERLINK("https://github.com/square/okhttp/blob/master/android-test/src/androidTest/java/okhttp/android/test/StrictModeTest.kt")</f>
        <v/>
      </c>
      <c r="D976" t="inlineStr">
        <is>
          <t>The code provided is a license header for an Apache License 2.0 which outlines the terms and conditions of using this software under that license. It also includes details on how to obtain a copy of the license as well as limitations under it. The repository contains backend software components with implementation of core algorithms. Initial commit was made in the beginning of the project. Code size seems to be around</t>
        </is>
      </c>
      <c r="E976" t="n">
        <v>0.0034</v>
      </c>
      <c r="F976" t="n">
        <v>0.1</v>
      </c>
      <c r="G976" t="n">
        <v>0.2098</v>
      </c>
      <c r="H976" t="inlineStr">
        <is>
          <t>The function provided is a simple addition operation that takes two numbers as arguments and returns their sum. The code size of this initial commit is 30 lines long with complexity O(1). It does not contain any loops or recursive calls which makes it efficient for adding only two numbers together.
The README file provides information about the repository including its purpose, complexities, comments,</t>
        </is>
      </c>
      <c r="I976" t="n">
        <v>0.0028</v>
      </c>
      <c r="J976" t="n">
        <v>0.0548</v>
      </c>
      <c r="K976" t="n">
        <v>0.1103</v>
      </c>
      <c r="L976" t="inlineStr">
        <is>
          <t>The provided code is a part of an Android application using OkHttp for network requests. It's licensed under the Apache License 2.0 and it follows strict coding practices to ensure thread safety and performance optimization. The main purpose seems to be handling HTTP URLs with OkHttp library, making GET or POST requests based on certain conditions. There are several assert statements used in this code to verify if</t>
        </is>
      </c>
      <c r="M976" t="n">
        <v>0.0027</v>
      </c>
      <c r="N976" t="n">
        <v>0.0256</v>
      </c>
      <c r="O976" t="n">
        <v>0.1071</v>
      </c>
    </row>
    <row r="977">
      <c r="A977" t="inlineStr">
        <is>
          <t>okhttp</t>
        </is>
      </c>
      <c r="B977" t="inlineStr">
        <is>
          <t>android-test/src/androidTest/java/okhttp/android/test/SingleAndroidTest.kt</t>
        </is>
      </c>
      <c r="C977">
        <f>HYPERLINK("https://github.com/square/okhttp/blob/master/android-test/src/androidTest/java/okhttp/android/test/SingleAndroidTest.kt")</f>
        <v/>
      </c>
      <c r="D977" t="inlineStr">
        <is>
          <t>The code provided is a license header for an Apache License 2.0 which states that the user may not use this file except in compliance with the terms of the license. The software distributed under the license can be used as long as it's done so on "as is" basis without any warranties or conditions of any kind either expressed or implied by the creators. This includes limitations and</t>
        </is>
      </c>
      <c r="E977" t="n">
        <v>0.0035</v>
      </c>
      <c r="F977" t="n">
        <v>0.0759</v>
      </c>
      <c r="G977" t="n">
        <v>0.1418</v>
      </c>
      <c r="H977" t="inlineStr">
        <is>
          <t>The provided code is a simple function that adds two numbers together and returns the result. The functionality of this code can be summarized as follows:
It takes in two parameters (numbers), performs an addition operation on them, and then returns the resulting sum. This process does not require any additional resources or operations beyond basic arithmetic, making its complexity O(1).</t>
        </is>
      </c>
      <c r="I977" t="n">
        <v>0.0039</v>
      </c>
      <c r="J977" t="n">
        <v>0.0571</v>
      </c>
      <c r="K977" t="n">
        <v>0.1128</v>
      </c>
      <c r="L977" t="inlineStr">
        <is>
          <t>ThegivenJavaSrcFilecontainssomeclassesrelatedtothetestingofaRESTfulserviceusingOKHTTPlibraryfromGoogle.Itusesaresourceserverlocatedinthetestsuitesetupmethodforalltestsinsubsequentsteps.TherearethreeindividualtestsinaRESTAPIsampleapp.Eachofthesthreeresponseschecksthattheresponsehasbeen</t>
        </is>
      </c>
      <c r="M977" t="n">
        <v>0</v>
      </c>
      <c r="N977" t="n">
        <v>0</v>
      </c>
      <c r="O977" t="n">
        <v>0</v>
      </c>
    </row>
    <row r="978">
      <c r="A978" t="inlineStr">
        <is>
          <t>okhttp</t>
        </is>
      </c>
      <c r="B978" t="inlineStr">
        <is>
          <t>android-test/src/androidTest/java/okhttp/android/test/sni/SniOverrideTest.kt</t>
        </is>
      </c>
      <c r="C978">
        <f>HYPERLINK("https://github.com/square/okhttp/blob/master/android-test/src/androidTest/java/okhttp/android/test/sni/SniOverrideTest.kt")</f>
        <v/>
      </c>
      <c r="D978" t="inlineStr">
        <is>
          <t>The code provided is a Java class with Apache License 2.0 and it's related to the OkHttp Android test SNI (Server Name Indication). It contains backend software components implementing core algorithms for handling SSL connections on an Android device using OkHttp library. The complexity of this implementation seems to be O(N), but without seeing actual code or more context, it can't</t>
        </is>
      </c>
      <c r="E978" t="n">
        <v>0.0039</v>
      </c>
      <c r="F978" t="n">
        <v>0.0822</v>
      </c>
      <c r="G978" t="n">
        <v>0.2256</v>
      </c>
      <c r="H978" t="inlineStr">
        <is>
          <t>The function provided is a simple addition operation that takes two numbers as arguments and returns their sum. It has O(1) complexity since it performs a fixed number of operations regardless of the input size. The code does not repeat itself or contain any loops which makes it easy to understand and maintain.
The Apache License 2.0 applies to this code, stating that you may use it</t>
        </is>
      </c>
      <c r="I978" t="n">
        <v>0.0027</v>
      </c>
      <c r="J978" t="n">
        <v>0.0519</v>
      </c>
      <c r="K978" t="n">
        <v>0.1079</v>
      </c>
      <c r="L978" t="inlineStr">
        <is>
          <t>Thegivensourcecodefileappears to be implementing a custom SSLSocketFactory using the OkHttp library for Android development. The purpose of this code is to enable Server Name Indication (SNI) on older versions of Android where it's not supported by default. This involves creating an instance of DelegatingSSLSocketFactory that wraps around another SSLSocketFactory and modifies the</t>
        </is>
      </c>
      <c r="M978" t="n">
        <v>0.0042</v>
      </c>
      <c r="N978" t="n">
        <v>0.06560000000000001</v>
      </c>
      <c r="O978" t="n">
        <v>0.1613</v>
      </c>
    </row>
    <row r="979">
      <c r="A979" t="inlineStr">
        <is>
          <t>okhttp</t>
        </is>
      </c>
      <c r="B979" t="inlineStr">
        <is>
          <t>android-test/src/androidTest/java/okhttp/android/test/letsencrypt/LetsEncryptClientTest.kt</t>
        </is>
      </c>
      <c r="C979">
        <f>HYPERLINK("https://github.com/square/okhttp/blob/master/android-test/src/androidTest/java/okhttp/android/test/letsencrypt/LetsEncryptClientTest.kt")</f>
        <v/>
      </c>
      <c r="D979" t="inlineStr">
        <is>
          <t>The provided code is a Java implementation of OkHttp client for Android platform with Let's Encrypt SSL certificate support and unit tests using JUnit 5. The code is licensed under Apache License Version 2.0. It includes assert statements to verify the expected output against actual results. This repository contains backend software components implementing core algorithms but lacks specific details about its functionality or purpose.</t>
        </is>
      </c>
      <c r="E979" t="n">
        <v>0.0043</v>
      </c>
      <c r="F979" t="n">
        <v>0.1351</v>
      </c>
      <c r="G979" t="n">
        <v>0.3135</v>
      </c>
      <c r="H979" t="inlineStr">
        <is>
          <t>The provided code is a simple function that adds two numbers together in Python. It takes as input parameters 'a' and 'b', performs the addition operation on them, and returns the result. The time complexity of this function is O(1), meaning it executes in constant time regardless of the size of the inputs.
Here are some details about the functionality:
```python</t>
        </is>
      </c>
      <c r="I979" t="n">
        <v>0.003</v>
      </c>
      <c r="J979" t="n">
        <v>0.0571</v>
      </c>
      <c r="K979" t="n">
        <v>0.1128</v>
      </c>
      <c r="L979" t="inlineStr">
        <is>
          <t>ThegivenJavaSourceCodefileusesOkHttplibraryformakingHTTPrequeststotheLet'sEncryptAPIserver.ItutilizesAndroidOSbuildversioningfeaturestoidentifydevicecompatibility. It also incorporates TLShandshakes and certificate decoding functionalities for security purposes. The code is licensed under the Apache License version 2.0.
```java
//</t>
        </is>
      </c>
      <c r="M979" t="n">
        <v>0.007900000000000001</v>
      </c>
      <c r="N979" t="n">
        <v>0.0588</v>
      </c>
      <c r="O979" t="n">
        <v>0.1042</v>
      </c>
    </row>
    <row r="980">
      <c r="A980" t="inlineStr">
        <is>
          <t>okhttp</t>
        </is>
      </c>
      <c r="B980" t="inlineStr">
        <is>
          <t>android-test/src/androidTest/java/okhttp/android/test/alpn/AlpnOverrideTest.kt</t>
        </is>
      </c>
      <c r="C980">
        <f>HYPERLINK("https://github.com/square/okhttp/blob/master/android-test/src/androidTest/java/okhttp/android/test/alpn/AlpnOverrideTest.kt")</f>
        <v/>
      </c>
      <c r="D980" t="inlineStr">
        <is>
          <t>The code provided appears to be a license header for an Apache 2.0 licensed software component. It does not contain any specific functionality or implementation of core algorithms as per the complexity O(N). The repository contains backend software components but no explicit instructions on how to use them.
```java
// Copyright (C) 2020 Square, Inc.
// Licensed</t>
        </is>
      </c>
      <c r="E980" t="n">
        <v>0.0042</v>
      </c>
      <c r="F980" t="n">
        <v>0.09229999999999999</v>
      </c>
      <c r="G980" t="n">
        <v>0.155</v>
      </c>
      <c r="H980" t="inlineStr">
        <is>
          <t>The code provided is a Java function for adding two numbers (`add()`). It takes in two parameters `a` and `b` which are the numbers to be added together. The complexity of this operation is O(1), meaning it performs a fixed number of operations regardless of input size.
It also includes Apache License 2.0 copyright notice at the top of the</t>
        </is>
      </c>
      <c r="I980" t="n">
        <v>0.003</v>
      </c>
      <c r="J980" t="n">
        <v>0.0571</v>
      </c>
      <c r="K980" t="n">
        <v>0.1136</v>
      </c>
      <c r="L980" t="inlineStr">
        <is>
          <t>Thegivensourcecodefileappears to be an Android application that uses OkHttp for network requests. The main purpose of the code is to perform SSL handshake using ALPN (Application Layer Protocol Negotiation). It creates a custom ConnectionSpec which includes TLS 1.2 and then sets this as default client connection spec in the OkHttp Client. This allows the use of</t>
        </is>
      </c>
      <c r="M980" t="n">
        <v>0.0039</v>
      </c>
      <c r="N980" t="n">
        <v>0.0308</v>
      </c>
      <c r="O980" t="n">
        <v>0.1172</v>
      </c>
    </row>
    <row r="981">
      <c r="A981" t="inlineStr">
        <is>
          <t>okhttp</t>
        </is>
      </c>
      <c r="B981" t="inlineStr">
        <is>
          <t>okcurl/src/main/kotlin/okhttp3/curl/MainCommandLine.kt</t>
        </is>
      </c>
      <c r="C981">
        <f>HYPERLINK("https://github.com/square/okhttp/blob/master/okcurl/src/main/kotlin/okhttp3/curl/MainCommandLine.kt")</f>
        <v/>
      </c>
      <c r="D981" t="inlineStr">
        <is>
          <t>ThegivenJavaapplicationusesOkHttpformakingHTTPrequests.ItutilizesAjalt'sCLItoolkitforcommandlineargumentparsing.ItalsoincludesamainmethodthatcallssubclassedMainobjectsmainmethod.Onsuccessfulexecution,itterminatesprocessgracefully.
# Instribution of Code Summary
```java
/* 
 * Copyright (</t>
        </is>
      </c>
      <c r="E981" t="n">
        <v>0</v>
      </c>
      <c r="F981" t="n">
        <v>0</v>
      </c>
      <c r="G981" t="n">
        <v>0</v>
      </c>
      <c r="H981" t="inlineStr">
        <is>
          <t>The provided code is a Kotlin program that uses OkHttp's curl import and cli toolkit to create a command line interface (CLI). The main function calls the `main` method of an instance of the class `Main` which contains the core logic for implementing algorithms. This software component can be used as part of larger backend systems where complex calculations or data transformations are required.</t>
        </is>
      </c>
      <c r="I981" t="n">
        <v>0.0072</v>
      </c>
      <c r="J981" t="n">
        <v>0.0548</v>
      </c>
      <c r="K981" t="n">
        <v>0.3135</v>
      </c>
      <c r="L981" t="inlineStr">
        <is>
          <t>ThegivensourcecodefileisforabackendcomponentthatusesOkHttp3librarytocreateHTTPrequeststhatemulateaCurlcommand.IthasauniquepurposewhichisanexampleofhowtomakeuseofthislibrayintothecreationofcustomcommandsusingClIKitframework.Theexistingcommentsindicateaprogressiveimplementatonofcorealgorithmshow</t>
        </is>
      </c>
      <c r="M981" t="n">
        <v>0</v>
      </c>
      <c r="N981" t="n">
        <v>0</v>
      </c>
      <c r="O981" t="n">
        <v>0</v>
      </c>
    </row>
    <row r="982">
      <c r="A982" t="inlineStr">
        <is>
          <t>okhttp</t>
        </is>
      </c>
      <c r="B982" t="inlineStr">
        <is>
          <t>okcurl/src/main/kotlin/okhttp3/curl/Main.kt</t>
        </is>
      </c>
      <c r="C982">
        <f>HYPERLINK("https://github.com/square/okhttp/blob/master/okcurl/src/main/kotlin/okhttp3/curl/Main.kt")</f>
        <v/>
      </c>
      <c r="D982" t="inlineStr">
        <is>
          <t>The code you've provided appears to be a Java class that uses the OkHttp library for HTTP requests and Clikt library for command line interface (CLI). The copyright information at the top of the file indicates it is licensed under Apache License 2.0. This software may not be used except in compliance with this license. You can obtain a copy of the license at</t>
        </is>
      </c>
      <c r="E982" t="n">
        <v>0.0067</v>
      </c>
      <c r="F982" t="n">
        <v>0.0541</v>
      </c>
      <c r="G982" t="n">
        <v>0.1471</v>
      </c>
      <c r="H982" t="inlineStr">
        <is>
          <t>The function provided is a simple addition operation that takes two numbers as arguments and returns their sum. The code complexity is O(1), meaning it has constant time complexity since no loop or recursion operations are present in the add function.
The Apache License 2.0 applies to this piece of software which states that you may not use this file except in compliance with the license. You</t>
        </is>
      </c>
      <c r="I982" t="n">
        <v>0.0032</v>
      </c>
      <c r="J982" t="n">
        <v>0.0519</v>
      </c>
      <c r="K982" t="n">
        <v>0.1439</v>
      </c>
      <c r="L982" t="inlineStr">
        <is>
          <t>The provided code is a Java class that extends the CliktCommand class from the clikt library for creating command line interfaces (CLI). The main purpose of this class seems to be to handle HTTP requests using OkHttp's curl import functionality. 
It defines several options and arguments which may control various aspects of how these requests are made such as specifying headers or setting</t>
        </is>
      </c>
      <c r="M982" t="n">
        <v>0.0029</v>
      </c>
      <c r="N982" t="n">
        <v>0.0833</v>
      </c>
      <c r="O982" t="n">
        <v>0.1111</v>
      </c>
    </row>
    <row r="983">
      <c r="A983" t="inlineStr">
        <is>
          <t>okhttp</t>
        </is>
      </c>
      <c r="B983" t="inlineStr">
        <is>
          <t>okcurl/src/main/kotlin/okhttp3/curl/logging/MessageFormatter.kt</t>
        </is>
      </c>
      <c r="C983">
        <f>HYPERLINK("https://github.com/square/okhttp/blob/master/okcurl/src/main/kotlin/okhttp3/curl/logging/MessageFormatter.kt")</f>
        <v/>
      </c>
      <c r="D983" t="inlineStr">
        <is>
          <t>The provided code is a Java implementation of logging for OkHttp using CURL syntax formatting. It's licensed under the Apache License 2.0 and it formats log records into a simple form with message only. The complexity is O(N), where N represents number of characters in the record message.
It seems to be an internal tool used by Square, Inc., which could</t>
        </is>
      </c>
      <c r="E983" t="n">
        <v>0.003</v>
      </c>
      <c r="F983" t="n">
        <v>0.0556</v>
      </c>
      <c r="G983" t="n">
        <v>0.1128</v>
      </c>
      <c r="H983" t="inlineStr">
        <is>
          <t>The provided code is a Java implementation of the Apache License 2.0 which includes copyright notices and conditions for use. It also contains an object named `objectMessageFormatter` that extends `SimpleFormatter` to format log records with customized message formats. The function `format()` in this class overrides the default behavior of SimpleFormatter by appending newline characters (`%</t>
        </is>
      </c>
      <c r="I983" t="n">
        <v>0.0033</v>
      </c>
      <c r="J983" t="n">
        <v>0.0635</v>
      </c>
      <c r="K983" t="n">
        <v>0.1575</v>
      </c>
      <c r="L983" t="inlineStr">
        <is>
          <t>The provided code is a Java implementation of the SimpleFormatter class from OkHttp's curl logging module. This class extends java.util.logging.SimpleFormatter and overrides its format method to customize how log records are formatted before they are logged or displayed. The purpose of this class appears to be to provide customization for the output of HTTP requests made using OkHTTP library in CURL</t>
        </is>
      </c>
      <c r="M983" t="n">
        <v>0.0036</v>
      </c>
      <c r="N983" t="n">
        <v>0.0548</v>
      </c>
      <c r="O983" t="n">
        <v>0.1504</v>
      </c>
    </row>
    <row r="984">
      <c r="A984" t="inlineStr">
        <is>
          <t>okhttp</t>
        </is>
      </c>
      <c r="B984" t="inlineStr">
        <is>
          <t>okcurl/src/main/kotlin/okhttp3/curl/logging/LoggingUtil.kt</t>
        </is>
      </c>
      <c r="C984">
        <f>HYPERLINK("https://github.com/square/okhttp/blob/master/okcurl/src/main/kotlin/okhttp3/curl/logging/LoggingUtil.kt")</f>
        <v/>
      </c>
      <c r="D984" t="inlineStr">
        <is>
          <t>The provided code is a Java class that configures logging for OkHttp 3 using java.util.logging package. It sets up the log level and adds a ConsoleHandler to handle logs at different levels (INFO, SEVERE). The active loggers are stored in an array list named 'activeLoggers'. This class also contains a static method called `configureLogging`</t>
        </is>
      </c>
      <c r="E984" t="n">
        <v>0.004</v>
      </c>
      <c r="F984" t="n">
        <v>0.0312</v>
      </c>
      <c r="G984" t="n">
        <v>0.119</v>
      </c>
      <c r="H984" t="inlineStr">
        <is>
          <t>The code provided is a Java class that uses OkHttp's HTTP client library to log requests and responses in CURL format. It contains a companion object with methods for configuring logging. The `configureLogging` method takes two parameters - `debug` which controls the level of detail shown in logs (if true, more detailed information will be logged), and `showHeaders` which determines whether</t>
        </is>
      </c>
      <c r="I984" t="n">
        <v>0.003</v>
      </c>
      <c r="J984" t="n">
        <v>0.029</v>
      </c>
      <c r="K984" t="n">
        <v>0.0752</v>
      </c>
      <c r="L984" t="inlineStr">
        <is>
          <t>The provided code is a Java class that uses OkHTTP library for HTTP requests and implements logging functionality using java's built-in Logger. The main purpose of this class seems to be managing the configuration settings related to logging in an application.
It starts by configuring logging with two parameters - debug mode (boolean value indicating whether detailed logs should be shown or not) and showHttp</t>
        </is>
      </c>
      <c r="M984" t="n">
        <v>0.0037</v>
      </c>
      <c r="N984" t="n">
        <v>0.08110000000000001</v>
      </c>
      <c r="O984" t="n">
        <v>0.146</v>
      </c>
    </row>
    <row r="985">
      <c r="A985" t="inlineStr">
        <is>
          <t>okhttp</t>
        </is>
      </c>
      <c r="B985" t="inlineStr">
        <is>
          <t>okcurl/src/main/kotlin/okhttp3/curl/logging/OneLineLogFormat.kt</t>
        </is>
      </c>
      <c r="C985">
        <f>HYPERLINK("https://github.com/square/okhttp/blob/master/okcurl/src/main/kotlin/okhttp3/curl/logging/OneLineLogFormat.kt")</f>
        <v/>
      </c>
      <c r="D985" t="inlineStr">
        <is>
          <t>```
The code is a Java implementation of OkHttp's Curl logging feature licensed under the Apache License 2.0 (see http://www.apache.org/licenses/LICENSE-2.0). It provides functionality for generating curl commands from HTTP requests made with OkHttp and logs these commands along with request details such as timestamp, response time etc., to</t>
        </is>
      </c>
      <c r="E985" t="n">
        <v>0.0045</v>
      </c>
      <c r="F985" t="n">
        <v>0.09379999999999999</v>
      </c>
      <c r="G985" t="n">
        <v>0.125</v>
      </c>
      <c r="H985" t="inlineStr">
        <is>
          <t>The provided code is a Java implementation of the add function which takes two numbers as input and returns their sum. The time complexity of this operation is O(1), meaning it performs a constant number of operations regardless of the size of the inputs.
Here's an example usage of this method in a main class:
```java
public static void main(String[] args)</t>
        </is>
      </c>
      <c r="I985" t="n">
        <v>0.003</v>
      </c>
      <c r="J985" t="n">
        <v>0.0833</v>
      </c>
      <c r="K985" t="n">
        <v>0.1504</v>
      </c>
      <c r="L985" t="inlineStr">
        <is>
          <t>```
The provided code is a Java implementation of the OkHttp client with Curl logging feature. It logs HTTP requests and responses in a similar format to that produced by cURL command line tool. 
It does this through the use of java.util.concurrent.ExecutorService for asynchronous execution of requests. The ExecutorService runs on an unbounded thread pool</t>
        </is>
      </c>
      <c r="M985" t="n">
        <v>0.0033</v>
      </c>
      <c r="N985" t="n">
        <v>0.0615</v>
      </c>
      <c r="O985" t="n">
        <v>0.1575</v>
      </c>
    </row>
    <row r="986">
      <c r="A986" t="inlineStr">
        <is>
          <t>okhttp</t>
        </is>
      </c>
      <c r="B986" t="inlineStr">
        <is>
          <t>okcurl/src/main/kotlin/okhttp3/curl/internal/-MainCommon.kt</t>
        </is>
      </c>
      <c r="C986">
        <f>HYPERLINK("https://github.com/square/okhttp/blob/master/okcurl/src/main/kotlin/okhttp3/curl/internal/-MainCommon.kt")</f>
        <v/>
      </c>
      <c r="D986" t="inlineStr">
        <is>
          <t>ThegivenJavaorKotlincodeappearstoBehindaGUIinterfaceforOkHttp3librarywhichusesaCurlcommandtorequestdatafromaserver.Itcreatesaresequestobjectusingcomplexalgorithmsinvolvedinnetworkingprotocols.
# Task 4: Code Review (75 points)
## Instruction: Summarize the code</t>
        </is>
      </c>
      <c r="E986" t="n">
        <v>0</v>
      </c>
      <c r="F986" t="n">
        <v>0</v>
      </c>
      <c r="G986" t="n">
        <v>0</v>
      </c>
      <c r="H986" t="inlineStr">
        <is>
          <t>The code you provided is a Kotlin function named `add` that takes two parameters (numbers), adds them together and returns the result. This operation has a time complexity of O(1). The README file explains how to use this function in detail with an example usage.
The repository contains backend software components written in Kotlin. It implements core algorithms used by these</t>
        </is>
      </c>
      <c r="I986" t="n">
        <v>0.007900000000000001</v>
      </c>
      <c r="J986" t="n">
        <v>0.1143</v>
      </c>
      <c r="K986" t="n">
        <v>0.3206</v>
      </c>
      <c r="L986" t="inlineStr">
        <is>
          <t>The provided code is a part of the OkHttp library's internal implementation for creating HTTP requests in Kotlin language. The main purpose of this function `commonCreateRequest()` is to create an instance of Request object with various parameters such as URL, headers and body content. 
Here are some key operations performed by this method:
1. It sets up the request</t>
        </is>
      </c>
      <c r="M986" t="n">
        <v>0.0031</v>
      </c>
      <c r="N986" t="n">
        <v>0.0882</v>
      </c>
      <c r="O986" t="n">
        <v>0.1527</v>
      </c>
    </row>
    <row r="987">
      <c r="A987" t="inlineStr">
        <is>
          <t>okhttp</t>
        </is>
      </c>
      <c r="B987" t="inlineStr">
        <is>
          <t>okcurl/src/test/kotlin/okhttp3/curl/MainTest.kt</t>
        </is>
      </c>
      <c r="C987">
        <f>HYPERLINK("https://github.com/square/okhttp/blob/master/okcurl/src/test/kotlin/okhttp3/curl/MainTest.kt")</f>
        <v/>
      </c>
      <c r="D987" t="inlineStr">
        <is>
          <t>The code is a test case for the OkHttp library in Kotlin that tests creating an HTTP request using command line arguments and asserting certain properties of this request. The main class `MainTest` has a single method `simple()` which creates a GET request to "http://example.com". It then checks if the created request URL starts with "http://example.com", whether</t>
        </is>
      </c>
      <c r="E987" t="n">
        <v>0.0032</v>
      </c>
      <c r="F987" t="n">
        <v>0.029</v>
      </c>
      <c r="G987" t="n">
        <v>0.1163</v>
      </c>
      <c r="H987" t="inlineStr">
        <is>
          <t>The provided code is a Java class named MainTest that contains a single test method called simple(). This test method creates an HTTP request to "http://example.com". The request is created using the fromArgs function with the argument "http://example.com", and then createRequest is invoked on this resultant object.
The copyright notice at the top of the file states that</t>
        </is>
      </c>
      <c r="I987" t="n">
        <v>0.0037</v>
      </c>
      <c r="J987" t="n">
        <v>0.0857</v>
      </c>
      <c r="K987" t="n">
        <v>0.1154</v>
      </c>
      <c r="L987" t="inlineStr">
        <is>
          <t>ThegivenJavaSourceFileusesOkHttp'sAPIformakingHTTPrequeststotheURLpassedintothesequencetests.ItutilizesAjaltCLIktlibraryformakingcommandlineargumentsparsingeasier.ItalsohasunitTestsusingKotlintestframework.Theprimarymethodinspectingthissourcecodemaincontainssomebasicvalidationslikecheckingiftheurl</t>
        </is>
      </c>
      <c r="M987" t="n">
        <v>0</v>
      </c>
      <c r="N987" t="n">
        <v>0</v>
      </c>
      <c r="O987" t="n">
        <v>0</v>
      </c>
    </row>
    <row r="988">
      <c r="A988" t="inlineStr">
        <is>
          <t>okhttp</t>
        </is>
      </c>
      <c r="B988" t="inlineStr">
        <is>
          <t>build-logic/src/main/kotlin/Osgi.kt</t>
        </is>
      </c>
      <c r="C988">
        <f>HYPERLINK("https://github.com/square/okhttp/blob/master/build-logic/src/main/kotlin/Osgi.kt")</f>
        <v/>
      </c>
      <c r="D988" t="inlineStr">
        <is>
          <t># The provided code is a Gradle build script that sets up and configures the project for building Java software components with Apache License 2.0. It imports various classes from Gradle's API to define dependencies, tasks, plugins etc., and applies specific configurations related to bnd (bundle) plugin. This includes defining custom extension properties of type BundleTaskExtension, applying the</t>
        </is>
      </c>
      <c r="E988" t="n">
        <v>0.0041</v>
      </c>
      <c r="F988" t="n">
        <v>0.0597</v>
      </c>
      <c r="G988" t="n">
        <v>0.1154</v>
      </c>
      <c r="H988" t="inlineStr">
        <is>
          <t>The provided code is a Java function for adding two numbers together. The functionality of the code can be summarized as follows:
```plaintext
Function Name: add
Input Parameters: a (number), b (number)
Return Value: The sum of input parameters 'a' and 'b'.
Description: This function performs addition operation on two inputs and returns their result</t>
        </is>
      </c>
      <c r="I988" t="n">
        <v>0.0044</v>
      </c>
      <c r="J988" t="n">
        <v>0.09520000000000001</v>
      </c>
      <c r="K988" t="n">
        <v>0.1575</v>
      </c>
      <c r="L988" t="inlineStr">
        <is>
          <t>The provided code is a Java Gradle project that uses the bnd-gradle plugin for OSGi bundle generation and packaging of its modules. The main purpose of this code seems to be managing dependencies within an OSGi environment using Gradle's dependency management capabilities.
Here are some key points about the functionality:
1. It defines tasks related to generating bundles from</t>
        </is>
      </c>
      <c r="M988" t="n">
        <v>0.0031</v>
      </c>
      <c r="N988" t="n">
        <v>0.058</v>
      </c>
      <c r="O988" t="n">
        <v>0.1145</v>
      </c>
    </row>
    <row r="989">
      <c r="A989" t="inlineStr">
        <is>
          <t>okhttp</t>
        </is>
      </c>
      <c r="B989" t="inlineStr">
        <is>
          <t>build-logic/src/main/kotlin/JavaModules.kt</t>
        </is>
      </c>
      <c r="C989">
        <f>HYPERLINK("https://github.com/square/okhttp/blob/master/build-logic/src/main/kotlin/JavaModules.kt")</f>
        <v/>
      </c>
      <c r="D989" t="inlineStr">
        <is>
          <t>The provided code is a license header for an Apache 2.0 licensed project written in Java or Kotlin that uses Gradle as its build tool. The license specifies conditions under which the software may be used and distributed. It also includes instructions on obtaining a copy of the License at https://www.apache.org/licenses/LICENSE-2.0. This</t>
        </is>
      </c>
      <c r="E989" t="n">
        <v>0.0046</v>
      </c>
      <c r="F989" t="n">
        <v>0.0588</v>
      </c>
      <c r="G989" t="n">
        <v>0.2545</v>
      </c>
      <c r="H989" t="inlineStr">
        <is>
          <t>The provided code is a simple function for adding two numbers in Python named `add` which takes two parameters (numbers) and returns their sum. The time complexity of this operation is O(1), meaning it performs the addition operation with constant time regardless of input size.
Please provide your own code to summarize or explain.</t>
        </is>
      </c>
      <c r="I989" t="n">
        <v>0.0034</v>
      </c>
      <c r="J989" t="n">
        <v>0.0635</v>
      </c>
      <c r="K989" t="n">
        <v>0.119</v>
      </c>
      <c r="L989" t="inlineStr">
        <is>
          <t>The provided code file is a Java application that uses Gradle as its build tool and Kotlin for development. The purpose of the software is to compile Java and Kotlin source files into executable JAR files. It also includes multi-release jar packaging support which allows it to produce jars compatible with multiple versions of java.
The main operations performed by this program are related to</t>
        </is>
      </c>
      <c r="M989" t="n">
        <v>0.0033</v>
      </c>
      <c r="N989" t="n">
        <v>0.0541</v>
      </c>
      <c r="O989" t="n">
        <v>0.146</v>
      </c>
    </row>
    <row r="990">
      <c r="A990" t="inlineStr">
        <is>
          <t>okhttp</t>
        </is>
      </c>
      <c r="B990" t="inlineStr">
        <is>
          <t>build-logic/src/main/kotlin/AlpnVersions.kt</t>
        </is>
      </c>
      <c r="C990">
        <f>HYPERLINK("https://github.com/square/okhttp/blob/master/build-logic/src/main/kotlin/AlpnVersions.kt")</f>
        <v/>
      </c>
      <c r="D990" t="inlineStr">
        <is>
          <t>The code provided is a function that returns the Jetty ALPN (Application-Layer Protocol Negotiation) boot version for a given patch version of Java 8. The function uses a switch statement to map different ranges of patch versions to corresponding Jetty ALPN boot versions. If no match is found in any range, it will return null. This implementation has time</t>
        </is>
      </c>
      <c r="E990" t="n">
        <v>0.0031</v>
      </c>
      <c r="F990" t="n">
        <v>0.0588</v>
      </c>
      <c r="G990" t="n">
        <v>0.1145</v>
      </c>
      <c r="H990" t="inlineStr">
        <is>
          <t>The function provided is a simple addition operation that takes two numbers as input and returns their sum. The time complexity of this function is O(1), meaning it performs the same number of operations regardless of the size of the inputs.
Here's an example usage:
```kotlin
val result = add(5, 3) // Output will be 8
```</t>
        </is>
      </c>
      <c r="I990" t="n">
        <v>0.0032</v>
      </c>
      <c r="J990" t="n">
        <v>0.0615</v>
      </c>
      <c r="K990" t="n">
        <v>0.1163</v>
      </c>
      <c r="L990" t="inlineStr">
        <is>
          <t>The provided code file is a Kotlin function named `private fun alpnBootVersionForPatchVersion(patchVersion: Int): String?` that maps an integer patch version to its corresponding ALPN Boot Version string. The purpose of this function seems to be to provide the correct bootstrap versions for various OpenSSL versions used in conjunction with Jetty (a Java EE web server</t>
        </is>
      </c>
      <c r="M990" t="n">
        <v>0</v>
      </c>
      <c r="N990" t="n">
        <v>0.0625</v>
      </c>
      <c r="O990" t="n">
        <v>0.07870000000000001</v>
      </c>
    </row>
    <row r="991">
      <c r="A991" t="inlineStr">
        <is>
          <t>okhttp</t>
        </is>
      </c>
      <c r="B991" t="inlineStr">
        <is>
          <t>build-logic/src/main/kotlin/BndBuildAction.kt</t>
        </is>
      </c>
      <c r="C991">
        <f>HYPERLINK("https://github.com/square/okhttp/blob/master/build-logic/src/main/kotlin/BndBuildAction.kt")</f>
        <v/>
      </c>
      <c r="D991" t="inlineStr">
        <is>
          <t>The provided code is a Java program that appears to be setting up and configuring an OSGi bundle using the `aQute.bnd` library for Gradle. The license at the top of the file specifies Apache License 2.0 which allows users to use it under certain conditions. This includes not distributing or modifying this software without proper attribution. It</t>
        </is>
      </c>
      <c r="E991" t="n">
        <v>0.0042</v>
      </c>
      <c r="F991" t="n">
        <v>0.0597</v>
      </c>
      <c r="G991" t="n">
        <v>0.2447</v>
      </c>
      <c r="H991" t="inlineStr">
        <is>
          <t>The provided code is a Java function named "add". This function takes two parameters 'a' and 'b', adds them together, and returns the result. The time complexity of this operation is O(1), meaning it performs a constant number of operations regardless of the size of the input data.
In terms of functionality, this function provides simple addition of two numbers. It does not</t>
        </is>
      </c>
      <c r="I991" t="n">
        <v>0.0034</v>
      </c>
      <c r="J991" t="n">
        <v>0.0833</v>
      </c>
      <c r="K991" t="n">
        <v>0.1111</v>
      </c>
      <c r="L991" t="inlineStr">
        <is>
          <t>The provided code is a Java program that manipulates OSGi bundles using the Apache Aries JBoss bnd library. The main purpose of this code seems to be generating an OSGi bundle from a set of input files and properties.
It starts by defining several import statements for various classes used in the project such as `BundleTaskExtension`, `Builder`,</t>
        </is>
      </c>
      <c r="M991" t="n">
        <v>0.0032</v>
      </c>
      <c r="N991" t="n">
        <v>0.0615</v>
      </c>
      <c r="O991" t="n">
        <v>0.1163</v>
      </c>
    </row>
    <row r="992">
      <c r="A992" t="inlineStr">
        <is>
          <t>okhttp</t>
        </is>
      </c>
      <c r="B992" t="inlineStr">
        <is>
          <t>build-logic/src/main/kotlin/okhttp3/buildsupport/OkHttpBuildUtils.kt</t>
        </is>
      </c>
      <c r="C992">
        <f>HYPERLINK("https://github.com/square/okhttp/blob/master/build-logic/src/main/kotlin/okhttp3/buildsupport/OkHttpBuildUtils.kt")</f>
        <v/>
      </c>
      <c r="D992" t="inlineStr">
        <is>
          <t>The provided code is a Gradle build script that defines several properties related to the OkHttp project and their getters for retrieving these values from gradle.properties file if they exist or default values are returned otherwise. The complexity of this code is O(N), where N represents the number of lines in the code base as it has no loops or recursive calls. It's important to</t>
        </is>
      </c>
      <c r="E992" t="n">
        <v>0.0028</v>
      </c>
      <c r="F992" t="n">
        <v>0.0263</v>
      </c>
      <c r="G992" t="n">
        <v>0.073</v>
      </c>
      <c r="H992" t="inlineStr">
        <is>
          <t>The provided code is a Gradle build script for OkHttp 4.x that sets up various properties and dependencies based on the project's configuration. The main functionality of this code can be summarized as follows:
It defines several read-only properties (`platform`, `testJavaVersion`, `androidBuild`, and `alpnBootVersion`), initializes</t>
        </is>
      </c>
      <c r="I992" t="n">
        <v>0.0049</v>
      </c>
      <c r="J992" t="n">
        <v>0.07140000000000001</v>
      </c>
      <c r="K992" t="n">
        <v>0.1282</v>
      </c>
      <c r="L992" t="inlineStr">
        <is>
          <t>The provided code is a part of OkHttp's build support for platform and Java version configurations in Gradle. It defines three properties that are used to configure the project based on different conditions such as the target platform (`okhttp.platform`), test Java version (`test.java.version`), and whether it's an Android Build (`androidBuild`). The function `</t>
        </is>
      </c>
      <c r="M992" t="n">
        <v>0.0035</v>
      </c>
      <c r="N992" t="n">
        <v>0.0308</v>
      </c>
      <c r="O992" t="n">
        <v>0.08</v>
      </c>
    </row>
    <row r="993">
      <c r="A993" t="inlineStr">
        <is>
          <t>okhttp</t>
        </is>
      </c>
      <c r="B993" t="inlineStr">
        <is>
          <t>okhttp-sse/src/main/kotlin/okhttp3/sse/EventSourceListener.kt</t>
        </is>
      </c>
      <c r="C993">
        <f>HYPERLINK("https://github.com/square/okhttp/blob/master/okhttp-sse/src/main/kotlin/okhttp3/sse/EventSourceListener.kt")</f>
        <v/>
      </c>
      <c r="D993" t="inlineStr">
        <is>
          <t>TheprovidedcodeisforanOKHTTPlibrary'sServerSentEvents(SSE).ItopensaConnectionbetweenclientandsERVERviaEventSourceinterface.Whenconnected,itlistensforeventsfromserverlikeasubscriber. Italsohandlesresponsesreceivedfromtheserver.}
``` 
## Code Explanation
The provided code is for an OKHttp</t>
        </is>
      </c>
      <c r="E993" t="n">
        <v>0</v>
      </c>
      <c r="F993" t="n">
        <v>0</v>
      </c>
      <c r="G993" t="n">
        <v>0</v>
      </c>
      <c r="H993" t="inlineStr">
        <is>
          <t>```plaintext
The provided code is a function for addition of two numbers in Python programming language. The time complexity of this operation is O(1), indicating that it takes constant time to perform the task regardless of the size of input data. 
Here's a concise and clear summary of its functionality:
Function Name: add
Input Parameters: a (number</t>
        </is>
      </c>
      <c r="I993" t="n">
        <v>0.0032</v>
      </c>
      <c r="J993" t="n">
        <v>0.0597</v>
      </c>
      <c r="K993" t="n">
        <v>0.1163</v>
      </c>
      <c r="L993" t="inlineStr">
        <is>
          <t>Thegivensourcecodefileimplentsaninterfacecalled'EventSourceListener'.Itdefinesafourmethods:'onOpen()',whichisinvokedwhentheremoteserveropensachanneltowiththeclient,'onEvent()',whichisinvokedwheneventsoccursinthatchannel.'onOpen()''takesthreeparameters:'eventSource','response'andreturnsnothing.</t>
        </is>
      </c>
      <c r="M993" t="n">
        <v>0</v>
      </c>
      <c r="N993" t="n">
        <v>0</v>
      </c>
      <c r="O993" t="n">
        <v>0</v>
      </c>
    </row>
    <row r="994">
      <c r="A994" t="inlineStr">
        <is>
          <t>okhttp</t>
        </is>
      </c>
      <c r="B994" t="inlineStr">
        <is>
          <t>okhttp-sse/src/main/kotlin/okhttp3/sse/EventSource.kt</t>
        </is>
      </c>
      <c r="C994">
        <f>HYPERLINK("https://github.com/square/okhttp/blob/master/okhttp-sse/src/main/kotlin/okhttp3/sse/EventSource.kt")</f>
        <v/>
      </c>
      <c r="D994" t="inlineStr">
        <is>
          <t>```java
// Copyright (C) 2018 Square, Inc.
// Licensed under the Apache License, Version 2.0 (the "License");
// you may not use this file except in compliance with the License.
// You may obtain a copy of the License at http://www.apache.org/licenses/LICENSE-2</t>
        </is>
      </c>
      <c r="E994" t="n">
        <v>0</v>
      </c>
      <c r="F994" t="n">
        <v>0.0385</v>
      </c>
      <c r="G994" t="n">
        <v>0.0885</v>
      </c>
      <c r="H994" t="inlineStr">
        <is>
          <t>The code provided is a Java implementation of the OkHttp library's Event Source (Server Sent Events). The function `request` returns the original request that initiated this event source and the function `cancel` immediately releases resources held by this event source. If the event source has already been closed or canceled, it does nothing. The interface `Factory` creates an instance of the EventSource class</t>
        </is>
      </c>
      <c r="I994" t="n">
        <v>0.0029</v>
      </c>
      <c r="J994" t="n">
        <v>0.0833</v>
      </c>
      <c r="K994" t="n">
        <v>0.1481</v>
      </c>
      <c r="L994" t="inlineStr">
        <is>
          <t>###Returnsafactoryforcreatingnewinstancesofthisclass'ssubtype.*/suspendoperator fun&lt;T : EventSource&gt; factory(): T}
```
The code is a Kotlin implementation of an `EventSource` class using OkHttp library for networking in Android applications. The purpose of this class seems to be creating instances that can initiate network requests</t>
        </is>
      </c>
      <c r="M994" t="n">
        <v>0</v>
      </c>
      <c r="N994" t="n">
        <v>0.0408</v>
      </c>
      <c r="O994" t="n">
        <v>0.1339</v>
      </c>
    </row>
    <row r="995">
      <c r="A995" t="inlineStr">
        <is>
          <t>okhttp</t>
        </is>
      </c>
      <c r="B995" t="inlineStr">
        <is>
          <t>okhttp-sse/src/main/kotlin/okhttp3/sse/EventSources.kt</t>
        </is>
      </c>
      <c r="C995">
        <f>HYPERLINK("https://github.com/square/okhttp/blob/master/okhttp-sse/src/main/kotlin/okhttp3/sse/EventSources.kt")</f>
        <v/>
      </c>
      <c r="D995" t="inlineStr">
        <is>
          <t>```java
// Copyright (C) 2018 Square, Inc.
// Licensed under the Apache License, Version 2.0 (the "License");
// you may not use this file except in compliance with the License.
// You may obtain a copy of the License at http://www.apache.org/licenses/LICENSE-2</t>
        </is>
      </c>
      <c r="E995" t="n">
        <v>0</v>
      </c>
      <c r="F995" t="n">
        <v>0.0385</v>
      </c>
      <c r="G995" t="n">
        <v>0.0885</v>
      </c>
      <c r="H995" t="inlineStr">
        <is>
          <t>The code you provided is a Java class that uses OkHTTP library to create an event source factory for SSE (Server Sent Events). It's using the `@Deprecated` annotation which means this method will not be used in future versions of the software and it has been hidden from Javadoc generation. The complexity of this function is O(n), where n represents the number of events</t>
        </is>
      </c>
      <c r="I995" t="n">
        <v>0.0034</v>
      </c>
      <c r="J995" t="n">
        <v>0.08110000000000001</v>
      </c>
      <c r="K995" t="n">
        <v>0.1471</v>
      </c>
      <c r="L995" t="inlineStr">
        <is>
          <t>The provided code is a Java implementation of an Event Source (Server Sent Events - SSE). It uses OkHTTP library for networking and it's designed to be used as a factory for creating instances of RealEventSource objects which are responsible for handling the event source connection. The main purpose of this class seems to be managing connections with server side events.
The functionality includes:</t>
        </is>
      </c>
      <c r="M995" t="n">
        <v>0.0034</v>
      </c>
      <c r="N995" t="n">
        <v>0.0556</v>
      </c>
      <c r="O995" t="n">
        <v>0.1471</v>
      </c>
    </row>
    <row r="996">
      <c r="A996" t="inlineStr">
        <is>
          <t>okhttp</t>
        </is>
      </c>
      <c r="B996" t="inlineStr">
        <is>
          <t>okhttp-sse/src/main/kotlin/okhttp3/sse/internal/ServerSentEventReader.kt</t>
        </is>
      </c>
      <c r="C996">
        <f>HYPERLINK("https://github.com/square/okhttp/blob/master/okhttp-sse/src/main/kotlin/okhttp3/sse/internal/ServerSentEventReader.kt")</f>
        <v/>
      </c>
      <c r="D996" t="inlineStr">
        <is>
          <t>The code provided is a Server Sent Event (SSE) reader implementation in Kotlin using OkHttp library for networking and OkIO for IO operations. It reads server sent events from the given BufferedSource and calls back on an event with the received data. The callback function `onEvent` takes as parameter the id of the last read event. This allows to keep track of where you left</t>
        </is>
      </c>
      <c r="E996" t="n">
        <v>0.0033</v>
      </c>
      <c r="F996" t="n">
        <v>0.0548</v>
      </c>
      <c r="G996" t="n">
        <v>0.146</v>
      </c>
      <c r="H996" t="inlineStr">
        <is>
          <t>The code you provided is a Server Sent Event (SSE) reader in Java using OkHttp library. It reads server sent events from the given source and calls back when an event occurs with its id. The complexity of this function should be O(n), where n represents the number of bytes read from the BufferedSource.
Here's a concise summary:</t>
        </is>
      </c>
      <c r="I996" t="n">
        <v>0.0031</v>
      </c>
      <c r="J996" t="n">
        <v>0.0588</v>
      </c>
      <c r="K996" t="n">
        <v>0.1154</v>
      </c>
      <c r="L996" t="inlineStr">
        <is>
          <t>The code you provided appears to be a part of an OkHttp library for handling Server Sent Events (SSE). It's implementing a custom reader class `ServerSentEventReader` that reads from the given source and calls back with events as they are received. The callback interface has one method `onEvent()` which takes in two parameters - 'id' and 'event'.</t>
        </is>
      </c>
      <c r="M996" t="n">
        <v>0.0032</v>
      </c>
      <c r="N996" t="n">
        <v>0.0615</v>
      </c>
      <c r="O996" t="n">
        <v>0.1163</v>
      </c>
    </row>
    <row r="997">
      <c r="A997" t="inlineStr">
        <is>
          <t>okhttp</t>
        </is>
      </c>
      <c r="B997" t="inlineStr">
        <is>
          <t>okhttp-sse/src/main/kotlin/okhttp3/sse/internal/RealEventSource.kt</t>
        </is>
      </c>
      <c r="C997">
        <f>HYPERLINK("https://github.com/square/okhttp/blob/master/okhttp-sse/src/main/kotlin/okhttp3/sse/internal/RealEventSource.kt")</f>
        <v/>
      </c>
      <c r="D997" t="inlineStr">
        <is>
          <t>ThegivenJava code is a part of the OkHttp library's implementation for handling Server Sent Events (SSE). It creates an instance of RealEventSource class which extends EventSource and implements Callback interface to handle HTTP requests asynchronously with event listeners in Java. The SEE is used by clients to receive updates from servers without having to poll the server for changes. This allows real time</t>
        </is>
      </c>
      <c r="E997" t="n">
        <v>0.0038</v>
      </c>
      <c r="F997" t="n">
        <v>0.0556</v>
      </c>
      <c r="G997" t="n">
        <v>0.1481</v>
      </c>
      <c r="H997" t="inlineStr">
        <is>
          <t>ThegivenJavaOkHttpcodeusesaneventbasedapproachtoestablishconnectionwithaserverusingServerSentEvents(SSE).Itfirstcreatesaninstanceof`RealEventSource`whichtakesaserverrequestandlistenerobject.Duringinstantiation,itmakesareservecallthroughokhttpclientapi.Afterthat,whenanynewdataarrivestotheeventsource</t>
        </is>
      </c>
      <c r="I997" t="n">
        <v>0</v>
      </c>
      <c r="J997" t="n">
        <v>0</v>
      </c>
      <c r="K997" t="n">
        <v>0</v>
      </c>
      <c r="L997" t="inlineStr">
        <is>
          <t>The given code is a Java implementation of an Event Source class named RealEventSource that uses the OkHttp library for making HTTP requests and handling server sent events (SSE). It sets up an event listener to receive Server Sent Events from a specified URL endpoint in real time. The purpose of this class seems to be providing a way to listen to live data streams without having to continuously poll the server for</t>
        </is>
      </c>
      <c r="M997" t="n">
        <v>0.0025</v>
      </c>
      <c r="N997" t="n">
        <v>0.0494</v>
      </c>
      <c r="O997" t="n">
        <v>0.1379</v>
      </c>
    </row>
    <row r="998">
      <c r="A998" t="inlineStr">
        <is>
          <t>okhttp</t>
        </is>
      </c>
      <c r="B998" t="inlineStr">
        <is>
          <t>okhttp-sse/src/main/java9/module-info.java</t>
        </is>
      </c>
      <c r="C998">
        <f>HYPERLINK("https://github.com/square/okhttp/blob/master/okhttp-sse/src/main/java9/module-info.java")</f>
        <v/>
      </c>
      <c r="D998" t="inlineStr">
        <is>
          <t>The provided code is a module declaration for the package "okhttp3.sse" in Java programming language. It requires the okhttp3 library and exports its functionality to be used by other modules or packages of an application. The complexity of this piece of code is O(N), indicating that it has linear time complexity where N represents some variable number of operations. There are no</t>
        </is>
      </c>
      <c r="E998" t="n">
        <v>0.0039</v>
      </c>
      <c r="F998" t="n">
        <v>0.0556</v>
      </c>
      <c r="G998" t="n">
        <v>0.1493</v>
      </c>
      <c r="H998" t="inlineStr">
        <is>
          <t>The provided code is a module declaration for the OkHttp library in Java. It exports the package "okhttp3.sse" which contains Server-Sent Events (SSE). The complexity of this operation is O(N), where N represents the number of modules being declared or exported. This function doesn't perform any mathematical operations but rather manages and organizes import/export statements</t>
        </is>
      </c>
      <c r="I998" t="n">
        <v>0.0044</v>
      </c>
      <c r="J998" t="n">
        <v>0.1176</v>
      </c>
      <c r="K998" t="n">
        <v>0.1575</v>
      </c>
      <c r="L998" t="inlineStr">
        <is>
          <t>The provided code file is a module declaration for the 'okhttp3.sse' package in Java. The purpose of this code seems to be to establish communication with servers using Server-Sent Events (SSE). It requires the okhttp3 library and exports it as an SSE client. This functionality can be summarized as follows: "Module 'okhttp3.sse' establ</t>
        </is>
      </c>
      <c r="M998" t="n">
        <v>0.0049</v>
      </c>
      <c r="N998" t="n">
        <v>0.0625</v>
      </c>
      <c r="O998" t="n">
        <v>0.16</v>
      </c>
    </row>
    <row r="999">
      <c r="A999" t="inlineStr">
        <is>
          <t>okhttp</t>
        </is>
      </c>
      <c r="B999" t="inlineStr">
        <is>
          <t>okhttp-sse/src/test/java/okhttp3/sse/internal/EventSourceRecorder.kt</t>
        </is>
      </c>
      <c r="C999">
        <f>HYPERLINK("https://github.com/square/okhttp/blob/master/okhttp-sse/src/test/java/okhttp3/sse/internal/EventSourceRecorder.kt")</f>
        <v/>
      </c>
      <c r="D999" t="inlineStr">
        <is>
          <t>The code provided is a Java implementation of an Event Source using OkHttp library with assertions for testing purposes. It's licensed under the Apache License version 2.0 and has some basic functionality to handle event source connections. The main classes used are `EventSource` from okhttp3 package which handles server sent events (SSE), and other utility classes like `Assertions` in import</t>
        </is>
      </c>
      <c r="E999" t="n">
        <v>0.0036</v>
      </c>
      <c r="F999" t="n">
        <v>0.0857</v>
      </c>
      <c r="G999" t="n">
        <v>0.1136</v>
      </c>
      <c r="H999" t="inlineStr">
        <is>
          <t>The code you provided is a simple function that adds two numbers together using the + operator in Java. The functionality of this code can be summarized as follows:
It takes in two parameters (numbers), performs an addition operation on them and returns the result. This process does not involve any complex algorithms or data structures. 
Here's how it works:
```java</t>
        </is>
      </c>
      <c r="I999" t="n">
        <v>0.0039</v>
      </c>
      <c r="J999" t="n">
        <v>0.058</v>
      </c>
      <c r="K999" t="n">
        <v>0.1128</v>
      </c>
      <c r="L999" t="inlineStr">
        <is>
          <t>ThegivenJavaSRCfileusesOkHttplibrarytosubscribeandprocessserverSentEventsfromaURLusingServerSentEventsAPI.Itstartssubscriptionwhencreate()methodisinvokedandstopswhneverclose()methodiscalled.Thesubscribedeventsarepassedthroughcallbackfunctionsforprocessingindividualeventdata.Thereisanerrorhandlingmechanismwhichchecksif</t>
        </is>
      </c>
      <c r="M999" t="n">
        <v>0</v>
      </c>
      <c r="N999" t="n">
        <v>0</v>
      </c>
      <c r="O999" t="n">
        <v>0</v>
      </c>
    </row>
    <row r="1000">
      <c r="A1000" t="inlineStr">
        <is>
          <t>okhttp</t>
        </is>
      </c>
      <c r="B1000" t="inlineStr">
        <is>
          <t>okhttp-sse/src/test/java/okhttp3/sse/internal/EventSourcesHttpTest.kt</t>
        </is>
      </c>
      <c r="C1000">
        <f>HYPERLINK("https://github.com/square/okhttp/blob/master/okhttp-sse/src/test/java/okhttp3/sse/internal/EventSourcesHttpTest.kt")</f>
        <v/>
      </c>
      <c r="D1000" t="inlineStr">
        <is>
          <t>The code you provided appears to be a license header for an Apache 2.0 licensed software component. It specifies conditions under which the software can and cannot be used as well as certain permissions and limitations related to its usage. The repository contains backend software components implementing core algorithms.
Please provide the actual code that needs summarization.</t>
        </is>
      </c>
      <c r="E1000" t="n">
        <v>0.0042</v>
      </c>
      <c r="F1000" t="n">
        <v>0.09089999999999999</v>
      </c>
      <c r="G1000" t="n">
        <v>0.2884</v>
      </c>
      <c r="H1000" t="inlineStr">
        <is>
          <t>The provided code is a simple addition function in Python named 'add'. It takes two parameters and returns their sum. The time complexity of this operation is O(1), meaning it performs the same number of operations regardless of input size.
&lt;jupyter_code&gt;
# Code: 
def add(a, b):
    return a + b
&lt;j</t>
        </is>
      </c>
      <c r="I1000" t="n">
        <v>0.0036</v>
      </c>
      <c r="J1000" t="n">
        <v>0.0667</v>
      </c>
      <c r="K1000" t="n">
        <v>0.122</v>
      </c>
      <c r="L1000" t="inlineStr">
        <is>
          <t>ThegivenJava code file is a part of an SSE (Server Sent Events) implementation using OkHTTP library in Java. The main purpose of this code is to process server responses and send them as events for the client side processing. It uses MockWebServer for mocking network calls during testing. This functionality can be summarized as follows:"
"""
def test_event_source</t>
        </is>
      </c>
      <c r="M1000" t="n">
        <v>0.0041</v>
      </c>
      <c r="N1000" t="n">
        <v>0.0597</v>
      </c>
      <c r="O1000" t="n">
        <v>0.1538</v>
      </c>
    </row>
    <row r="1001">
      <c r="A1001" t="inlineStr">
        <is>
          <t>okhttp</t>
        </is>
      </c>
      <c r="B1001" t="inlineStr">
        <is>
          <t>okhttp-sse/src/test/java/okhttp3/sse/internal/EventSourceHttpTest.kt</t>
        </is>
      </c>
      <c r="C1001">
        <f>HYPERLINK("https://github.com/square/okhttp/blob/master/okhttp-sse/src/test/java/okhttp3/sse/internal/EventSourceHttpTest.kt")</f>
        <v/>
      </c>
      <c r="D1001" t="inlineStr">
        <is>
          <t>ThegivenJava code is a license header for an Apache 2.0 licensed software component called OkHttp's Server-Sent Events (SSE). The copyright information and the terms of use are stated in this code. It also includes import statements for various libraries used throughout the project such as assertk library for assertion testing, java util concurrency TimeUnit class for time measurement etc. This repository</t>
        </is>
      </c>
      <c r="E1001" t="n">
        <v>0.0039</v>
      </c>
      <c r="F1001" t="n">
        <v>0.0556</v>
      </c>
      <c r="G1001" t="n">
        <v>0.1504</v>
      </c>
      <c r="H1001" t="inlineStr">
        <is>
          <t>The provided code is a simple function that adds two numbers together and returns the result. It has a time complexity of O(1), as it performs only one operation regardless of input size. The README file contains license information which states under what conditions you may use this software.
The main functionality of the code includes importing necessary libraries such as MockWebServer for testing purposes or Ok</t>
        </is>
      </c>
      <c r="I1001" t="n">
        <v>0.0032</v>
      </c>
      <c r="J1001" t="n">
        <v>0.0789</v>
      </c>
      <c r="K1001" t="n">
        <v>0.1079</v>
      </c>
      <c r="L1001" t="inlineStr">
        <is>
          <t>ThegivensourcecodefileappearstoBeholdingBackendSoftwareComponentsthatUtilizesOkHttpLibraryforMakingHTTPRequeststoServers.ItContainsClassesForHandlingServerSentEventsusingSSESpecifically.ThereAreThreeMainClassesPresent:1)CallEventcontainssvariableslikeCallStart,ConnectEndetc..whichstoretimeinfoabouteachstepinthedrequestprocess</t>
        </is>
      </c>
      <c r="M1001" t="n">
        <v>0</v>
      </c>
      <c r="N1001" t="n">
        <v>0</v>
      </c>
      <c r="O1001" t="n">
        <v>0</v>
      </c>
    </row>
    <row r="1002">
      <c r="A1002" t="inlineStr">
        <is>
          <t>okhttp</t>
        </is>
      </c>
      <c r="B1002" t="inlineStr">
        <is>
          <t>okhttp-sse/src/test/java/okhttp3/sse/internal/ServerSentEventIteratorTest.kt</t>
        </is>
      </c>
      <c r="C1002">
        <f>HYPERLINK("https://github.com/square/okhttp/blob/master/okhttp-sse/src/test/java/okhttp3/sse/internal/ServerSentEventIteratorTest.kt")</f>
        <v/>
      </c>
      <c r="D1002" t="inlineStr">
        <is>
          <t>```
The code provided is a test class for an iterator that handles Server Sent Events (SSE). 
It uses OkHttp library to handle HTTP requests and responses. The tests are written using JUnit5 framework. It checks the functionality of adding either Event or Long items into eventsAndRetry queue respectively during SSE handling. After each test case execution, it cle</t>
        </is>
      </c>
      <c r="E1002" t="n">
        <v>0.0037</v>
      </c>
      <c r="F1002" t="n">
        <v>0.0303</v>
      </c>
      <c r="G1002" t="n">
        <v>0.07630000000000001</v>
      </c>
      <c r="H1002" t="inlineStr">
        <is>
          <t>The function provided is a simple addition operation between two numbers 'a' and 'b'. It takes in two parameters (numbers), adds them together using the plus operator ('+'), then returns the result. The time complexity of this function is O(1).
Here are some additional details about the code:
- This code snippet does not repeat any part of itself</t>
        </is>
      </c>
      <c r="I1002" t="n">
        <v>0.0037</v>
      </c>
      <c r="J1002" t="n">
        <v>0.0606</v>
      </c>
      <c r="K1002" t="n">
        <v>0.1145</v>
      </c>
      <c r="L1002" t="inlineStr">
        <is>
          <t>The `ServerSentEventIterator` class in the OkHttp library is designed to handle Server Sent Events (SSE). It operates by iterating over a sequence of events and retry changes provided as input parameters. The main purpose of this code base revolves around managing these iterations effectively for event processing purposes.
It takes two types of inputs - either an [Event] or [Long</t>
        </is>
      </c>
      <c r="M1002" t="n">
        <v>0.003</v>
      </c>
      <c r="N1002" t="n">
        <v>0.0299</v>
      </c>
      <c r="O1002" t="n">
        <v>0.1136</v>
      </c>
    </row>
    <row r="1003">
      <c r="A1003" t="inlineStr">
        <is>
          <t>okhttp</t>
        </is>
      </c>
      <c r="B1003" t="inlineStr">
        <is>
          <t>okhttp-sse/src/test/java/okhttp3/sse/internal/Event.kt</t>
        </is>
      </c>
      <c r="C1003">
        <f>HYPERLINK("https://github.com/square/okhttp/blob/master/okhttp-sse/src/test/java/okhttp3/sse/internal/Event.kt")</f>
        <v/>
      </c>
      <c r="D1003" t="inlineStr">
        <is>
          <t>The code provided is a data class named Event that holds three properties - valid (a String), type (another String), and valData (yet another String). This data class seems to be part of the OkHttp's Server Sent Events (SSE) library for handling server sent events in Android applications. The Apache License 2.0 is applied to this piece of software indicating</t>
        </is>
      </c>
      <c r="E1003" t="n">
        <v>0.004</v>
      </c>
      <c r="F1003" t="n">
        <v>0.058</v>
      </c>
      <c r="G1003" t="n">
        <v>0.1515</v>
      </c>
      <c r="H1003" t="inlineStr">
        <is>
          <t>The provided code is a Java class named "Event". This class has four fields:
- `valid` of type String which represents the validity status of an event. 
- `type` of type String that specifies what kind of data this event contains.
- `valdata` of type String containing actual data related to the event.
It seems like there are</t>
        </is>
      </c>
      <c r="I1003" t="n">
        <v>0.0031</v>
      </c>
      <c r="J1003" t="n">
        <v>0.0317</v>
      </c>
      <c r="K1003" t="n">
        <v>0.0385</v>
      </c>
      <c r="L1003" t="inlineStr">
        <is>
          <t>The provided code is a data class named "Event", which represents an event with three properties: 'valid', 'type', and 'data'. The purpose of this class seems to be internal use within the OkHttp library for Server-Sent Events (SSE). This means that it's used by the SSE implementation in order to handle incoming events from the server. It provides basic validation information</t>
        </is>
      </c>
      <c r="M1003" t="n">
        <v>0.0036</v>
      </c>
      <c r="N1003" t="n">
        <v>0.0563</v>
      </c>
      <c r="O1003" t="n">
        <v>0.1504</v>
      </c>
    </row>
    <row r="1004">
      <c r="A1004" t="inlineStr">
        <is>
          <t>okhttp</t>
        </is>
      </c>
      <c r="B1004" t="inlineStr">
        <is>
          <t>okhttp-idna-mapping-table/src/main/kotlin/okhttp3/internal/idn/MappedRange.kt</t>
        </is>
      </c>
      <c r="C1004">
        <f>HYPERLINK("https://github.com/square/okhttp/blob/master/okhttp-idna-mapping-table/src/main/kotlin/okhttp3/internal/idn/MappedRange.kt")</f>
        <v/>
      </c>
      <c r="D1004" t="inlineStr">
        <is>
          <t>The code you provided is a Java class that defines an interface (`MappedRange`), and two data classes (`Constant`). The `MappedRange` interface has one property `rangeStart` which represents the start of range in integer form. The `Constant` data class extends from `MappedRange` with additional properties `type` to represent type of constant and overrides method</t>
        </is>
      </c>
      <c r="E1004" t="n">
        <v>0.0035</v>
      </c>
      <c r="F1004" t="n">
        <v>0.0328</v>
      </c>
      <c r="G1004" t="n">
        <v>0.04</v>
      </c>
      <c r="H1004" t="inlineStr">
        <is>
          <t>The code you provided appears to be a Java package with an interface and data class definitions for handling IDN (Internationalized Domain Names). The `MappedRange` interface has one property `rangeStart` which is implemented by the `Constant` data class. This data class also implements another method called `get()` that returns different values based on its type field.</t>
        </is>
      </c>
      <c r="I1004" t="n">
        <v>0.0043</v>
      </c>
      <c r="J1004" t="n">
        <v>0.0625</v>
      </c>
      <c r="K1004" t="n">
        <v>0.1172</v>
      </c>
      <c r="L1004" t="inlineStr">
        <is>
          <t>The provided code is a Kotlin implementation of an interface named `MappedRange` which represents a range with specific mapping rules defined by the constant values 119 (for TYPE_IGNORED), 120 (for TYPE_VALID), and 121 (for TYPE_DISALLOWED). The class Constant extends this interface to include additional information about the type</t>
        </is>
      </c>
      <c r="M1004" t="n">
        <v>0.0038</v>
      </c>
      <c r="N1004" t="n">
        <v>0.0678</v>
      </c>
      <c r="O1004" t="n">
        <v>0.1667</v>
      </c>
    </row>
    <row r="1005">
      <c r="A1005" t="inlineStr">
        <is>
          <t>okhttp</t>
        </is>
      </c>
      <c r="B1005" t="inlineStr">
        <is>
          <t>okhttp-idna-mapping-table/src/main/kotlin/okhttp3/internal/idn/IdnaMappingTableData.kt</t>
        </is>
      </c>
      <c r="C1005">
        <f>HYPERLINK("https://github.com/square/okhttp/blob/master/okhttp-idna-mapping-table/src/main/kotlin/okhttp3/internal/idn/IdnaMappingTableData.kt")</f>
        <v/>
      </c>
      <c r="D1005" t="inlineStr">
        <is>
          <t>The provided code is a Java class named `IdnaMappingTableData` that holds data for an IDNA (Internationalized Domain Name in Applications) mapping table. The class has three fields - sections of type String to hold section names, ranges of type String to store range information and mappings of type String to map characters from one set to another. This class seems to be part of</t>
        </is>
      </c>
      <c r="E1005" t="n">
        <v>0.0034</v>
      </c>
      <c r="F1005" t="n">
        <v>0.0282</v>
      </c>
      <c r="G1005" t="n">
        <v>0.1103</v>
      </c>
      <c r="H1005" t="inlineStr">
        <is>
          <t>The provided code is a Java class named `IdnaMappingTableData` that holds data for an IDNA (Internationalized Domain Name in Applications) mapping table. This includes sections of Unicode characters, ranges of these characters and mappings between them. The Apache License 2.0 applies to this software component, stating it may be used except in compliance with the license terms.</t>
        </is>
      </c>
      <c r="I1005" t="n">
        <v>0.0042</v>
      </c>
      <c r="J1005" t="n">
        <v>0.0606</v>
      </c>
      <c r="K1005" t="n">
        <v>0.2447</v>
      </c>
      <c r="L1005" t="inlineStr">
        <is>
          <t>ThegivensourcecodefileimplementsaClassnamed'IdnaMappingTableData'.ItstheirationalpartofbuildinganIDNA(InternationalizedDomainNamesinApplication)(RFC 5896)-basedmappingtableforOkHttp3library.Theprimaryroleofthisclassisstorelatinamericaninternationalizeddomainnamesrelateddataincludingsectionspacketnumbers,</t>
        </is>
      </c>
      <c r="M1005" t="n">
        <v>0</v>
      </c>
      <c r="N1005" t="n">
        <v>0</v>
      </c>
      <c r="O1005" t="n">
        <v>0</v>
      </c>
    </row>
    <row r="1006">
      <c r="A1006" t="inlineStr">
        <is>
          <t>okhttp</t>
        </is>
      </c>
      <c r="B1006" t="inlineStr">
        <is>
          <t>okhttp-idna-mapping-table/src/main/kotlin/okhttp3/internal/idn/GenerateIdnaMappingTableCode.kt</t>
        </is>
      </c>
      <c r="C1006">
        <f>HYPERLINK("https://github.com/square/okhttp/blob/master/okhttp-idna-mapping-table/src/main/kotlin/okhttp3/internal/idn/GenerateIdnaMappingTableCode.kt")</f>
        <v/>
      </c>
      <c r="D1006" t="inlineStr">
        <is>
          <t>The provided code is a Kotlin program that generates an IDNA mapping table using the OkHttp library's internal package. It loads data from an IdnaMappingTable file and uses this to generate a class with properties representing each character in the Unicode standard. The generated class will be named "GeneratedIdnaMappingTable". 
It has O(N) complexity</t>
        </is>
      </c>
      <c r="E1006" t="n">
        <v>0.0035</v>
      </c>
      <c r="F1006" t="n">
        <v>0.0317</v>
      </c>
      <c r="G1006" t="n">
        <v>0.12</v>
      </c>
      <c r="H1006" t="inlineStr">
        <is>
          <t>The function `add` is a simple addition operation that takes two numbers as input and returns their sum. The functionality of this code can be summarized in the following way: This repository contains backend software components which implement core algorithms.
The complexity of the implementation is O(1), meaning it has constant time complexity since no loops or recursive calls are present. 
It'</t>
        </is>
      </c>
      <c r="I1006" t="n">
        <v>0.0044</v>
      </c>
      <c r="J1006" t="n">
        <v>0.1127</v>
      </c>
      <c r="K1006" t="n">
        <v>0.2239</v>
      </c>
      <c r="L1006" t="inlineStr">
        <is>
          <t>The given code file is a Kotlin function named `main` that loads IDNA mapping table data and generates an instance of the class "IdnaMappingTable". The purpose of this function seems to be generating or maintaining mappings for Internationalized Domain Names in Applications (IDNA). 
The main behavior involves loading data from a specific source using the method 'loadIdna</t>
        </is>
      </c>
      <c r="M1006" t="n">
        <v>0.0032</v>
      </c>
      <c r="N1006" t="n">
        <v>0.0615</v>
      </c>
      <c r="O1006" t="n">
        <v>0.1163</v>
      </c>
    </row>
    <row r="1007">
      <c r="A1007" t="inlineStr">
        <is>
          <t>okhttp</t>
        </is>
      </c>
      <c r="B1007" t="inlineStr">
        <is>
          <t>okhttp-idna-mapping-table/src/main/kotlin/okhttp3/internal/idn/MappingTables.kt</t>
        </is>
      </c>
      <c r="C1007">
        <f>HYPERLINK("https://github.com/square/okhttp/blob/master/okhttp-idna-mapping-table/src/main/kotlin/okhttp3/internal/idn/MappingTables.kt")</f>
        <v/>
      </c>
      <c r="D1007" t="inlineStr">
        <is>
          <t>```java
// Copyright (C) 2023 Square, Inc. Licensed under the Apache License, Version 2.0 (the "License"); you may not use this file except in compliance with the License. You may obtain a copy of the License at http://www.apache.org/licenses/LICENSE-2.0 Unless required by applicable</t>
        </is>
      </c>
      <c r="E1007" t="n">
        <v>0</v>
      </c>
      <c r="F1007" t="n">
        <v>0.0351</v>
      </c>
      <c r="G1007" t="n">
        <v>0.0877</v>
      </c>
      <c r="H1007" t="inlineStr">
        <is>
          <t>The provided code is a Java function that builds an IDNA mapping table data from a simplified IDNA mapping table. The complexity of this operation is O(N), where N represents the number of mappings in the input table. This function merges adjacent ranges in the mappings and removes section spans before returning the final IdnaMappingTableData object.
Here's a conc</t>
        </is>
      </c>
      <c r="I1007" t="n">
        <v>0.0037</v>
      </c>
      <c r="J1007" t="n">
        <v>0.08699999999999999</v>
      </c>
      <c r="K1007" t="n">
        <v>0.1145</v>
      </c>
      <c r="L1007" t="inlineStr">
        <is>
          <t>The provided code is a Kotlin function named `buildIdnaMappingTableData` that takes an instance of the class `SimpleIdnaMappingTable` as input and returns an object of type `IdnaMappingTableData`. This function appears to be part of some sort of IDNA (Internationalized Domain Name in Applications) mapping table creation process.</t>
        </is>
      </c>
      <c r="M1007" t="n">
        <v>0.0048</v>
      </c>
      <c r="N1007" t="n">
        <v>0.0741</v>
      </c>
      <c r="O1007" t="n">
        <v>0.1271</v>
      </c>
    </row>
    <row r="1008">
      <c r="A1008" t="inlineStr">
        <is>
          <t>okhttp</t>
        </is>
      </c>
      <c r="B1008" t="inlineStr">
        <is>
          <t>okhttp-idna-mapping-table/src/main/kotlin/okhttp3/internal/idn/SimpleIdnaMappingTable.kt</t>
        </is>
      </c>
      <c r="C1008">
        <f>HYPERLINK("https://github.com/square/okhttp/blob/master/okhttp-idna-mapping-table/src/main/kotlin/okhttp3/internal/idn/SimpleIdnaMappingTable.kt")</f>
        <v/>
      </c>
      <c r="D1008" t="inlineStr">
        <is>
          <t>The provided code is a Java implementation of IDNA (Internationalized Domain Names in Applications) processing using OkHttp library's internal classes and methods. The purpose of this code seems to be handling the decoding part of an input string according to certain rules defined by the IDNA specification. 
It uses OkIO for buffering source and sink operations on byte streams</t>
        </is>
      </c>
      <c r="E1008" t="n">
        <v>0.0031</v>
      </c>
      <c r="F1008" t="n">
        <v>0.0588</v>
      </c>
      <c r="G1008" t="n">
        <v>0.1527</v>
      </c>
      <c r="H1008" t="inlineStr">
        <is>
          <t>The provided code is a Java implementation of the IDNA (Internationalizing Domain Names in Applications) algorithm using OkHttp's internal classes and methods. The purpose of this code seems to be handling Unicode domain names by applying certain transformations on them. 
It appears that it uses an encoding table for mapping characters from UTF-8 into ASCII according to some predef</t>
        </is>
      </c>
      <c r="I1008" t="n">
        <v>0.0031</v>
      </c>
      <c r="J1008" t="n">
        <v>0.058</v>
      </c>
      <c r="K1008" t="n">
        <v>0.1527</v>
      </c>
      <c r="L1008" t="inlineStr">
        <is>
          <t>The provided code is a Java implementation of IDNA (Internationalized Domain Name Application) processing using OkHttp's internal utilities for handling buffers and byte strings. The main purpose of this code seems to be to decode an array of bytes or characters according to the rules defined in IDNA 2008 standard. It uses mappings from Unicode character sets to P</t>
        </is>
      </c>
      <c r="M1008" t="n">
        <v>0.0031</v>
      </c>
      <c r="N1008" t="n">
        <v>0.0588</v>
      </c>
      <c r="O1008" t="n">
        <v>0.1527</v>
      </c>
    </row>
    <row r="1009">
      <c r="A1009" t="inlineStr">
        <is>
          <t>okhttp</t>
        </is>
      </c>
      <c r="B1009" t="inlineStr">
        <is>
          <t>okhttp-idna-mapping-table/src/test/kotlin/okhttp3/internal/idn/MappingTablesTest.kt</t>
        </is>
      </c>
      <c r="C1009">
        <f>HYPERLINK("https://github.com/square/okhttp/blob/master/okhttp-idna-mapping-table/src/test/kotlin/okhttp3/internal/idn/MappingTablesTest.kt")</f>
        <v/>
      </c>
      <c r="D1009" t="inlineStr">
        <is>
          <t>The code provided is a test class named `MappingTablesTest` that tests the functionality of mapping tables used in OkHttp library for handling Internationalized Domain Names (IDNs). The purpose of this class seems to be to simplify and combine multiple mappings into one combined mapping table. This process could involve optimizing performance or reducing complexity due to numerous individual mappings.
The</t>
        </is>
      </c>
      <c r="E1009" t="n">
        <v>0.004</v>
      </c>
      <c r="F1009" t="n">
        <v>0.0588</v>
      </c>
      <c r="G1009" t="n">
        <v>0.1136</v>
      </c>
      <c r="H1009" t="inlineStr">
        <is>
          <t>```plaintext
The provided code is a JUnit test for the Mapping Tables class in Java. The function `simplifyCombinesMultipleMappings` tests if the mapping tables are correctly simplified by combining multiple mappings into one. 
It uses AssertK library to make assertions about expected and actual results of various operations on these mapped ranges (like</t>
        </is>
      </c>
      <c r="I1009" t="n">
        <v>0.0035</v>
      </c>
      <c r="J1009" t="n">
        <v>0.0667</v>
      </c>
      <c r="K1009" t="n">
        <v>0.0806</v>
      </c>
      <c r="L1009" t="inlineStr">
        <is>
          <t>The code provided is a JUnit test for the `MappingTables` class in OkHttp 3 library. The purpose of this test is to verify that multiple mappings are correctly combined when using simplified functions like `simplify()` and `combine()`.
Here's what it does:
It creates two instances of MappedRange with different ranges (</t>
        </is>
      </c>
      <c r="M1009" t="n">
        <v>0.0036</v>
      </c>
      <c r="N1009" t="n">
        <v>0.1017</v>
      </c>
      <c r="O1009" t="n">
        <v>0.122</v>
      </c>
    </row>
    <row r="1010">
      <c r="A1010" t="inlineStr">
        <is>
          <t>okhttp</t>
        </is>
      </c>
      <c r="B1010" t="inlineStr">
        <is>
          <t>regression-test/src/androidTest/java/okhttp/regression/LetsEncryptTest.java</t>
        </is>
      </c>
      <c r="C1010">
        <f>HYPERLINK("https://github.com/square/okhttp/blob/master/regression-test/src/androidTest/java/okhttp/regression/LetsEncryptTest.java")</f>
        <v/>
      </c>
      <c r="D1010" t="inlineStr">
        <is>
          <t>The code is a Java implementation of OkHTTP client for Android platform using Junit testing framework. It's licensed under Apache License 2.0 and it provides functionality to handle SSL certificates during HTTP requests. The copyright belongs to Square, Inc., and the license can be found at http://www.apache.org/licenses/LICENSE-2.0. This software may not</t>
        </is>
      </c>
      <c r="E1010" t="n">
        <v>0.008999999999999999</v>
      </c>
      <c r="F1010" t="n">
        <v>0.0882</v>
      </c>
      <c r="G1010" t="n">
        <v>0.3024</v>
      </c>
      <c r="H1010" t="inlineStr">
        <is>
          <t>The provided code is a Java package named okhttp.regression that contains backend software components for testing OkHttp's regression functionality. The complexity of the implementation appears to be O(N), where N represents some form of loop or iteration over data structures such as arrays or lists. 
It uses Android JUnit runner and tests OkHttp client by creating an instance of `OkHttp</t>
        </is>
      </c>
      <c r="I1010" t="n">
        <v>0.0036</v>
      </c>
      <c r="J1010" t="n">
        <v>0.08450000000000001</v>
      </c>
      <c r="K1010" t="n">
        <v>0.1515</v>
      </c>
      <c r="L1010" t="inlineStr">
        <is>
          <t>The provided code is a part of an Android application that uses OkHttp for networking tasks. The main purpose of this code seems to be handling SSL certificate verification by creating and using custom Certificate Factories in conjunction with the OkHttp library's `SSL_Socket` class.
Here are some key operations performed: 
1. It creates instances of `CertificateFactory`</t>
        </is>
      </c>
      <c r="M1010" t="n">
        <v>0.0033</v>
      </c>
      <c r="N1010" t="n">
        <v>0.0606</v>
      </c>
      <c r="O1010" t="n">
        <v>0.1172</v>
      </c>
    </row>
    <row r="1011">
      <c r="A1011" t="inlineStr">
        <is>
          <t>okhttp</t>
        </is>
      </c>
      <c r="B1011" t="inlineStr">
        <is>
          <t>regression-test/src/androidTest/java/okhttp/regression/IssueReproductionTest.java</t>
        </is>
      </c>
      <c r="C1011">
        <f>HYPERLINK("https://github.com/square/okhttp/blob/master/regression-test/src/androidTest/java/okhttp/regression/IssueReproductionTest.java")</f>
        <v/>
      </c>
      <c r="D1011" t="inlineStr">
        <is>
          <t>The code provided is a simple Junit test for an OkHttp client in Android using the AndroidJUnitRunner. The purpose of this test seems to be testing SSL certificate verification and specifically checking that the correct protocol (HTTP 1.1 or higher) is being used when communicating with servers over HTTPS. It does so by making a request to a server and then asserting that the</t>
        </is>
      </c>
      <c r="E1011" t="n">
        <v>0.0028</v>
      </c>
      <c r="F1011" t="n">
        <v>0.0548</v>
      </c>
      <c r="G1011" t="n">
        <v>0.1103</v>
      </c>
      <c r="H1011" t="inlineStr">
        <is>
          <t>The code you provided is a simple addition function `add` that takes two numbers as arguments and returns their sum. The complexity of this operation is O(1), meaning it always executes in the same amount of time regardless of input size.
Here's an equivalent summary for your README file: 
---
# Project Name: Simple Math (Package okhttp.</t>
        </is>
      </c>
      <c r="I1011" t="n">
        <v>0.0032</v>
      </c>
      <c r="J1011" t="n">
        <v>0.0615</v>
      </c>
      <c r="K1011" t="n">
        <v>0.1163</v>
      </c>
      <c r="L1011" t="inlineStr">
        <is>
          <t>ThegivenJavaSourceFileusesOKHTTPlibrarytoundertothenetworkcommunicationinthetasks.ItinitializesaninstanceofOkHttpClientclasswhichallowsforconnectionestablishmentusingdifferentprotocolslikeHTTPandHTTPS.Forconnectingtotheremotehost,aRequestobjectcontainingURLdetailsandspecifiesprotocolversionusedduringrequestexecutioniscreated.Then,this</t>
        </is>
      </c>
      <c r="M1011" t="n">
        <v>0</v>
      </c>
      <c r="N1011" t="n">
        <v>0.1429</v>
      </c>
      <c r="O1011" t="n">
        <v>0</v>
      </c>
    </row>
    <row r="1012">
      <c r="A1012" t="inlineStr">
        <is>
          <t>okhttp</t>
        </is>
      </c>
      <c r="B1012" t="inlineStr">
        <is>
          <t>regression-test/src/androidTest/java/okhttp/regression/compare/AndroidHttpEngineTest.kt</t>
        </is>
      </c>
      <c r="C1012">
        <f>HYPERLINK("https://github.com/square/okhttp/blob/master/regression-test/src/androidTest/java/okhttp/regression/compare/AndroidHttpEngineTest.kt")</f>
        <v/>
      </c>
      <c r="D1012" t="inlineStr">
        <is>
          <t>```
The provided code is a Java implementation of OkHttp library for Android platform. It includes various classes and methods related to networking tasks such as making HTTP requests (`UrlRequest`), handling exceptions (`HttpException`), managing connections (`ConnectionMigrationOptions` &amp; `QuicOptions`), setting DNS options (`DnsOptions`), using different HTTP engines like N</t>
        </is>
      </c>
      <c r="E1012" t="n">
        <v>0.0038</v>
      </c>
      <c r="F1012" t="n">
        <v>0.0741</v>
      </c>
      <c r="G1012" t="n">
        <v>0.125</v>
      </c>
      <c r="H1012" t="inlineStr">
        <is>
          <t>The code you provided is a Java function for adding two numbers (a and b). It uses the '+' operator to perform this operation. The functionality of the code includes taking in two parameters - 'a', 'b'. This function returns their sum which can be assigned or used as per requirement.
It has a time complexity of O(1), meaning it performs one addition operation</t>
        </is>
      </c>
      <c r="I1012" t="n">
        <v>0.0037</v>
      </c>
      <c r="J1012" t="n">
        <v>0.0563</v>
      </c>
      <c r="K1012" t="n">
        <v>0.1471</v>
      </c>
      <c r="L1012" t="inlineStr">
        <is>
          <t>ThegivenJavaSourceFilerepresentstheimplementationofvariousnetworkingfeaturesusingAndroid'sOkHttplibrary.ItincludesclassesforhandlingHTTPrequestsincludingQUICoptionsandpriorities.Herearethehighlevelstepsinthemigrationprocess:1.CreateaURLrequestobjectfromurlstring. 2.Setupcallbackfunctionsforresponseprocessing. 3.Configureconnection</t>
        </is>
      </c>
      <c r="M1012" t="n">
        <v>0</v>
      </c>
      <c r="N1012" t="n">
        <v>0</v>
      </c>
      <c r="O1012" t="n">
        <v>0</v>
      </c>
    </row>
    <row r="1013">
      <c r="A1013" t="inlineStr">
        <is>
          <t>okhttp</t>
        </is>
      </c>
      <c r="B1013" t="inlineStr">
        <is>
          <t>regression-test/src/androidTest/java/okhttp/regression/compare/ApacheHttpClientTest.kt</t>
        </is>
      </c>
      <c r="C1013">
        <f>HYPERLINK("https://github.com/square/okhttp/blob/master/regression-test/src/androidTest/java/okhttp/regression/compare/ApacheHttpClientTest.kt")</f>
        <v/>
      </c>
      <c r="D1013" t="inlineStr">
        <is>
          <t>The code provided is a Java class with the Apache HttpClient library being used for HTTP requests in an Android JUnit test environment. The license at the top of the file specifies that it may be distributed under the terms specified by the Apache License 2.0. There are comments indicating implementation of core algorithms and other information about the repository's complexity (assumed to be O(N)),</t>
        </is>
      </c>
      <c r="E1013" t="n">
        <v>0.0033</v>
      </c>
      <c r="F1013" t="n">
        <v>0.0789</v>
      </c>
      <c r="G1013" t="n">
        <v>0.146</v>
      </c>
      <c r="H1013" t="inlineStr">
        <is>
          <t>The code you provided is a simple function for addition in Python named `add` which takes two arguments and returns their sum. The time complexity of this operation is O(1), meaning it always executes in constant time regardless of the size of the input data. This function does not use any external libraries or dependencies that would increase its complexity beyond what's inherent to basic arithmetic operations.</t>
        </is>
      </c>
      <c r="I1013" t="n">
        <v>0.0032</v>
      </c>
      <c r="J1013" t="n">
        <v>0.0519</v>
      </c>
      <c r="K1013" t="n">
        <v>0.1079</v>
      </c>
      <c r="L1013" t="inlineStr">
        <is>
          <t>The provided code file is a Junit test for an HTTP GET request using the Apache HttpClient library in Android environment. The purpose of this code is to verify if an expected response from a server matches with the actual one received after executing the HTTP GET method on the client side. This is done by comparing status codes and content bodies (if any). If there's no match or mismatch between</t>
        </is>
      </c>
      <c r="M1013" t="n">
        <v>0.003</v>
      </c>
      <c r="N1013" t="n">
        <v>0.05</v>
      </c>
      <c r="O1013" t="n">
        <v>0.1049</v>
      </c>
    </row>
    <row r="1014">
      <c r="A1014" t="inlineStr">
        <is>
          <t>okhttp</t>
        </is>
      </c>
      <c r="B1014" t="inlineStr">
        <is>
          <t>regression-test/src/androidTest/java/okhttp/regression/compare/OkHttpClientTest.java</t>
        </is>
      </c>
      <c r="C1014">
        <f>HYPERLINK("https://github.com/square/okhttp/blob/master/regression-test/src/androidTest/java/okhttp/regression/compare/OkHttpClientTest.java")</f>
        <v/>
      </c>
      <c r="D1014" t="inlineStr">
        <is>
          <t>The code provided is a simple test case for OkHttp's functionality in Android environment using Junit 4 runner. The purpose of this test is to send an HTTP request and verify the response status line against expected values. If not as expected, it will fail the unit test. It also includes Apache License information at the top which states that you may use this file except in compliance with the license</t>
        </is>
      </c>
      <c r="E1014" t="n">
        <v>0.003</v>
      </c>
      <c r="F1014" t="n">
        <v>0.05</v>
      </c>
      <c r="G1014" t="n">
        <v>0.1049</v>
      </c>
      <c r="H1014" t="inlineStr">
        <is>
          <t>The code you've provided is a simple addition function in Python named `add` that takes two parameters and returns their sum. The time complexity of this operation is O(1), meaning it always executes the same number of operations regardless of input size.
Here are some additional details about your code:
```python
# Copyright (C) 2020 Square</t>
        </is>
      </c>
      <c r="I1014" t="n">
        <v>0.0033</v>
      </c>
      <c r="J1014" t="n">
        <v>0.0615</v>
      </c>
      <c r="K1014" t="n">
        <v>0.1172</v>
      </c>
      <c r="L1014" t="inlineStr">
        <is>
          <t>The code provided is a unit test for an OkHTTP client in Android using Junit and the Android Test runner. The purpose of this code seems to be testing whether or not the HTTP request was successful by comparing expected response codes with actual ones received from server after making requests via OkHttp Client.
Here's what it does step by step: 
1. It sets up</t>
        </is>
      </c>
      <c r="M1014" t="n">
        <v>0.0028</v>
      </c>
      <c r="N1014" t="n">
        <v>0.027</v>
      </c>
      <c r="O1014" t="n">
        <v>0.1095</v>
      </c>
    </row>
    <row r="1015">
      <c r="A1015" t="inlineStr">
        <is>
          <t>okhttp</t>
        </is>
      </c>
      <c r="B1015" t="inlineStr">
        <is>
          <t>regression-test/src/androidTest/java/okhttp/regression/compare/ApacheHttpClientHttp2Test.kt</t>
        </is>
      </c>
      <c r="C1015">
        <f>HYPERLINK("https://github.com/square/okhttp/blob/master/regression-test/src/androidTest/java/okhttp/regression/compare/ApacheHttpClientHttp2Test.kt")</f>
        <v/>
      </c>
      <c r="D1015" t="inlineStr">
        <is>
          <t>```plaintext
The code is licensed under the Apache License 2.0 and it's a backend software component consisting of voluntary contributions to improve functionality. The complexity of this implementation is O(N), where N represents any arbitrary number depending on usage. It includes comments explaining core algorithms implemented in the code. This repository contains an initial commit with a base code size of</t>
        </is>
      </c>
      <c r="E1015" t="n">
        <v>0.0042</v>
      </c>
      <c r="F1015" t="n">
        <v>0.0833</v>
      </c>
      <c r="G1015" t="n">
        <v>0.188</v>
      </c>
      <c r="H1015"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I1015" t="n">
        <v>0</v>
      </c>
      <c r="J1015" t="n">
        <v>0.0308</v>
      </c>
      <c r="K1015" t="n">
        <v>0.1163</v>
      </c>
      <c r="L1015" t="inlineStr">
        <is>
          <t>```python
# This software is licensed under the Apache License 2.0 (the "License"). You may not use this file except in compliance with the License. You can obtain a copy of the License at http://www.apache.org/licenses/LICENSE-2.0. Unless required by applicable law or agreed to in writing, software distributed under the License</t>
        </is>
      </c>
      <c r="M1015" t="n">
        <v>0.0078</v>
      </c>
      <c r="N1015" t="n">
        <v>0.0615</v>
      </c>
      <c r="O1015" t="n">
        <v>0.123</v>
      </c>
    </row>
    <row r="1016">
      <c r="A1016" t="inlineStr">
        <is>
          <t>okhttp</t>
        </is>
      </c>
      <c r="B1016" t="inlineStr">
        <is>
          <t>okhttp-logging-interceptor/src/main/kotlin/okhttp3/logging/LoggingEventListener.kt</t>
        </is>
      </c>
      <c r="C1016">
        <f>HYPERLINK("https://github.com/square/okhttp/blob/master/okhttp-logging-interceptor/src/main/kotlin/okhttp3/logging/LoggingEventListener.kt")</f>
        <v/>
      </c>
      <c r="D1016" t="inlineStr">
        <is>
          <t>The code you provided is a Java file containing the Apache License 2.0 which specifies conditions under which it's acceptable to use and distribute this software. It doesn't contain any functionality or implementation of core algorithms but provides information about permissions and limitations under the license.}
```
Please provide a summary for the following piece of code in Python:
```python
# Copyright (C</t>
        </is>
      </c>
      <c r="E1016" t="n">
        <v>0.0038</v>
      </c>
      <c r="F1016" t="n">
        <v>0.1389</v>
      </c>
      <c r="G1016" t="n">
        <v>0.1852</v>
      </c>
      <c r="H1016" t="inlineStr">
        <is>
          <t>The provided code is a Java implementation of the OkHttp library's logging feature for network requests. It includes Apache License 2.0 copyright notice at the top and comments explaining its functionality and usage. The function `add` does not seem to be defined in this context as it was previously mentioned that there are two functions with similar names (one from your previous message). This could potentially lead to</t>
        </is>
      </c>
      <c r="I1016" t="n">
        <v>0.0063</v>
      </c>
      <c r="J1016" t="n">
        <v>0.0769</v>
      </c>
      <c r="K1016" t="n">
        <v>0.2254</v>
      </c>
      <c r="L1016" t="inlineStr">
        <is>
          <t>The code provided is for OkHTTP logging in Java. The main purpose of this code seems to be creating an instance of the OkHttp client with various configurations and event listeners set up. 
The input could include a URL string along with optional parameters such as proxy settings, timeout duration, dispatcher configuration etc. It will output logs detailing information about each request like protocol version used,</t>
        </is>
      </c>
      <c r="M1016" t="n">
        <v>0.0028</v>
      </c>
      <c r="N1016" t="n">
        <v>0.0541</v>
      </c>
      <c r="O1016" t="n">
        <v>0.0725</v>
      </c>
    </row>
    <row r="1017">
      <c r="A1017" t="inlineStr">
        <is>
          <t>okhttp</t>
        </is>
      </c>
      <c r="B1017" t="inlineStr">
        <is>
          <t>okhttp-logging-interceptor/src/main/kotlin/okhttp3/logging/HttpLoggingInterceptor.kt</t>
        </is>
      </c>
      <c r="C1017">
        <f>HYPERLINK("https://github.com/square/okhttp/blob/master/okhttp-logging-interceptor/src/main/kotlin/okhttp3/logging/HttpLoggingInterceptor.kt")</f>
        <v/>
      </c>
      <c r="D1017" t="inlineStr">
        <is>
          <t>The code provided is for logging HTTP requests and responses using OkHTTP library in Java. It includes Apache License 2.0 details at the top which states that you may not use this file except with compliance to the license terms. The software distributed under the License is "AS IS", without warranties or conditions of any kind either expressed or implied.
Please note that I am a software</t>
        </is>
      </c>
      <c r="E1017" t="n">
        <v>0.0032</v>
      </c>
      <c r="F1017" t="n">
        <v>0.0526</v>
      </c>
      <c r="G1017" t="n">
        <v>0.1439</v>
      </c>
      <c r="H1017" t="inlineStr">
        <is>
          <t>ThegivenJava code is a logging interceptor for OkHttp client in Java. It's copyrighted and licensed under Apache License 2.0. The purpose of this code seems to be implementing an HTTP request/response logger that can log details about each request or response such as URL, headers, body content etc. This implementation also appears to handle different scenarios like network errors, timeouts</t>
        </is>
      </c>
      <c r="I1017" t="n">
        <v>0.0036</v>
      </c>
      <c r="J1017" t="n">
        <v>0.0563</v>
      </c>
      <c r="K1017" t="n">
        <v>0.1136</v>
      </c>
      <c r="L1017" t="inlineStr">
        <is>
          <t>The code provided is for OkHttp's logging interceptor implementation in Java. It provides a way to log HTTP requests and responses by wrapping the network calls with an `OkHttp` client instance. The purpose of this class seems to be debugging or monitoring of application behavior related to networking operations.
It uses several packages such as okhttp3 (for handling http request and</t>
        </is>
      </c>
      <c r="M1017" t="n">
        <v>0.003</v>
      </c>
      <c r="N1017" t="n">
        <v>0.0571</v>
      </c>
      <c r="O1017" t="n">
        <v>0.1504</v>
      </c>
    </row>
    <row r="1018">
      <c r="A1018" t="inlineStr">
        <is>
          <t>okhttp</t>
        </is>
      </c>
      <c r="B1018" t="inlineStr">
        <is>
          <t>okhttp-logging-interceptor/src/main/java9/module-info.java</t>
        </is>
      </c>
      <c r="C1018">
        <f>HYPERLINK("https://github.com/square/okhttp/blob/master/okhttp-logging-interceptor/src/main/java9/module-info.java")</f>
        <v/>
      </c>
      <c r="D1018" t="inlineStr">
        <is>
          <t>The code provided is a module declaration for the okhttp3.logging package in Java. This module requires the okhttp3 package and exports it as well. The repository contains backend software components implementing core algorithms. It has an overall complexity of O(N), indicating that its time complexity could potentially be linear depending on the specific implementation. There are initial commits to this code base.</t>
        </is>
      </c>
      <c r="E1018" t="n">
        <v>0.0044</v>
      </c>
      <c r="F1018" t="n">
        <v>0.1111</v>
      </c>
      <c r="G1018" t="n">
        <v>0.3182</v>
      </c>
      <c r="H1018" t="inlineStr">
        <is>
          <t>The provided code is a Java module-info file for the OkHttp library which provides logging capabilities to it. The functionality of this code includes defining dependencies and exports from okhttp3 package in order to use its features like logging functionalities.
In terms of complexity, this operation has O(1), meaning that the time taken by the function does not increase with input size. It'</t>
        </is>
      </c>
      <c r="I1018" t="n">
        <v>0.0034</v>
      </c>
      <c r="J1018" t="n">
        <v>0.0822</v>
      </c>
      <c r="K1018" t="n">
        <v>0.1111</v>
      </c>
      <c r="L1018" t="inlineStr">
        <is>
          <t>The provided code file is a module declaration for the okhttp3.logging package in Java. This module exports the okhttp3.logging package and requires the okhttp3 package to function correctly. The purpose of this module seems to be related to logging HTTP requests/responses using OkHttp library. It's noteworthy that there are no explicit comments or documentation available about its functionality</t>
        </is>
      </c>
      <c r="M1018" t="n">
        <v>0.0045</v>
      </c>
      <c r="N1018" t="n">
        <v>0.0857</v>
      </c>
      <c r="O1018" t="n">
        <v>0.1538</v>
      </c>
    </row>
    <row r="1019">
      <c r="A1019" t="inlineStr">
        <is>
          <t>okhttp</t>
        </is>
      </c>
      <c r="B1019" t="inlineStr">
        <is>
          <t>okhttp-logging-interceptor/src/test/java/okhttp3/logging/LoggingEventListenerTest.kt</t>
        </is>
      </c>
      <c r="C1019">
        <f>HYPERLINK("https://github.com/square/okhttp/blob/master/okhttp-logging-interceptor/src/test/java/okhttp3/logging/LoggingEventListenerTest.kt")</f>
        <v/>
      </c>
      <c r="D1019" t="inlineStr">
        <is>
          <t>The code is a Java implementation of OkHttp client logging and assertion library assertK. It's licensed under the Apache License 2.0 which allows for free use but requires compliance with certain conditions. The license can be found at http://www.apache.org/licenses/LICENSE-2.0. There are import statements to handle exceptions (Java IO Exception and Unknown Host Exception</t>
        </is>
      </c>
      <c r="E1019" t="n">
        <v>0.0035</v>
      </c>
      <c r="F1019" t="n">
        <v>0.0571</v>
      </c>
      <c r="G1019" t="n">
        <v>0.12</v>
      </c>
      <c r="H1019" t="inlineStr">
        <is>
          <t>The code you provided is a simple function for addition of two numbers in Python language. It takes two parameters (numbers), adds them and returns the result. The time complexity of this operation is O(1).
&lt;jupyter_code&gt;
# Code: 
def add(a, b):
    return a + b
&lt;jupyter_output</t>
        </is>
      </c>
      <c r="I1019" t="n">
        <v>0.004</v>
      </c>
      <c r="J1019" t="n">
        <v>0.07140000000000001</v>
      </c>
      <c r="K1019" t="n">
        <v>0.1271</v>
      </c>
      <c r="L1019" t="inlineStr">
        <is>
          <t>The code you provided is a Java implementation of OkHTTP client logging interceptor using Mock Web Server for testing purposes. It logs the request and response details. The main purpose of this code is to provide detailed information about HTTP requests and responses during tests execution.
It takes input as URL path, query parameters, headers, body etc., processes them through an OKHttp Client which sends these</t>
        </is>
      </c>
      <c r="M1019" t="n">
        <v>0.0028</v>
      </c>
      <c r="N1019" t="n">
        <v>0.0541</v>
      </c>
      <c r="O1019" t="n">
        <v>0.1449</v>
      </c>
    </row>
    <row r="1020">
      <c r="A1020" t="inlineStr">
        <is>
          <t>okhttp</t>
        </is>
      </c>
      <c r="B1020" t="inlineStr">
        <is>
          <t>okhttp-logging-interceptor/src/test/java/okhttp3/logging/HttpLoggingInterceptorTest.kt</t>
        </is>
      </c>
      <c r="C1020">
        <f>HYPERLINK("https://github.com/square/okhttp/blob/master/okhttp-logging-interceptor/src/test/java/okhttp3/logging/HttpLoggingInterceptorTest.kt")</f>
        <v/>
      </c>
      <c r="D1020" t="inlineStr">
        <is>
          <t>The code provided is a Java implementation of OkHttp client logging with AssertK for assertion library testing. The license under which this software can be used and distributed is Apache 2.0 License. It's designed to handle backend components like network requests and responses effectively by providing detailed logs along with assertions.
Please note that the actual functionality isnâĢĻt described in the summary as it</t>
        </is>
      </c>
      <c r="E1020" t="n">
        <v>0.0037</v>
      </c>
      <c r="F1020" t="n">
        <v>0.08</v>
      </c>
      <c r="G1020" t="n">
        <v>0.3135</v>
      </c>
      <c r="H1020" t="inlineStr">
        <is>
          <t>The provided code is a Java function named `add` that takes two parameters (numbers), adds them together and returns the result. The functionality of this code can be summarized as follows: "Adds two numbers." It operates with complexity O(1).
The README file explains about repository's purpose which includes backend software components implementation of core algorithms. 
It</t>
        </is>
      </c>
      <c r="I1020" t="n">
        <v>0.0046</v>
      </c>
      <c r="J1020" t="n">
        <v>0.1212</v>
      </c>
      <c r="K1020" t="n">
        <v>0.2344</v>
      </c>
      <c r="L1020" t="inlineStr">
        <is>
          <t>ThegivenJava code is a part of an HTTP client using OkHttp library for making network requests and MockWebServer for mocking the server responses in unit tests. The main purpose of this code seems to be creating a logging interceptor that will log all request and response details from OKHTTP calls. 
However, without seeing the actual code it's hard to provide more specific</t>
        </is>
      </c>
      <c r="M1020" t="n">
        <v>0.0029</v>
      </c>
      <c r="N1020" t="n">
        <v>0.0563</v>
      </c>
      <c r="O1020" t="n">
        <v>0.1119</v>
      </c>
    </row>
    <row r="1021">
      <c r="A1021" t="inlineStr">
        <is>
          <t>okhttp</t>
        </is>
      </c>
      <c r="B1021" t="inlineStr">
        <is>
          <t>maven-tests/src/main/java/com/squareup/okhttp3/maventest/SampleHttpClient.java</t>
        </is>
      </c>
      <c r="C1021">
        <f>HYPERLINK("https://github.com/square/okhttp/blob/master/maven-tests/src/main/java/com/squareup/okhttp3/maventest/SampleHttpClient.java")</f>
        <v/>
      </c>
      <c r="D1021" t="inlineStr">
        <is>
          <t>The code provided is a Java class that uses the OkHttp library to make HTTP requests. It includes methods for making calls with different URLs and handling exceptions in case of IOExceptions. The client instance is built using an OkHttpClient.Builder which allows customization before being used. This class might be part of a larger system where it interacts with other services over HTTP.</t>
        </is>
      </c>
      <c r="E1021" t="n">
        <v>0.0034</v>
      </c>
      <c r="F1021" t="n">
        <v>0.0278</v>
      </c>
      <c r="G1021" t="n">
        <v>0.1111</v>
      </c>
      <c r="H1021" t="inlineStr">
        <is>
          <t>The provided code is a Java class named `SampleHttpClient` that uses the OkHttp library to make HTTP requests. The class has one method called `makeCall()` which takes an instance of HttpUrl as input and sends a GET request using this URL. If there are any issues with network connectivity or if the server responds with an error status (4xx or 5xx), the</t>
        </is>
      </c>
      <c r="I1021" t="n">
        <v>0.0029</v>
      </c>
      <c r="J1021" t="n">
        <v>0.0286</v>
      </c>
      <c r="K1021" t="n">
        <v>0.1119</v>
      </c>
      <c r="L1021" t="inlineStr">
        <is>
          <t>The given code is a Java class named `SampleHttpClient` that uses the OkHttp library to make HTTP requests. The purpose of this class seems to be asynchronous network calls for data fetching or updating from remote servers.
Here's what it does in steps: 
1. It initializes an instance of the OkHttp client during construction (line 7).</t>
        </is>
      </c>
      <c r="M1021" t="n">
        <v>0</v>
      </c>
      <c r="N1021" t="n">
        <v>0.0308</v>
      </c>
      <c r="O1021" t="n">
        <v>0.0781</v>
      </c>
    </row>
    <row r="1022">
      <c r="A1022" t="inlineStr">
        <is>
          <t>okhttp</t>
        </is>
      </c>
      <c r="B1022" t="inlineStr">
        <is>
          <t>maven-tests/src/test/java/com/squareup/okhttp3/maventest/AppTest.java</t>
        </is>
      </c>
      <c r="C1022">
        <f>HYPERLINK("https://github.com/square/okhttp/blob/master/maven-tests/src/test/java/com/squareup/okhttp3/maventest/AppTest.java")</f>
        <v/>
      </c>
      <c r="D1022" t="inlineStr">
        <is>
          <t>ThegivenJava code is a JUnit test for an application using the Mock Web Server library to simulate HTTP requests and responses. The purpose of this test is to verify that the app can handle these simulated network conditions correctly. It does so by creating a new instance of `MockWebServer`, enqueuing mock responses with it (using the `MockResponse` class), then testing the functionality of</t>
        </is>
      </c>
      <c r="E1022" t="n">
        <v>0.0034</v>
      </c>
      <c r="F1022" t="n">
        <v>0.0563</v>
      </c>
      <c r="G1022" t="n">
        <v>0.1111</v>
      </c>
      <c r="H1022" t="inlineStr">
        <is>
          <t>The code you provided is a simple addition function in Python named `add` that takes two parameters and returns their sum. The time complexity of this operation is O(1), meaning it always executes the same number of steps regardless of input size.
Here's your summary:
```python
# add.py
def add(a, b):
    return a +</t>
        </is>
      </c>
      <c r="I1022" t="n">
        <v>0.0034</v>
      </c>
      <c r="J1022" t="n">
        <v>0.0625</v>
      </c>
      <c r="K1022" t="n">
        <v>0.119</v>
      </c>
      <c r="L1022" t="inlineStr">
        <is>
          <t>The code provided is a simple unit test for an application using the OkHttp library and MockWebServer library in Java. The purpose of this code seems to be testing whether or not certain HTTP requests are being made correctly by the application under test.
```java
// Copyright (C) 2025 Block Inc. Licensed under the Apache License, Version 2.0</t>
        </is>
      </c>
      <c r="M1022" t="n">
        <v>0.0031</v>
      </c>
      <c r="N1022" t="n">
        <v>0.0303</v>
      </c>
      <c r="O1022" t="n">
        <v>0.1154</v>
      </c>
    </row>
    <row r="1023">
      <c r="A1023" t="inlineStr">
        <is>
          <t>okhttp</t>
        </is>
      </c>
      <c r="B1023" t="inlineStr">
        <is>
          <t>module-tests/src/main/java/module-info.java</t>
        </is>
      </c>
      <c r="C1023">
        <f>HYPERLINK("https://github.com/square/okhttp/blob/master/module-tests/src/main/java/module-info.java")</f>
        <v/>
      </c>
      <c r="D1023" t="inlineStr">
        <is>
          <t>The code provided is a module-info file for the OkHttp library in Java. It defines dependencies and exports packages from this library. The repository contains backend software components implementing core algorithms.
It's worth noting that the complexity of this function is O(N), where N represents the number of lines or modules defined in the file. This could be considered as linear time complexity because each</t>
        </is>
      </c>
      <c r="E1023" t="n">
        <v>0.004</v>
      </c>
      <c r="F1023" t="n">
        <v>0.1316</v>
      </c>
      <c r="G1023" t="n">
        <v>0.3501</v>
      </c>
      <c r="H1023" t="inlineStr">
        <is>
          <t>The provided code is a module declaration for an OkHttp 3 library in Java. The module requires the okhttp3 package and exports its own modules named "okhttp3.modules". It's complexity is O(N), as it declares dependencies on other packages which could increase with more complex software systems. This repository contains backend components that implement core algorithms using JDK cryptography.</t>
        </is>
      </c>
      <c r="I1023" t="n">
        <v>0.0047</v>
      </c>
      <c r="J1023" t="n">
        <v>0.08699999999999999</v>
      </c>
      <c r="K1023" t="n">
        <v>0.3689</v>
      </c>
      <c r="L1023" t="inlineStr">
        <is>
          <t>The provided code file is a module declaration for the OkHttp library in Java. The purpose of this code is to define what other modules (OkHttp components) are required by this module and which classes will be exported from it when compiled as part of an application that uses OkHttp. This allows other developers who use your software to easily incorporate specific parts or all of your work into their projects without</t>
        </is>
      </c>
      <c r="M1023" t="n">
        <v>0.0036</v>
      </c>
      <c r="N1023" t="n">
        <v>0.075</v>
      </c>
      <c r="O1023" t="n">
        <v>0.1736</v>
      </c>
    </row>
    <row r="1024">
      <c r="A1024" t="inlineStr">
        <is>
          <t>okhttp</t>
        </is>
      </c>
      <c r="B1024" t="inlineStr">
        <is>
          <t>module-tests/src/main/java/okhttp3/modules/OkHttpCaller.java</t>
        </is>
      </c>
      <c r="C1024">
        <f>HYPERLINK("https://github.com/square/okhttp/blob/master/module-tests/src/main/java/okhttp3/modules/OkHttpCaller.java")</f>
        <v/>
      </c>
      <c r="D1024" t="inlineStr">
        <is>
          <t>The code provided is for making HTTP calls using OkHttp library in Java. It creates a new instance of the OkHttp client and sets up an interceptor to log requests and responses. The `callOkHttp` method takes in a URL as parameter and makes a GET request to that URL with the configured client.
If you want to make POST or PUT requests instead of GET</t>
        </is>
      </c>
      <c r="E1024" t="n">
        <v>0.0028</v>
      </c>
      <c r="F1024" t="n">
        <v>0.0274</v>
      </c>
      <c r="G1024" t="n">
        <v>0.073</v>
      </c>
      <c r="H1024" t="inlineStr">
        <is>
          <t>The code you provided is a Java class named `OkHttpCaller` that uses OkHttp library to make HTTP requests. The function `callOkHttp` takes an instance of HttpUrl as input and returns a Call object which can be used for making the actual request using methods like execute(), enqueue(). 
Here's a concise summary:
```plaintext</t>
        </is>
      </c>
      <c r="I1024" t="n">
        <v>0.0035</v>
      </c>
      <c r="J1024" t="n">
        <v>0.06560000000000001</v>
      </c>
      <c r="K1024" t="n">
        <v>0.0806</v>
      </c>
      <c r="L1024" t="inlineStr">
        <is>
          <t>The provided code is a Java class named `OkHttpCaller` that uses OkHttp library to make HTTP calls. The main purpose of this class seems to be the creation and execution of an HTTP request using OkHttp's Call object.
Here are some key operations performed in the method `callOkHttp`:
1. A new instance of `OkHttpClient`</t>
        </is>
      </c>
      <c r="M1024" t="n">
        <v>0.0034</v>
      </c>
      <c r="N1024" t="n">
        <v>0.0635</v>
      </c>
      <c r="O1024" t="n">
        <v>0.119</v>
      </c>
    </row>
    <row r="1025">
      <c r="A1025" t="inlineStr">
        <is>
          <t>okhttp</t>
        </is>
      </c>
      <c r="B1025" t="inlineStr">
        <is>
          <t>module-tests/src/main/java/okhttp3/modules/Main.java</t>
        </is>
      </c>
      <c r="C1025">
        <f>HYPERLINK("https://github.com/square/okhttp/blob/master/module-tests/src/main/java/okhttp3/modules/Main.java")</f>
        <v/>
      </c>
      <c r="D1025" t="inlineStr">
        <is>
          <t>```plaintext
The provided code is a simple Java program that uses the OkHttp library to make an HTTP GET request and print out the response body as a string. 
It's licensed under Apache License Version 2.0. It can be used for making network requests in backend software components. The complexity of this function is O(1), meaning it has constant time</t>
        </is>
      </c>
      <c r="E1025" t="n">
        <v>0.0036</v>
      </c>
      <c r="F1025" t="n">
        <v>0.0563</v>
      </c>
      <c r="G1025" t="n">
        <v>0.1515</v>
      </c>
      <c r="H1025" t="inlineStr">
        <is>
          <t>The provided code is a Java program that uses the OkHttp library to make an HTTP GET request and prints out the response body as a string. The main function calls `OkHttpCaller`'s static method `callOkHttp()` with an HttpUrl object containing "https://square.com/robots.txt". It then executes this call using the execute() method on the</t>
        </is>
      </c>
      <c r="I1025" t="n">
        <v>0.0035</v>
      </c>
      <c r="J1025" t="n">
        <v>0.0308</v>
      </c>
      <c r="K1025" t="n">
        <v>0.121</v>
      </c>
      <c r="L1025" t="inlineStr">
        <is>
          <t>The provided code is a simple Java program that uses OkHttp library to make an HTTP GET request and prints the response body as a string. The main purpose of this code is to demonstrate how to use OkHttp for making network requests in Android applications. It takes no inputs but outputs the content fetched from "https://square.com/robots.txt". This code adheres to good coding</t>
        </is>
      </c>
      <c r="M1025" t="n">
        <v>0.0034</v>
      </c>
      <c r="N1025" t="n">
        <v>0.0267</v>
      </c>
      <c r="O1025" t="n">
        <v>0.1111</v>
      </c>
    </row>
    <row r="1026">
      <c r="A1026" t="inlineStr">
        <is>
          <t>okhttp</t>
        </is>
      </c>
      <c r="B1026" t="inlineStr">
        <is>
          <t>module-tests/src/test/java/module-info.java</t>
        </is>
      </c>
      <c r="C1026">
        <f>HYPERLINK("https://github.com/square/okhttp/blob/master/module-tests/src/test/java/module-info.java")</f>
        <v/>
      </c>
      <c r="D1026" t="inlineStr">
        <is>
          <t>The code is a module declaration for the "test" package of an OkHttp library in Java language. It requires other modules such as okhttp3, logging, mockwebserver3 with junit5 dependencies and it opens up access to org.junit.platform.commons for testing purposes. The repository contains backend software components implementing core algorithms but doesn't provide specific functionality or comments about its implementation</t>
        </is>
      </c>
      <c r="E1026" t="n">
        <v>0.0047</v>
      </c>
      <c r="F1026" t="n">
        <v>0.1143</v>
      </c>
      <c r="G1026" t="n">
        <v>0.2308</v>
      </c>
      <c r="H1026" t="inlineStr">
        <is>
          <t>The provided code is a module for OkHttp 3 named "test". It requires the following dependencies: okhttp3, logging, mockwebserver3, junit5, jdk.crypto.ec, org.junit.jupiter.api, and modules from both okhttp3 and mockwebserver3. The module opens 'test' to package 'org.junit.platform</t>
        </is>
      </c>
      <c r="I1026" t="n">
        <v>0.0061</v>
      </c>
      <c r="J1026" t="n">
        <v>0.0784</v>
      </c>
      <c r="K1026" t="n">
        <v>0.0926</v>
      </c>
      <c r="L1026" t="inlineStr">
        <is>
          <t>The provided code file is a module for OkHttp client in Java that uses the JUnit 5 framework to test HTTP requests and responses using MockWebServer library. The main purpose of this module is to validate functionality by simulating network interactions with an embedded web server instance running on localhost. This allows developers to write unit tests without depending on external services or networks during development and testing phases</t>
        </is>
      </c>
      <c r="M1026" t="n">
        <v>0.0037</v>
      </c>
      <c r="N1026" t="n">
        <v>0.1039</v>
      </c>
      <c r="O1026" t="n">
        <v>0.1418</v>
      </c>
    </row>
    <row r="1027">
      <c r="A1027" t="inlineStr">
        <is>
          <t>okhttp</t>
        </is>
      </c>
      <c r="B1027" t="inlineStr">
        <is>
          <t>module-tests/src/test/java/okhttp3/modules/test/JavaModuleTest.java</t>
        </is>
      </c>
      <c r="C1027">
        <f>HYPERLINK("https://github.com/square/okhttp/blob/master/module-tests/src/test/java/okhttp3/modules/test/JavaModuleTest.java")</f>
        <v/>
      </c>
      <c r="D1027" t="inlineStr">
        <is>
          <t>The provided code is a Java class that uses the OkHttp library for making HTTP requests and MockWebServer to mock server responses in unit tests. It includes an Apache 2.0 licensed header at the top of the file which specifies conditions under which users may use or distribute this software. The license can be found online at http://www.apache.org/licenses/LICENSE-2</t>
        </is>
      </c>
      <c r="E1027" t="n">
        <v>0.0031</v>
      </c>
      <c r="F1027" t="n">
        <v>0.0548</v>
      </c>
      <c r="G1027" t="n">
        <v>0.1154</v>
      </c>
      <c r="H1027" t="inlineStr">
        <is>
          <t>The code you provided is a simple function for addition of two numbers in Python. It takes two parameters (`a` and `b`), adds them together and returns the result. The time complexity of this operation is O(1).
Here's an example of how it can be used:
```python
result = add(4, 6) # Result will be</t>
        </is>
      </c>
      <c r="I1027" t="n">
        <v>0.0033</v>
      </c>
      <c r="J1027" t="n">
        <v>0.0625</v>
      </c>
      <c r="K1027" t="n">
        <v>0.1181</v>
      </c>
      <c r="L1027" t="inlineStr">
        <is>
          <t>The provided code is a JUnit test for an OkHttp client using MockWebServer to mock HTTP responses. The main purpose of this code is to verify the correctness of network calls made by the application under test (AT). It does so by creating a mock server that responds with specific predefined data and then making requests against it from the AT. If the response matches expectations, the</t>
        </is>
      </c>
      <c r="M1027" t="n">
        <v>0.0027</v>
      </c>
      <c r="N1027" t="n">
        <v>0.0533</v>
      </c>
      <c r="O1027" t="n">
        <v>0.1079</v>
      </c>
    </row>
    <row r="1028">
      <c r="A1028" t="inlineStr">
        <is>
          <t>okhttp</t>
        </is>
      </c>
      <c r="B1028" t="inlineStr">
        <is>
          <t>okhttp-testing-support/src/main/kotlin/okhttp3/ForwardingResponseBody.kt</t>
        </is>
      </c>
      <c r="C1028">
        <f>HYPERLINK("https://github.com/square/okhttp/blob/master/okhttp-testing-support/src/main/kotlin/okhttp3/ForwardingResponseBody.kt")</f>
        <v/>
      </c>
      <c r="D1028" t="inlineStr">
        <is>
          <t>The code you provided appears to be a Java class that extends the OkHttp library's ResponseBody class and overrides some of its methods for custom behavior. The main functionality it provides is wrapping another instance of ResponseBody (which could represent an HTTP response), providing additional control over how this data gets read or processed by clients using your customized body implementation. This includes getting content type, length,</t>
        </is>
      </c>
      <c r="E1028" t="n">
        <v>0.0036</v>
      </c>
      <c r="F1028" t="n">
        <v>0.0526</v>
      </c>
      <c r="G1028" t="n">
        <v>0.1079</v>
      </c>
      <c r="H1028" t="inlineStr">
        <is>
          <t>The code you provided is a Java class that extends the `ResponseBody` class from OkHttp library and overrides some of its methods to provide additional functionality. It's used for handling HTTP responses in an efficient way by providing buffering capabilities over the response body content.
Here are key points about this implementation: 
- The class uses delegation pattern where it wraps</t>
        </is>
      </c>
      <c r="I1028" t="n">
        <v>0.003</v>
      </c>
      <c r="J1028" t="n">
        <v>0.058</v>
      </c>
      <c r="K1028" t="n">
        <v>0.1128</v>
      </c>
      <c r="L1028" t="inlineStr">
        <is>
          <t>The code provided is a subclass of the ResponseBody class in OkHttp library for Android. It extends its functionality by forwarding all requests to another instance of the same class (delegating). The main purpose of this class seems to be handling response bodies with additional functionalities such as content type and length information retrieval. This implementation may serve as an intermediary or wrapper around other classes</t>
        </is>
      </c>
      <c r="M1028" t="n">
        <v>0.0036</v>
      </c>
      <c r="N1028" t="n">
        <v>0.08110000000000001</v>
      </c>
      <c r="O1028" t="n">
        <v>0.1449</v>
      </c>
    </row>
    <row r="1029">
      <c r="A1029" t="inlineStr">
        <is>
          <t>okhttp</t>
        </is>
      </c>
      <c r="B1029" t="inlineStr">
        <is>
          <t>okhttp-testing-support/src/main/kotlin/okhttp3/RecordingConnectionListener.kt</t>
        </is>
      </c>
      <c r="C1029">
        <f>HYPERLINK("https://github.com/square/okhttp/blob/master/okhttp-testing-support/src/main/kotlin/okhttp3/RecordingConnectionListener.kt")</f>
        <v/>
      </c>
      <c r="D1029" t="inlineStr">
        <is>
          <t>```plaintext
The provided code is a Java class that implements the OkHttp networking library and uses AssertK for assertions in unit tests. The Apache License 2.0 is applied to this software component, which allows anyone to use it except as specified by the license terms. This includes any modifications or derived works from the original source code. It's distributed on an "</t>
        </is>
      </c>
      <c r="E1029" t="n">
        <v>0.0042</v>
      </c>
      <c r="F1029" t="n">
        <v>0.0563</v>
      </c>
      <c r="G1029" t="n">
        <v>0.1866</v>
      </c>
      <c r="H1029" t="inlineStr">
        <is>
          <t>The provided code is a function named `add` that takes two parameters (numbers), and returns their sum. The complexity of this operation is O(1). This means the time taken to execute does not increase with the size of the input data set.
Here's a concise summary: 
```plaintext
Function Name: add
Input Parameters: Two numbers</t>
        </is>
      </c>
      <c r="I1029" t="n">
        <v>0.004</v>
      </c>
      <c r="J1029" t="n">
        <v>0.0625</v>
      </c>
      <c r="K1029" t="n">
        <v>0.119</v>
      </c>
      <c r="L1029" t="inlineStr">
        <is>
          <t>The code provided is a Java implementation of the OkHttp library's HttpUrl class using assertk for assertion testing. The purpose of this code seems to be to validate URLs and ensure they are correctly formatted according to certain rules.
Here's an overview of what it does in steps: 
1. It creates instances of HttpUrl with different inputs (URL strings).</t>
        </is>
      </c>
      <c r="M1029" t="n">
        <v>0.0031</v>
      </c>
      <c r="N1029" t="n">
        <v>0.058</v>
      </c>
      <c r="O1029" t="n">
        <v>0.1527</v>
      </c>
    </row>
    <row r="1030">
      <c r="A1030" t="inlineStr">
        <is>
          <t>okhttp</t>
        </is>
      </c>
      <c r="B1030" t="inlineStr">
        <is>
          <t>okhttp-testing-support/src/main/kotlin/okhttp3/EventRecorder.kt</t>
        </is>
      </c>
      <c r="C1030">
        <f>HYPERLINK("https://github.com/square/okhttp/blob/master/okhttp-testing-support/src/main/kotlin/okhttp3/EventRecorder.kt")</f>
        <v/>
      </c>
      <c r="D1030" t="inlineStr">
        <is>
          <t>The code provided is a Java class that uses OkHttp library for making HTTP requests and asserts the response using AssertK framework. It's licensed under Apache License 2.0. The license allows you to use this file except in compliance with the License. You can obtain a copy of the License at http://www.apache.org/licenses/LICENSE-2</t>
        </is>
      </c>
      <c r="E1030" t="n">
        <v>0.0035</v>
      </c>
      <c r="F1030" t="n">
        <v>0.0294</v>
      </c>
      <c r="G1030" t="n">
        <v>0.121</v>
      </c>
      <c r="H1030" t="inlineStr">
        <is>
          <t>The provided code is a Java function named `add` that takes two numbers as parameters and returns their sum. The complexity of this operation is O(1), meaning it performs constant time regardless of the size of the input data. This function does not use any external libraries or dependencies except for those required by Junit5 for testing purposes.
```
Please provide an explanation of what each part</t>
        </is>
      </c>
      <c r="I1030" t="n">
        <v>0.0032</v>
      </c>
      <c r="J1030" t="n">
        <v>0.0533</v>
      </c>
      <c r="K1030" t="n">
        <v>0.1079</v>
      </c>
      <c r="L1030" t="inlineStr">
        <is>
          <t>The code provided is a Java implementation of OkHttp's Call event tracking system using the ConcurrentLinkedDeque data structure for storing and retrieving events in an asynchronous manner. The main purpose of this code seems to be to track various stages of HTTP calls such as call start, cancellation etc. 
It uses assert statements from AssertJ library for validating expected outcomes</t>
        </is>
      </c>
      <c r="M1030" t="n">
        <v>0.003</v>
      </c>
      <c r="N1030" t="n">
        <v>0.058</v>
      </c>
      <c r="O1030" t="n">
        <v>0.1515</v>
      </c>
    </row>
    <row r="1031">
      <c r="A1031" t="inlineStr">
        <is>
          <t>okhttp</t>
        </is>
      </c>
      <c r="B1031" t="inlineStr">
        <is>
          <t>okhttp-testing-support/src/main/kotlin/okhttp3/FakeProxySelector.kt</t>
        </is>
      </c>
      <c r="C1031">
        <f>HYPERLINK("https://github.com/square/okhttp/blob/master/okhttp-testing-support/src/main/kotlin/okhttp3/FakeProxySelector.kt")</f>
        <v/>
      </c>
      <c r="D1031" t="inlineStr">
        <is>
          <t>```
// This is a Java code snippet related to OkHttp library which provides an HTTP client for Android applications. 
// The FakeProxySelector class extends the ProxySelector abstract class and overrides its select method. It's used to add custom proxies in place of default ones.
public class FakeProxySelector extends ProxySelector</t>
        </is>
      </c>
      <c r="E1031" t="n">
        <v>0.0044</v>
      </c>
      <c r="F1031" t="n">
        <v>0.07140000000000001</v>
      </c>
      <c r="G1031" t="n">
        <v>0.123</v>
      </c>
      <c r="H1031" t="inlineStr">
        <is>
          <t>This Java code is a custom implementation of the ProxySelector class from the OkHttp library for Android platform. It's used to add fake proxies into an application without actually having them in your network configuration. The complexity here is O(n), as it involves looping over all existing proxies and comparing with the new one being added.
The license at the top</t>
        </is>
      </c>
      <c r="I1031" t="n">
        <v>0.0036</v>
      </c>
      <c r="J1031" t="n">
        <v>0.08450000000000001</v>
      </c>
      <c r="K1031" t="n">
        <v>0.1504</v>
      </c>
      <c r="L1031" t="inlineStr">
        <is>
          <t>The provided code is a Java class named `FakeProxySelector` that extends the built-in java class `ProxySelector`. This class provides an implementation of proxy selection logic for HTTP requests in Android applications using OkHttp library. 
 It has one primary method called `addProxy` which adds a new Proxy object to its internal list of proxies. Then</t>
        </is>
      </c>
      <c r="M1031" t="n">
        <v>0.0034</v>
      </c>
      <c r="N1031" t="n">
        <v>0.09520000000000001</v>
      </c>
      <c r="O1031" t="n">
        <v>0.119</v>
      </c>
    </row>
    <row r="1032">
      <c r="A1032" t="inlineStr">
        <is>
          <t>okhttp</t>
        </is>
      </c>
      <c r="B1032" t="inlineStr">
        <is>
          <t>okhttp-testing-support/src/main/kotlin/okhttp3/DelegatingSSLSession.kt</t>
        </is>
      </c>
      <c r="C1032">
        <f>HYPERLINK("https://github.com/square/okhttp/blob/master/okhttp-testing-support/src/main/kotlin/okhttp3/DelegatingSSLSession.kt")</f>
        <v/>
      </c>
      <c r="D1032" t="inlineStr">
        <is>
          <t>The code provided is a Java class that defines an abstract DelegatingSSLSession class which delegates all calls to another SSLSession object (`delegate`). The `Delegate` field of the session is protected and can be accessed within subclasses or classes in the same package as this one. This design pattern allows for flexibility by allowing derived classes to modify behavior without changing the base class</t>
        </is>
      </c>
      <c r="E1032" t="n">
        <v>0.0034</v>
      </c>
      <c r="F1032" t="n">
        <v>0.0282</v>
      </c>
      <c r="G1032" t="n">
        <v>0.0741</v>
      </c>
      <c r="H1032" t="inlineStr">
        <is>
          <t>The provided code is a Java implementation of an abstract class `DelegatingSSLSession` that extends the functionality of an existing `SSLSession` object by delegating all calls to it. The license at the top of the file states that any modifications made must be in compliance with Apache License 2.0.
The function `add()` takes two numbers as input and</t>
        </is>
      </c>
      <c r="I1032" t="n">
        <v>0.0038</v>
      </c>
      <c r="J1032" t="n">
        <v>0.09089999999999999</v>
      </c>
      <c r="K1032" t="n">
        <v>0.1163</v>
      </c>
      <c r="L1032" t="inlineStr">
        <is>
          <t>ThegivenJavacodeusesOKHttp'slibrarytounderstandHTTPrequestsinJavaapplications.ItincludesclassesforhandlingHTTPSslconnectionsincludingmanagingtruststoresandvalidatingpeercertificates.However,thiscodehasbeendeprecatedinsinceversion4.6due tochangesintheunderlyingJSSEAPIswhichhaveaffectedsubsequentversions.</t>
        </is>
      </c>
      <c r="M1032" t="n">
        <v>0</v>
      </c>
      <c r="N1032" t="n">
        <v>0</v>
      </c>
      <c r="O1032" t="n">
        <v>0</v>
      </c>
    </row>
    <row r="1033">
      <c r="A1033" t="inlineStr">
        <is>
          <t>okhttp</t>
        </is>
      </c>
      <c r="B1033" t="inlineStr">
        <is>
          <t>okhttp-testing-support/src/main/kotlin/okhttp3/FakeSSLSession.kt</t>
        </is>
      </c>
      <c r="C1033">
        <f>HYPERLINK("https://github.com/square/okhttp/blob/master/okhttp-testing-support/src/main/kotlin/okhttp3/FakeSSLSession.kt")</f>
        <v/>
      </c>
      <c r="D1033"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1033" t="n">
        <v>0</v>
      </c>
      <c r="F1033" t="n">
        <v>0.0308</v>
      </c>
      <c r="G1033" t="n">
        <v>0.1163</v>
      </c>
      <c r="H1033" t="inlineStr">
        <is>
          <t>The provided code is a simple function that adds two numbers together and returns the result. It's complexity is O(1), meaning it performs a constant number of operations regardless of the size of the input data. The license at the top of the file states under which terms this software can be used.
It appears to be written in Java but without any specific language mentioned in your example</t>
        </is>
      </c>
      <c r="I1033" t="n">
        <v>0.0031</v>
      </c>
      <c r="J1033" t="n">
        <v>0.0506</v>
      </c>
      <c r="K1033" t="n">
        <v>0.2238</v>
      </c>
      <c r="L1033" t="inlineStr">
        <is>
          <t>The provided code is a Java class file implementing the OkHttp client for making HTTP requests in Android applications. It's licensed under Apache 2.0 License and it follows best practices of software engineering such as modularization, readability, maintainability, and program comprehensibility. This class uses core algorithms like SSL sessions to handle secure HTTPS connections. However, without seeing the</t>
        </is>
      </c>
      <c r="M1033" t="n">
        <v>0.0045</v>
      </c>
      <c r="N1033" t="n">
        <v>0.0588</v>
      </c>
      <c r="O1033" t="n">
        <v>0.2308</v>
      </c>
    </row>
    <row r="1034">
      <c r="A1034" t="inlineStr">
        <is>
          <t>okhttp</t>
        </is>
      </c>
      <c r="B1034" t="inlineStr">
        <is>
          <t>okhttp-testing-support/src/main/kotlin/okhttp3/CallEvent.kt</t>
        </is>
      </c>
      <c r="C1034">
        <f>HYPERLINK("https://github.com/square/okhttp/blob/master/okhttp-testing-support/src/main/kotlin/okhttp3/CallEvent.kt")</f>
        <v/>
      </c>
      <c r="D1034" t="inlineStr">
        <is>
          <t>The code you provided is a Java class named CallEvent which represents an event that occurs during the execution of a call to another system or service. This class has three abstract properties: timestampNs (representing the time at which the event occurred in nanoseconds), call (which holds information about the specific call that was made), and name (a string representing the name of this particular event</t>
        </is>
      </c>
      <c r="E1034" t="n">
        <v>0.0033</v>
      </c>
      <c r="F1034" t="n">
        <v>0.0541</v>
      </c>
      <c r="G1034" t="n">
        <v>0.0725</v>
      </c>
      <c r="H1034" t="inlineStr">
        <is>
          <t>The provided code is a Java class named CallEvent that encapsulates an event with three properties: timestamp in nanoseconds (since the epoch), call object and name of the method being called. The license at the top of this file states that it's licensed under Apache 2.0 which means you can use it freely for any purpose but must retain its copyright notice and disclaim</t>
        </is>
      </c>
      <c r="I1034" t="n">
        <v>0.0028</v>
      </c>
      <c r="J1034" t="n">
        <v>0.0541</v>
      </c>
      <c r="K1034" t="n">
        <v>0.1103</v>
      </c>
      <c r="L1034" t="inlineStr">
        <is>
          <t>The code provided is a Java class named "CallEvent". This class represents an event that occurs during the execution of some piece of software (represented by the 'call' field). The purpose of this class seems to be to encapsulate information about such events in a structured way for further processing or analysis. 
Key operations and control flow are represented through abstract properties `timestampN</t>
        </is>
      </c>
      <c r="M1034" t="n">
        <v>0.0038</v>
      </c>
      <c r="N1034" t="n">
        <v>0.08450000000000001</v>
      </c>
      <c r="O1034" t="n">
        <v>0.1111</v>
      </c>
    </row>
    <row r="1035">
      <c r="A1035" t="inlineStr">
        <is>
          <t>okhttp</t>
        </is>
      </c>
      <c r="B1035" t="inlineStr">
        <is>
          <t>okhttp-testing-support/src/main/kotlin/okhttp3/EventListenerAdapter.kt</t>
        </is>
      </c>
      <c r="C1035">
        <f>HYPERLINK("https://github.com/square/okhttp/blob/master/okhttp-testing-support/src/main/kotlin/okhttp3/EventListenerAdapter.kt")</f>
        <v/>
      </c>
      <c r="D1035" t="inlineStr">
        <is>
          <t>The provided code is a Java implementation of OkHttp library which handles networking tasks in Android applications. The Apache License 2.0 has been applied to this software making it open source and free for use under certain conditions as stated in the license file at http://www.apache.org/licenses/LICENSE-2.0. This software allows network requests like GET, POST etc., with</t>
        </is>
      </c>
      <c r="E1035" t="n">
        <v>0.0076</v>
      </c>
      <c r="F1035" t="n">
        <v>0.0833</v>
      </c>
      <c r="G1035" t="n">
        <v>0.2906</v>
      </c>
      <c r="H1035" t="inlineStr">
        <is>
          <t>The provided code is a simple function that adds two numbers together and returns the result. It does not contain any complex algorithms or networking code as indicated by its complexity O(1). The copyright information at the top of the file also indicates it's licensed under Apache 2.0 which means you can use this in compliance with the license terms unless otherwise agreed to.
&lt;jupy</t>
        </is>
      </c>
      <c r="I1035" t="n">
        <v>0.0028</v>
      </c>
      <c r="J1035" t="n">
        <v>0.0526</v>
      </c>
      <c r="K1035" t="n">
        <v>0.1095</v>
      </c>
      <c r="L1035" t="inlineStr">
        <is>
          <t>The provided code is a Java implementation of OkHttp library for making HTTP requests and handling network events. It's licensed under the Apache License 2.0. The main purpose of this code seems to be managing network calls with OkHttp and logging various events related to these calls such as cache hits or misses, call starts or ends etc. However, without contextual information about what it does</t>
        </is>
      </c>
      <c r="M1035" t="n">
        <v>0.0028</v>
      </c>
      <c r="N1035" t="n">
        <v>0.0526</v>
      </c>
      <c r="O1035" t="n">
        <v>0.1087</v>
      </c>
    </row>
    <row r="1036">
      <c r="A1036" t="inlineStr">
        <is>
          <t>okhttp</t>
        </is>
      </c>
      <c r="B1036" t="inlineStr">
        <is>
          <t>okhttp-testing-support/src/main/kotlin/okhttp3/EventListenerRelay.kt</t>
        </is>
      </c>
      <c r="C1036">
        <f>HYPERLINK("https://github.com/square/okhttp/blob/master/okhttp-testing-support/src/main/kotlin/okhttp3/EventListenerRelay.kt")</f>
        <v/>
      </c>
      <c r="D1036" t="inlineStr">
        <is>
          <t>```python
# This code is licensed under the Apache License 2.0 (https://www.apache.org/licenses/LICENSE-2.0). It's a special event listener for testing the mechanics of event listeners. Each instance processes a single event on each call and then adds a successor EventListenerRelay to process the next event. By forcing the</t>
        </is>
      </c>
      <c r="E1036" t="n">
        <v>0.0046</v>
      </c>
      <c r="F1036" t="n">
        <v>0.0635</v>
      </c>
      <c r="G1036" t="n">
        <v>0.08400000000000001</v>
      </c>
      <c r="H1036" t="inlineStr">
        <is>
          <t>The provided code is a Java package named okhttp3 with an EventListener class for testing the mechanics of event listeners. The complexity of this implementation is O(N), where N represents the number of events processed by each instance of the listener. Each instance processes a single event on every call and then adds a successor (Event Listener Relay) to process the next event. By forcing the list</t>
        </is>
      </c>
      <c r="I1036" t="n">
        <v>0.0027</v>
      </c>
      <c r="J1036" t="n">
        <v>0.0789</v>
      </c>
      <c r="K1036" t="n">
        <v>0.1079</v>
      </c>
      <c r="L1036" t="inlineStr">
        <is>
          <t>The provided code is a Java implementation of an event listener system using OkHttp's core algorithms. It works by processing each incoming event and adding another EventListener to the same call for subsequent events. The purpose of this design pattern seems to be to detect if there are any buggy or stale instances of EventListeners in use. This can help prevent issues related to memory leaks or c</t>
        </is>
      </c>
      <c r="M1036" t="n">
        <v>0.0035</v>
      </c>
      <c r="N1036" t="n">
        <v>0.0779</v>
      </c>
      <c r="O1036" t="n">
        <v>0.1786</v>
      </c>
    </row>
    <row r="1037">
      <c r="A1037" t="inlineStr">
        <is>
          <t>okhttp</t>
        </is>
      </c>
      <c r="B1037" t="inlineStr">
        <is>
          <t>okhttp-testing-support/src/main/kotlin/okhttp3/UppercaseRequestInterceptor.kt</t>
        </is>
      </c>
      <c r="C1037">
        <f>HYPERLINK("https://github.com/square/okhttp/blob/master/okhttp-testing-support/src/main/kotlin/okhttp3/UppercaseRequestInterceptor.kt")</f>
        <v/>
      </c>
      <c r="D1037" t="inlineStr">
        <is>
          <t>The code provided is an OkHttp interceptor that modifies the request body to be all uppercase before sending it to the server. It does this by overriding the `intercept` method of the Interceptor class in Java and rewrites the request body as a string with all characters converted to upper case using the `toUpperCase()` function. The modified request is</t>
        </is>
      </c>
      <c r="E1037" t="n">
        <v>0.0031</v>
      </c>
      <c r="F1037" t="n">
        <v>0.0597</v>
      </c>
      <c r="G1037" t="n">
        <v>0.1145</v>
      </c>
      <c r="H1037" t="inlineStr">
        <is>
          <t>The code you provided is a Java class that implements an OkHttp interceptor to modify the request body of HTTP requests sent by clients. The purpose of this interceptor is to convert all characters in the request body to upper case before sending it off to the server.
Please note that I'm not sure what your question or problem statement is as there are no specific requirements mentioned</t>
        </is>
      </c>
      <c r="I1037" t="n">
        <v>0.0027</v>
      </c>
      <c r="J1037" t="n">
        <v>0.026</v>
      </c>
      <c r="K1037" t="n">
        <v>0.07140000000000001</v>
      </c>
      <c r="L1037" t="inlineStr">
        <is>
          <t>The provided code is an OkHttp interception class that rewrites the request body to be all upper case letters before sending it to the server. The main purpose of this class is to modify the request body for a specific use case or requirement in order to comply with certain specifications or standards. This can include sensitive data handling, formatting, etc. It takes input from the chain and processes it</t>
        </is>
      </c>
      <c r="M1037" t="n">
        <v>0.0031</v>
      </c>
      <c r="N1037" t="n">
        <v>0.0513</v>
      </c>
      <c r="O1037" t="n">
        <v>0.1056</v>
      </c>
    </row>
    <row r="1038">
      <c r="A1038" t="inlineStr">
        <is>
          <t>okhttp</t>
        </is>
      </c>
      <c r="B1038" t="inlineStr">
        <is>
          <t>okhttp-testing-support/src/main/kotlin/okhttp3/SpecificHostSocketFactory.kt</t>
        </is>
      </c>
      <c r="C1038">
        <f>HYPERLINK("https://github.com/square/okhttp/blob/master/okhttp-testing-support/src/main/kotlin/okhttp3/SpecificHostSocketFactory.kt")</f>
        <v/>
      </c>
      <c r="D1038" t="inlineStr">
        <is>
          <t>The code provided is a custom implementation of an OkHttp socket factory that redirects connections to either the default address or specific overridden addresses via `set` method. The class name suggests it's named "SpecificHostSocketFactory". It extends from DelegatingSocketFactory and uses InetSocketAddress for its configuration parameters. This means this Socket Factory will be able to handle network</t>
        </is>
      </c>
      <c r="E1038" t="n">
        <v>0.0039</v>
      </c>
      <c r="F1038" t="n">
        <v>0.0615</v>
      </c>
      <c r="G1038" t="n">
        <v>0.1563</v>
      </c>
      <c r="H1038" t="inlineStr">
        <is>
          <t>The provided code is a Java class named `SpecificHostSocketFactory` that extends the `DelegatingSocketFactory` class from OkHttp library and overrides its functionality to redirect connections either to a default address or specific overridden addresses via setter method. The Apache License 2.0 applies to this code.
Here's a summary of key components:</t>
        </is>
      </c>
      <c r="I1038" t="n">
        <v>0.0044</v>
      </c>
      <c r="J1038" t="n">
        <v>0.0333</v>
      </c>
      <c r="K1038" t="n">
        <v>0.123</v>
      </c>
      <c r="L1038" t="inlineStr">
        <is>
          <t>The provided code is a custom implementation of an OkHttp Socket Factory that redirects connections to either the default address or specific overridden addresses via `set` method. The main purpose of this class seems to be providing control over network traffic by directing requests to certain predefined IP and port combinations. This allows for more efficient use of resources as it enables developers to manage their own routing</t>
        </is>
      </c>
      <c r="M1038" t="n">
        <v>0.0032</v>
      </c>
      <c r="N1038" t="n">
        <v>0.0526</v>
      </c>
      <c r="O1038" t="n">
        <v>0.1429</v>
      </c>
    </row>
    <row r="1039">
      <c r="A1039" t="inlineStr">
        <is>
          <t>okhttp</t>
        </is>
      </c>
      <c r="B1039" t="inlineStr">
        <is>
          <t>okhttp-testing-support/src/main/kotlin/okhttp3/DelegatingServerSocketFactory.kt</t>
        </is>
      </c>
      <c r="C1039">
        <f>HYPERLINK("https://github.com/square/okhttp/blob/master/okhttp-testing-support/src/main/kotlin/okhttp3/DelegatingServerSocketFactory.kt")</f>
        <v/>
      </c>
      <c r="D1039" t="inlineStr">
        <is>
          <t>The provided code is a Java implementation of the ServerSocketFactory class that delegates calls to Socket creation after its own configuration has been set up by overriding configureServerSocket method. The factory uses another ServerSocketFactory instance as delegate for this purpose.
The main functionality it provides includes creating server sockets with custom configurations and using them to handle socket connections. It also ensures thread safety</t>
        </is>
      </c>
      <c r="E1039" t="n">
        <v>0.0034</v>
      </c>
      <c r="F1039" t="n">
        <v>0.0833</v>
      </c>
      <c r="G1039" t="n">
        <v>0.1471</v>
      </c>
      <c r="H1039" t="inlineStr">
        <is>
          <t>The code provided is a Java implementation of the `DelegatingServerSocketFactory` class which extends from `ServerSocketFactory` and overrides its `createServerSocket()` method to delegate socket creation calls to another ServerSocketFactory instance (specified by 'delegate'). The Apache License 2.0 is included in this file indicating that it can be used under certain conditions specified at</t>
        </is>
      </c>
      <c r="I1039" t="n">
        <v>0.0035</v>
      </c>
      <c r="J1039" t="n">
        <v>0.06560000000000001</v>
      </c>
      <c r="K1039" t="n">
        <v>0.1613</v>
      </c>
      <c r="L1039" t="inlineStr">
        <is>
          <t>The provided code is a custom implementation of the ServerSocketFactory class in Java. This class extends from an existing ServerSocketFactory and overrides its configureServerSocket method to customize socket creation behavior after it has been created by calling super's createServerSocket method first. The purpose of this class seems to be delegating server socket configuration tasks to another factory object which could provide additional flexibility or functionality for</t>
        </is>
      </c>
      <c r="M1039" t="n">
        <v>0.0036</v>
      </c>
      <c r="N1039" t="n">
        <v>0.0533</v>
      </c>
      <c r="O1039" t="n">
        <v>0.1449</v>
      </c>
    </row>
    <row r="1040">
      <c r="A1040" t="inlineStr">
        <is>
          <t>okhttp</t>
        </is>
      </c>
      <c r="B1040" t="inlineStr">
        <is>
          <t>okhttp-testing-support/src/main/kotlin/okhttp3/OkHttpDebugLogging.kt</t>
        </is>
      </c>
      <c r="C1040">
        <f>HYPERLINK("https://github.com/square/okhttp/blob/master/okhttp-testing-support/src/main/kotlin/okhttp3/OkHttpDebugLogging.kt")</f>
        <v/>
      </c>
      <c r="D1040" t="inlineStr">
        <is>
          <t>The code provided is a Java class that uses OkHttp library for networking operations in an Android application. It includes logging configuration and setup using java util logging package to handle network requests asynchronously with the help of Task Runner from okhttp3 internal package. The license information at the top indicates it's licensed under Apache 2.0 License. This software can be used except</t>
        </is>
      </c>
      <c r="E1040" t="n">
        <v>0.0068</v>
      </c>
      <c r="F1040" t="n">
        <v>0.0548</v>
      </c>
      <c r="G1040" t="n">
        <v>0.2338</v>
      </c>
      <c r="H1040" t="inlineStr">
        <is>
          <t>The provided code is a Java package named okhttp3 that contains several components for backend software development. It includes classes and interfaces related to HTTP requests and responses, connection pooling, task scheduling etc. The license of this project seems to be Apache 2.0 as it starts with "Licensed under the Apache License". This means you can use or modify the source code in any way compatible</t>
        </is>
      </c>
      <c r="I1040" t="n">
        <v>0.0036</v>
      </c>
      <c r="J1040" t="n">
        <v>0.0533</v>
      </c>
      <c r="K1040" t="n">
        <v>0.1449</v>
      </c>
      <c r="L1040" t="inlineStr">
        <is>
          <t>The provided code is a Java class named "OkHttpClient". This class implements the Closeable interface and uses several other classes from OkHttp library for handling network requests. The main purpose of this class seems to be executing HTTP tasks in parallel using multiple threads (based on TaskRunner). It also provides logging functionality with configurable log levels via java.util.logging package. The complexity of the implementation</t>
        </is>
      </c>
      <c r="M1040" t="n">
        <v>0.004</v>
      </c>
      <c r="N1040" t="n">
        <v>0.08110000000000001</v>
      </c>
      <c r="O1040" t="n">
        <v>0.1471</v>
      </c>
    </row>
    <row r="1041">
      <c r="A1041" t="inlineStr">
        <is>
          <t>okhttp</t>
        </is>
      </c>
      <c r="B1041" t="inlineStr">
        <is>
          <t>okhttp-testing-support/src/main/kotlin/okhttp3/JsseDebugLogging.kt</t>
        </is>
      </c>
      <c r="C1041">
        <f>HYPERLINK("https://github.com/square/okhttp/blob/master/okhttp-testing-support/src/main/kotlin/okhttp3/JsseDebugLogging.kt")</f>
        <v/>
      </c>
      <c r="D1041" t="inlineStr">
        <is>
          <t>```plaintext
The provided code is a Java class named `JsseDebugLogging` that logs SSL/TLS debug messages using OkHttp's JSSE (Java Secure Socket Extension). The logging level can be set to different types such as Handshake, Plaintext, Encrypted, Setup and Unknown. 
It has an inner</t>
        </is>
      </c>
      <c r="E1041" t="n">
        <v>0.0043</v>
      </c>
      <c r="F1041" t="n">
        <v>0.0377</v>
      </c>
      <c r="G1041" t="n">
        <v>0.08699999999999999</v>
      </c>
      <c r="H1041" t="inlineStr">
        <is>
          <t>The provided code is a Java package named "okhttp3". It imports several classes from the java.io and java.util.logging packages for logging purposes. The class JsseDebugLogging contains an inner data class called JsseDebugMessage which has two properties - message of type String and param of type String?. There's also an enum Type with five values representing different</t>
        </is>
      </c>
      <c r="I1041" t="n">
        <v>0.0033</v>
      </c>
      <c r="J1041" t="n">
        <v>0.0299</v>
      </c>
      <c r="K1041" t="n">
        <v>0.0391</v>
      </c>
      <c r="L1041" t="inlineStr">
        <is>
          <t>The code you provided is a Java class named `JsseDebugMessage` that represents a debug message for Jsse (Java Secure Socket Extension). This class has three data classes and an enum type defined within it. 
Here's the summary of its functionality:
1. The main purpose of this class seems to be logging SSL handshakes with different</t>
        </is>
      </c>
      <c r="M1041" t="n">
        <v>0.004</v>
      </c>
      <c r="N1041" t="n">
        <v>0.0625</v>
      </c>
      <c r="O1041" t="n">
        <v>0.07870000000000001</v>
      </c>
    </row>
    <row r="1042">
      <c r="A1042" t="inlineStr">
        <is>
          <t>okhttp</t>
        </is>
      </c>
      <c r="B1042" t="inlineStr">
        <is>
          <t>okhttp-testing-support/src/main/kotlin/okhttp3/ForwardingRequestBody.kt</t>
        </is>
      </c>
      <c r="C1042">
        <f>HYPERLINK("https://github.com/square/okhttp/blob/master/okhttp-testing-support/src/main/kotlin/okhttp3/ForwardingRequestBody.kt")</f>
        <v/>
      </c>
      <c r="D1042" t="inlineStr">
        <is>
          <t>ThegivenJava code is a custom implementation of the RequestBody class in OkHttp library for Java. It extends the functionality of an existing delegate RequestBody by forwarding all its methods to it and also providing additional functionalities such as getting content type and length from the delegate body. The code is licensed under Apache License 2.0 which means you can use this file except in compliance with the license</t>
        </is>
      </c>
      <c r="E1042" t="n">
        <v>0.0032</v>
      </c>
      <c r="F1042" t="n">
        <v>0.0779</v>
      </c>
      <c r="G1042" t="n">
        <v>0.1429</v>
      </c>
      <c r="H1042" t="inlineStr">
        <is>
          <t>The code you provided is a Java implementation of the OkHttp library's RequestBody class that forwards all requests to another delegate body. It includes Apache license information at the top which states usage rights and conditions. The complexity of this code is O(N), where N refers to the size of the content being delegated by the request body. This means if the content length changes (which it</t>
        </is>
      </c>
      <c r="I1042" t="n">
        <v>0.0032</v>
      </c>
      <c r="J1042" t="n">
        <v>0.0519</v>
      </c>
      <c r="K1042" t="n">
        <v>0.1079</v>
      </c>
      <c r="L1042" t="inlineStr">
        <is>
          <t>The provided code is a custom implementation of the RequestBody class in OkHttp library for Java. It extends an existing instance of RequestBody and overrides its content type, length, and delegate methods to provide additional functionality or behavior as required by the application's requirements. The main purpose of this code seems to be to add extra information (possibly authentication data) into HTTP requests being made using Ok</t>
        </is>
      </c>
      <c r="M1042" t="n">
        <v>0.0032</v>
      </c>
      <c r="N1042" t="n">
        <v>0.0526</v>
      </c>
      <c r="O1042" t="n">
        <v>0.1439</v>
      </c>
    </row>
    <row r="1043">
      <c r="A1043" t="inlineStr">
        <is>
          <t>okhttp</t>
        </is>
      </c>
      <c r="B1043" t="inlineStr">
        <is>
          <t>okhttp-testing-support/src/main/kotlin/okhttp3/RecordingHostnameVerifier.kt</t>
        </is>
      </c>
      <c r="C1043">
        <f>HYPERLINK("https://github.com/square/okhttp/blob/master/okhttp-testing-support/src/main/kotlin/okhttp3/RecordingHostnameVerifier.kt")</f>
        <v/>
      </c>
      <c r="D1043" t="inlineStr">
        <is>
          <t>```java
// This code is a custom HostnameVerifier implementation in Java that records all hostnames it verifies against SSL sessions. 
// It's licensed under the Apache License Version 2.0 and can be found at http://www.apache.org/licenses/LICENSE-2.0. 
// The license requires compliance with any applicable</t>
        </is>
      </c>
      <c r="E1043" t="n">
        <v>0.0051</v>
      </c>
      <c r="F1043" t="n">
        <v>0.1053</v>
      </c>
      <c r="G1043" t="n">
        <v>0.1304</v>
      </c>
      <c r="H1043" t="inlineStr">
        <is>
          <t>```kotlin
// Copyright (C) 2013 The Android Open Source Project
// Licensed under the Apache License, Version 2.0 (the "License");
// you may not use this file except in compliance with the License.
// You may obtain a copy of the License at
// http://www.apache.org/licenses</t>
        </is>
      </c>
      <c r="I1043" t="n">
        <v>0</v>
      </c>
      <c r="J1043" t="n">
        <v>0.0377</v>
      </c>
      <c r="K1043" t="n">
        <v>0.08550000000000001</v>
      </c>
      <c r="L1043" t="inlineStr">
        <is>
          <t>The provided code is a custom implementation of the HostnameVerifier interface in Java from OkHttp library for Android development. This class overrides the verify method to record hostnames during SSL handshakes. The purpose of this functionality is to ensure secure communication with servers by validating their domain names against known and trusted certificates. 
It does so by implementing an overrid</t>
        </is>
      </c>
      <c r="M1043" t="n">
        <v>0.004</v>
      </c>
      <c r="N1043" t="n">
        <v>0.0882</v>
      </c>
      <c r="O1043" t="n">
        <v>0.1515</v>
      </c>
    </row>
    <row r="1044">
      <c r="A1044" t="inlineStr">
        <is>
          <t>okhttp</t>
        </is>
      </c>
      <c r="B1044" t="inlineStr">
        <is>
          <t>okhttp-testing-support/src/main/kotlin/okhttp3/DelegatingSocketFactory.kt</t>
        </is>
      </c>
      <c r="C1044">
        <f>HYPERLINK("https://github.com/square/okhttp/blob/master/okhttp-testing-support/src/main/kotlin/okhttp3/DelegatingSocketFactory.kt")</f>
        <v/>
      </c>
      <c r="D1044" t="inlineStr">
        <is>
          <t>The provided code is a custom Socket Factory class that extends the Java `SocketFactory` class and overrides its `configureSocket()` method to delegate calls to another specified socket factory instance (passed as an argument in constructor). The purpose of this implementation seems to be creating a wrapper around some other existing Socket Factory for additional functionality or behavior modification before delegating the actual work to</t>
        </is>
      </c>
      <c r="E1044" t="n">
        <v>0.0034</v>
      </c>
      <c r="F1044" t="n">
        <v>0.0833</v>
      </c>
      <c r="G1044" t="n">
        <v>0.1471</v>
      </c>
      <c r="H1044" t="inlineStr">
        <is>
          <t>The provided code is a custom implementation of the Socket Factory design pattern in Java. It creates a new class `DelegatingSocketFactory` that extends from `SocketFactory` and overrides its method `configureSocket()`. The purpose of this factory is to delegate socket configuration calls to another specified `SocketFactory` object (passed as an argument). If any exceptions occur during the execution of</t>
        </is>
      </c>
      <c r="I1044" t="n">
        <v>0.0031</v>
      </c>
      <c r="J1044" t="n">
        <v>0.0606</v>
      </c>
      <c r="K1044" t="n">
        <v>0.1154</v>
      </c>
      <c r="L1044" t="inlineStr">
        <is>
          <t>The provided code is a custom implementation of the SocketFactory class in Java that extends another SocketFactory (the delegate). This factory delegates all socket creation calls to its delegate and allows for additional configuration of sockets after their creation by overriding the `configureSocket` method. The purpose of this code seems to be network related, possibly dealing with some form of networking proxy or firewall behavior</t>
        </is>
      </c>
      <c r="M1044" t="n">
        <v>0.0033</v>
      </c>
      <c r="N1044" t="n">
        <v>0.0548</v>
      </c>
      <c r="O1044" t="n">
        <v>0.1095</v>
      </c>
    </row>
    <row r="1045">
      <c r="A1045" t="inlineStr">
        <is>
          <t>okhttp</t>
        </is>
      </c>
      <c r="B1045" t="inlineStr">
        <is>
          <t>okhttp-testing-support/src/main/kotlin/okhttp3/FailingCall.kt</t>
        </is>
      </c>
      <c r="C1045">
        <f>HYPERLINK("https://github.com/square/okhttp/blob/master/okhttp-testing-support/src/main/kotlin/okhttp3/FailingCall.kt")</f>
        <v/>
      </c>
      <c r="D1045" t="inlineStr">
        <is>
          <t>ThegivenJavaScriptcodeisusedformakingHTTPrequestsusingOkHttplibraryintheAndroidapplication.Itdoesn'tcontainanylogicbutjustdefinesabstractclasseswhichwillbeconcretizedindifferentmodulesoftheproject.
```java
// Copyright (C) 2024 Square, Inc.
// Licensed under the Apache License, Version</t>
        </is>
      </c>
      <c r="E1045" t="n">
        <v>0</v>
      </c>
      <c r="F1045" t="n">
        <v>0</v>
      </c>
      <c r="G1045" t="n">
        <v>0</v>
      </c>
      <c r="H1045" t="inlineStr">
        <is>
          <t>The code you provided is a Java class named `FailingCall` that implements the Call interface from OkHttp library in Kotlin. This class has five methods overridden to throw errors for each method as they are not implemented yet. The copyright notice at the top of this file states it's licensed under Apache 2.0 license which means anyone can use or modify this software without</t>
        </is>
      </c>
      <c r="I1045" t="n">
        <v>0.0037</v>
      </c>
      <c r="J1045" t="n">
        <v>0.0541</v>
      </c>
      <c r="K1045" t="n">
        <v>0.2321</v>
      </c>
      <c r="L1045" t="inlineStr">
        <is>
          <t>The code you provided appears to be a Kotlin implementation of the Call class from OkHttp library for making HTTP requests in Android applications. This class has five methods defined but all are currently throwing errors with 'unexpected' message as their body which indicates that they have not been implemented yet. The purpose of this class is likely to provide an interface or contract for any call made by clients using this</t>
        </is>
      </c>
      <c r="M1045" t="n">
        <v>0.0025</v>
      </c>
      <c r="N1045" t="n">
        <v>0.05</v>
      </c>
      <c r="O1045" t="n">
        <v>0.1042</v>
      </c>
    </row>
    <row r="1046">
      <c r="A1046" t="inlineStr">
        <is>
          <t>okhttp</t>
        </is>
      </c>
      <c r="B1046" t="inlineStr">
        <is>
          <t>okhttp-testing-support/src/main/kotlin/okhttp3/ConnectionEvent.kt</t>
        </is>
      </c>
      <c r="C1046">
        <f>HYPERLINK("https://github.com/square/okhttp/blob/master/okhttp-testing-support/src/main/kotlin/okhttp3/ConnectionEvent.kt")</f>
        <v/>
      </c>
      <c r="D1046" t="inlineStr">
        <is>
          <t>The provided code is a sealed class named ConnectionEvent that represents various connection events occurring in an application. This class has one abstract property timestampNs which stands for the time when this event occurred and another open val connection which refers to the connection associated with this event. The @SuppressSignatureCheck annotation suggests that there are data classes corresponding to each of these methods. However, without seeing or understanding the</t>
        </is>
      </c>
      <c r="E1046" t="n">
        <v>0.0031</v>
      </c>
      <c r="F1046" t="n">
        <v>0.0519</v>
      </c>
      <c r="G1046" t="n">
        <v>0.0709</v>
      </c>
      <c r="H1046" t="inlineStr">
        <is>
          <t>The function provided is a simple addition operation between two numbers 'a' and 'b'. It returns the sum of these two numbers. The time complexity of this function is O(1), meaning it takes constant time to execute regardless of input size.
The code also includes licensing information at the top which states that you may not use this file except in compliance with the Apache License</t>
        </is>
      </c>
      <c r="I1046" t="n">
        <v>0.0028</v>
      </c>
      <c r="J1046" t="n">
        <v>0.0533</v>
      </c>
      <c r="K1046" t="n">
        <v>0.1449</v>
      </c>
      <c r="L1046" t="inlineStr">
        <is>
          <t>The provided code is a sealed class named `ConnectionEvent` in Kotlin that represents an event related to the connection of some sort. This class has one abstract property called `timestampNs` which holds the timestamp when this event occurred (measured in nanoseconds). The class also contains another abstract property `open val connection` which refers to the Connection object associated with this event.</t>
        </is>
      </c>
      <c r="M1046" t="n">
        <v>0.003</v>
      </c>
      <c r="N1046" t="n">
        <v>0.029</v>
      </c>
      <c r="O1046" t="n">
        <v>0.0376</v>
      </c>
    </row>
    <row r="1047">
      <c r="A1047" t="inlineStr">
        <is>
          <t>okhttp</t>
        </is>
      </c>
      <c r="B1047" t="inlineStr">
        <is>
          <t>okhttp-testing-support/src/main/kotlin/okhttp3/OkHttpClientTestRule.kt</t>
        </is>
      </c>
      <c r="C1047">
        <f>HYPERLINK("https://github.com/square/okhttp/blob/master/okhttp-testing-support/src/main/kotlin/okhttp3/OkHttpClientTestRule.kt")</f>
        <v/>
      </c>
      <c r="D1047" t="inlineStr">
        <is>
          <t>The provided code appears to be a license header for an Apache 2.0 licensed software component (likely OkHttp). It includes terms of use and conditions under which the software can be used or modified. The code size is approximately 1000 lines as per the summary given.
Please provide the specific code you want me to summarize so I may assist you better in understanding</t>
        </is>
      </c>
      <c r="E1047" t="n">
        <v>0.0034</v>
      </c>
      <c r="F1047" t="n">
        <v>0.0548</v>
      </c>
      <c r="G1047" t="n">
        <v>0.1103</v>
      </c>
      <c r="H1047" t="inlineStr">
        <is>
          <t>The provided code is a simple addition function in Java that takes two integers as input and returns their sum. The functionality of this code can be summarized as follows: It adds (i.e., sums up) the numbers passed to it as arguments using an add method named 'add'. This operation has a time complexity of O(1), meaning its execution time does not change with the size of</t>
        </is>
      </c>
      <c r="I1047" t="n">
        <v>0.0036</v>
      </c>
      <c r="J1047" t="n">
        <v>0.0519</v>
      </c>
      <c r="K1047" t="n">
        <v>0.1439</v>
      </c>
      <c r="L1047" t="inlineStr">
        <is>
          <t>The provided code is a Java class that implements an HTTP client using OkHttp library for Android platform. It's licensed under Apache License 2.0 and it has been annotated to suppress certain warnings about invisibility of members or references in the IDE. The main purpose of this code seems to be handling network requests with various configurations like timeouts, interceptors etc. Code size suggests</t>
        </is>
      </c>
      <c r="M1047" t="n">
        <v>0.0034</v>
      </c>
      <c r="N1047" t="n">
        <v>0.0541</v>
      </c>
      <c r="O1047" t="n">
        <v>0.1471</v>
      </c>
    </row>
    <row r="1048">
      <c r="A1048" t="inlineStr">
        <is>
          <t>okhttp</t>
        </is>
      </c>
      <c r="B1048" t="inlineStr">
        <is>
          <t>okhttp-testing-support/src/main/kotlin/okhttp3/DelegatingSSLSocket.kt</t>
        </is>
      </c>
      <c r="C1048">
        <f>HYPERLINK("https://github.com/square/okhttp/blob/master/okhttp-testing-support/src/main/kotlin/okhttp3/DelegatingSSLSocket.kt")</f>
        <v/>
      </c>
      <c r="D1048" t="inlineStr">
        <is>
          <t>```plaintext
The code provided is a Java implementation of OkHttp 3 library which provides an HTTP client with features for making network requests and handling responses efficiently. It's licensed under the Apache License Version 2.0. The license allows users to use this file except in compliance with the terms of the License. Users can obtain a copy of the License at http://www</t>
        </is>
      </c>
      <c r="E1048" t="n">
        <v>0.0029</v>
      </c>
      <c r="F1048" t="n">
        <v>0.0548</v>
      </c>
      <c r="G1048" t="n">
        <v>0.1493</v>
      </c>
      <c r="H1048" t="inlineStr">
        <is>
          <t>The provided code is a Java implementation of an HTTP client using OkHttp library. It's licensed under Apache License 2.0 and it contains several packages including okhttp3 which are used for networking related tasks in the application. The repository also includes comments explaining various parts of the code to help understand its functionality better.
The main function `main` creates a new instance of `</t>
        </is>
      </c>
      <c r="I1048" t="n">
        <v>0.0034</v>
      </c>
      <c r="J1048" t="n">
        <v>0.0548</v>
      </c>
      <c r="K1048" t="n">
        <v>0.1103</v>
      </c>
      <c r="L1048" t="inlineStr">
        <is>
          <t>ThegivenJava code is a part of the OkHttp library which provides an HTTP client for Android and Java applications. It's licensed under Apache License 2.0. The main purpose of this code seems to be establishing SSL connections with servers using SocketChannels or DatagramChannels. This functionality includes setting up handshake listeners, configuring SSL parameters such as cipher suites</t>
        </is>
      </c>
      <c r="M1048" t="n">
        <v>0.0042</v>
      </c>
      <c r="N1048" t="n">
        <v>0.0597</v>
      </c>
      <c r="O1048" t="n">
        <v>0.1163</v>
      </c>
    </row>
    <row r="1049">
      <c r="A1049" t="inlineStr">
        <is>
          <t>okhttp</t>
        </is>
      </c>
      <c r="B1049" t="inlineStr">
        <is>
          <t>okhttp-testing-support/src/main/kotlin/okhttp3/ClientRuleEventListener.kt</t>
        </is>
      </c>
      <c r="C1049">
        <f>HYPERLINK("https://github.com/square/okhttp/blob/master/okhttp-testing-support/src/main/kotlin/okhttp3/ClientRuleEventListener.kt")</f>
        <v/>
      </c>
      <c r="D1049" t="inlineStr">
        <is>
          <t>The code you've provided is a custom event listener for OkHttp client events using Kotlin language. The purpose of this class seems to be logging the start time and duration of HTTP requests made by an OkHttp client. It also provides factory methods to create instances of itself which can then be used as listeners in OkHttp clients.
&lt;jupyter_text&gt;
I</t>
        </is>
      </c>
      <c r="E1049" t="n">
        <v>0.003</v>
      </c>
      <c r="F1049" t="n">
        <v>0.0571</v>
      </c>
      <c r="G1049" t="n">
        <v>0.1136</v>
      </c>
      <c r="H1049" t="inlineStr">
        <is>
          <t>The code provided is a Java class that implements an event listener for OkHttp client calls using Kotlin's functional programming style. It logs the start of each call and records its duration in nanoseconds. The copyright notice at the top indicates this software may be used under certain conditions as outlined by Apache 2.0 license.
Please provide a concise, clear,</t>
        </is>
      </c>
      <c r="I1049" t="n">
        <v>0.004</v>
      </c>
      <c r="J1049" t="n">
        <v>0.0857</v>
      </c>
      <c r="K1049" t="n">
        <v>0.2818</v>
      </c>
      <c r="L1049" t="inlineStr">
        <is>
          <t>The provided code is a Kotlin class named `ClientRuleEventListener` that extends the base classes `EventListener` and implements an interface with a factory method for creating instances of itself. This class seems to be part of some sort of network client or HTTP request handling system.
Here's a concise summary based on the given information: 
```plaintext
This class</t>
        </is>
      </c>
      <c r="M1049" t="n">
        <v>0.0042</v>
      </c>
      <c r="N1049" t="n">
        <v>0.0303</v>
      </c>
      <c r="O1049" t="n">
        <v>0.155</v>
      </c>
    </row>
    <row r="1050">
      <c r="A1050" t="inlineStr">
        <is>
          <t>okhttp</t>
        </is>
      </c>
      <c r="B1050" t="inlineStr">
        <is>
          <t>okhttp-testing-support/src/main/kotlin/okhttp3/DelegatingSSLSocketFactory.kt</t>
        </is>
      </c>
      <c r="C1050">
        <f>HYPERLINK("https://github.com/square/okhttp/blob/master/okhttp-testing-support/src/main/kotlin/okhttp3/DelegatingSSLSocketFactory.kt")</f>
        <v/>
      </c>
      <c r="D1050" t="inlineStr">
        <is>
          <t>The code provided is an implementation of a custom SSL Socket Factory class that extends the default Java `SSLSocketFactory` and overrides its configure socket method to allow additional configuration after creation. This factory delegates all calls to another given `SSLSocketFactory` instance which it holds as a private variable. The license at the top indicates this software may be used under Apache 2.0</t>
        </is>
      </c>
      <c r="E1050" t="n">
        <v>0.0039</v>
      </c>
      <c r="F1050" t="n">
        <v>0.0563</v>
      </c>
      <c r="G1050" t="n">
        <v>0.2776</v>
      </c>
      <c r="H1050" t="inlineStr">
        <is>
          <t>The provided code is a custom SSLSocketFactory that delegates all calls to another Socket factory (usually the default one). It overrides the `configureSocket` method of the base class and allows for additional configuration after socket creation before it's used in an HTTPS connection with OkHttp. The Apache License 2.0 applies to this code as well, stating that derivative works must</t>
        </is>
      </c>
      <c r="I1050" t="n">
        <v>0.003</v>
      </c>
      <c r="J1050" t="n">
        <v>0.0286</v>
      </c>
      <c r="K1050" t="n">
        <v>0.1136</v>
      </c>
      <c r="L1050" t="inlineStr">
        <is>
          <t>The provided code is a custom implementation of an SSLSocketFactory that delegates all calls to another Socket factory (`delegate`). This class extends the Java `SSLSocketFactory` and overrides its methods for configuring sockets after creation with additional functionality. The main purpose of this class seems to be creating secure communication channels using SSL encryption over network connections.</t>
        </is>
      </c>
      <c r="M1050" t="n">
        <v>0.0039</v>
      </c>
      <c r="N1050" t="n">
        <v>0.0625</v>
      </c>
      <c r="O1050" t="n">
        <v>0.1563</v>
      </c>
    </row>
    <row r="1051">
      <c r="A1051" t="inlineStr">
        <is>
          <t>okhttp</t>
        </is>
      </c>
      <c r="B1051" t="inlineStr">
        <is>
          <t>okhttp-testing-support/src/main/kotlin/okhttp3/UppercaseResponseInterceptor.kt</t>
        </is>
      </c>
      <c r="C1051">
        <f>HYPERLINK("https://github.com/square/okhttp/blob/master/okhttp-testing-support/src/main/kotlin/okhttp3/UppercaseResponseInterceptor.kt")</f>
        <v/>
      </c>
      <c r="D1051" t="inlineStr">
        <is>
          <t>The code provided is an OkHttp interceptor that converts the response body to upper case letters before returning it from a server. It does this by overriding the `intercept` method of the Interceptor class and modifying the Response object's source buffer with all characters converted to uppercase. The license at the top indicates compliance with Apache 2.0 License.</t>
        </is>
      </c>
      <c r="E1051" t="n">
        <v>0.0031</v>
      </c>
      <c r="F1051" t="n">
        <v>0.0588</v>
      </c>
      <c r="G1051" t="n">
        <v>0.0769</v>
      </c>
      <c r="H1051" t="inlineStr">
        <is>
          <t>ThegivencodeisusedtomakerequestsusingOkHttplibraryandrewritesresponsetobodytothemakesurethateverythingisinuppercasenowsummarize:Code:/*
```python
def add_two_numbers(a, b):
    return a + b
```
*/
```plaintext
Input: Two numbers (integers or floats</t>
        </is>
      </c>
      <c r="I1051" t="n">
        <v>0</v>
      </c>
      <c r="J1051" t="n">
        <v>0</v>
      </c>
      <c r="K1051" t="n">
        <v>0</v>
      </c>
      <c r="L1051" t="inlineStr">
        <is>
          <t>```python
# Code Summary
The provided code is an implementation of a custom OkHttp interceptor in Java that modifies the response body to be all upper case letters. 
It does this by overriding the `intercept` method from the Interceptor class and transforming the original response with a BufferedSource object which reads the input stream as bytes and conver</t>
        </is>
      </c>
      <c r="M1051" t="n">
        <v>0.0031</v>
      </c>
      <c r="N1051" t="n">
        <v>0.0615</v>
      </c>
      <c r="O1051" t="n">
        <v>0.1154</v>
      </c>
    </row>
    <row r="1052">
      <c r="A1052" t="inlineStr">
        <is>
          <t>okhttp</t>
        </is>
      </c>
      <c r="B1052" t="inlineStr">
        <is>
          <t>okhttp-testing-support/src/main/kotlin/okhttp3/TestValueFactory.kt</t>
        </is>
      </c>
      <c r="C1052">
        <f>HYPERLINK("https://github.com/square/okhttp/blob/master/okhttp-testing-support/src/main/kotlin/okhttp3/TestValueFactory.kt")</f>
        <v/>
      </c>
      <c r="D1052" t="inlineStr">
        <is>
          <t>```plaintext
The provided code is a Java implementation of OkHttp client for network communication. It's licensed under the Apache License 2.0 and can be used in compliance with that license. The code uses various networking concepts including proxies, socket connections, SSL handshakes etc., to make HTTP requests over different protocols (HTTP or HTTPS). This includes</t>
        </is>
      </c>
      <c r="E1052" t="n">
        <v>0.004</v>
      </c>
      <c r="F1052" t="n">
        <v>0.0615</v>
      </c>
      <c r="G1052" t="n">
        <v>0.1575</v>
      </c>
      <c r="H1052" t="inlineStr">
        <is>
          <t>The provided code is a Java implementation of the add function which takes two numbers as input and returns their sum. The time complexity of this operation is O(1), meaning it always executes in constant time regardless of the size of the inputs.
```java
public int add(int a, int b){
    return a + b;  // Adds 'a' and</t>
        </is>
      </c>
      <c r="I1052" t="n">
        <v>0.0031</v>
      </c>
      <c r="J1052" t="n">
        <v>0.09089999999999999</v>
      </c>
      <c r="K1052" t="n">
        <v>0.1538</v>
      </c>
      <c r="L1052" t="inlineStr">
        <is>
          <t>ThegivensourcecodefileusesOkHttp,aJavabasedHTTPclientlibraryformakingnetworkrequeststotheInternet.Itestablishesconnectionswithproxyselection,timeoutsettings,SSLhandshakeverificationetc.MainpurposesincludescommunicatingwithwebserversviaGETPOSTPUTDELETEmethods. The code size is 1000 lines long and uses Apache License version 2</t>
        </is>
      </c>
      <c r="M1052" t="n">
        <v>0.0143</v>
      </c>
      <c r="N1052" t="n">
        <v>0.0741</v>
      </c>
      <c r="O1052" t="n">
        <v>0.1163</v>
      </c>
    </row>
    <row r="1053">
      <c r="A1053" t="inlineStr">
        <is>
          <t>okhttp</t>
        </is>
      </c>
      <c r="B1053" t="inlineStr">
        <is>
          <t>okhttp-testing-support/src/main/kotlin/okhttp3/TestUtilJvm.kt</t>
        </is>
      </c>
      <c r="C1053">
        <f>HYPERLINK("https://github.com/square/okhttp/blob/master/okhttp-testing-support/src/main/kotlin/okhttp3/TestUtilJvm.kt")</f>
        <v/>
      </c>
      <c r="D1053" t="inlineStr">
        <is>
          <t>The code provided is a Java program that uses OkHttp library for networking tasks and JUnit 5 framework for testing purposes. The copyright information at the beginning of each file indicates it's licensed under Apache License Version 2.0. This software may be used in compliance with this license only. It also includes various import statements to use different classes from java.io, java.net, java</t>
        </is>
      </c>
      <c r="E1053" t="n">
        <v>0.0068</v>
      </c>
      <c r="F1053" t="n">
        <v>0.0533</v>
      </c>
      <c r="G1053" t="n">
        <v>0.1481</v>
      </c>
      <c r="H1053" t="inlineStr">
        <is>
          <t>The function in the provided code is a simple addition operation that takes two numbers as input and returns their sum. The complexity of this function is O(1), meaning it has constant time complexity because no matter how large the inputs are, the computation will always take a fixed amount of time to complete.
Here's the summary for the add method:
```java
public int add</t>
        </is>
      </c>
      <c r="I1053" t="n">
        <v>0.0028</v>
      </c>
      <c r="J1053" t="n">
        <v>0.0533</v>
      </c>
      <c r="K1053" t="n">
        <v>0.1095</v>
      </c>
      <c r="L1053" t="inlineStr">
        <is>
          <t>The provided code is a Java class that uses OkHttp library for making HTTP requests and handling responses. It's part of the backend software components in this repository. The main purpose of this class seems to be executing various network operations such as GET, POST, PUT, DELETE etc using different types of request bodies (plain text, JSON, XML). This functionality might also involve some form of</t>
        </is>
      </c>
      <c r="M1053" t="n">
        <v>0.0039</v>
      </c>
      <c r="N1053" t="n">
        <v>0.0533</v>
      </c>
      <c r="O1053" t="n">
        <v>0.1449</v>
      </c>
    </row>
    <row r="1054">
      <c r="A1054" t="inlineStr">
        <is>
          <t>okhttp</t>
        </is>
      </c>
      <c r="B1054" t="inlineStr">
        <is>
          <t>okhttp-testing-support/src/main/kotlin/okhttp3/TestUtilCommon.kt</t>
        </is>
      </c>
      <c r="C1054">
        <f>HYPERLINK("https://github.com/square/okhttp/blob/master/okhttp-testing-support/src/main/kotlin/okhttp3/TestUtilCommon.kt")</f>
        <v/>
      </c>
      <c r="D1054" t="inlineStr">
        <is>
          <t>The provided code is a simple utility function that takes an array of Unicode character codes (integer values), converts them into UTF-8 encoded strings and returns the string as output. The complexity of this operation is O(n). This function also includes Apache License information at the top which specifies conditions for using it in compliance with the license.
Please note that without knowing more about</t>
        </is>
      </c>
      <c r="E1054" t="n">
        <v>0.0033</v>
      </c>
      <c r="F1054" t="n">
        <v>0.0533</v>
      </c>
      <c r="G1054" t="n">
        <v>0.1095</v>
      </c>
      <c r="H1054" t="inlineStr">
        <is>
          <t>The function `add` is a simple mathematical operation that takes two numbers as input and returns their sum. The complexity of this function is O(1), meaning it performs the addition operation in constant time regardless of the size of the inputs.
```java
public int add(int a, int b) { 
    return a + b; 
}
```</t>
        </is>
      </c>
      <c r="I1054" t="n">
        <v>0.0033</v>
      </c>
      <c r="J1054" t="n">
        <v>0.06560000000000001</v>
      </c>
      <c r="K1054" t="n">
        <v>0.1181</v>
      </c>
      <c r="L1054" t="inlineStr">
        <is>
          <t>The provided code is a function named `string` that takes in an array of integers (representing UTF-8 characters) and returns a string. The purpose of this function is to convert the input integer codes into their corresponding Unicode characters using OkIO's Buffer class. 
It does so by creating a new instance of Buffer, then iterating over</t>
        </is>
      </c>
      <c r="M1054" t="n">
        <v>0.0033</v>
      </c>
      <c r="N1054" t="n">
        <v>0.0606</v>
      </c>
      <c r="O1054" t="n">
        <v>0.1172</v>
      </c>
    </row>
    <row r="1055">
      <c r="A1055" t="inlineStr">
        <is>
          <t>okhttp</t>
        </is>
      </c>
      <c r="B1055" t="inlineStr">
        <is>
          <t>okhttp-testing-support/src/main/kotlin/okhttp3/FakeDns.kt</t>
        </is>
      </c>
      <c r="C1055">
        <f>HYPERLINK("https://github.com/square/okhttp/blob/master/okhttp-testing-support/src/main/kotlin/okhttp3/FakeDns.kt")</f>
        <v/>
      </c>
      <c r="D1055" t="inlineStr">
        <is>
          <t>```
The code provided is a Java class named `FakeDns` that simulates DNS functionality for testing purposes. It's licensed under the Apache License 2.0 and it may not be used except in compliance with this license. The full text of the license can be found at http://www.apache.org/licenses/LICENSE-2.0</t>
        </is>
      </c>
      <c r="E1055" t="n">
        <v>0.0046</v>
      </c>
      <c r="F1055" t="n">
        <v>0.0635</v>
      </c>
      <c r="G1055" t="n">
        <v>0.1261</v>
      </c>
      <c r="H1055" t="inlineStr">
        <is>
          <t>The code you provided is a Java class named FakeDns that simulates DNS resolution by caching responses and providing them when requested again. It uses synchronization to ensure thread safety for the host addresses map and list of requested hosts. The license at the top indicates it's licensed under Apache 2.0.
Please provide your own code example here so I can give an</t>
        </is>
      </c>
      <c r="I1055" t="n">
        <v>0.0029</v>
      </c>
      <c r="J1055" t="n">
        <v>0.0274</v>
      </c>
      <c r="K1055" t="n">
        <v>0.1389</v>
      </c>
      <c r="L1055" t="inlineStr">
        <is>
          <t>The code provided is a Java class named "FakeDns". This class implements a fake DNS server using OkHttp and AssertK libraries for testing purposes. It overrides the default behavior of DNS resolution by storing IP addresses associated with hostnames in memory instead of querying them from an external source each time they are needed. The purpose of this implementation can be summarised as follows:</t>
        </is>
      </c>
      <c r="M1055" t="n">
        <v>0.0037</v>
      </c>
      <c r="N1055" t="n">
        <v>0.0833</v>
      </c>
      <c r="O1055" t="n">
        <v>0.1471</v>
      </c>
    </row>
    <row r="1056">
      <c r="A1056" t="inlineStr">
        <is>
          <t>okhttp</t>
        </is>
      </c>
      <c r="B1056" t="inlineStr">
        <is>
          <t>okhttp-testing-support/src/main/kotlin/okhttp3/SimpleProvider.kt</t>
        </is>
      </c>
      <c r="C1056">
        <f>HYPERLINK("https://github.com/square/okhttp/blob/master/okhttp-testing-support/src/main/kotlin/okhttp3/SimpleProvider.kt")</f>
        <v/>
      </c>
      <c r="D1056" t="inlineStr">
        <is>
          <t>The code you provided is a license header for an Apache 2.0 licensed software component (likely a backend service). It specifies the terms of use and distribution under which this software may be used or modified. The copyright notice also mentions Square, Inc., indicating that it's owned by them. This repository appears to contain some form of algorithm implementation related to networking or data processing tasks as indicated in</t>
        </is>
      </c>
      <c r="E1056" t="n">
        <v>0.0035</v>
      </c>
      <c r="F1056" t="n">
        <v>0.0759</v>
      </c>
      <c r="G1056" t="n">
        <v>0.1773</v>
      </c>
      <c r="H1056" t="inlineStr">
        <is>
          <t>The provided code is a simple addition function `add` which takes two numbers as input and returns their sum. The complexity of this operation is O(1), meaning it always executes in constant time regardless of the size of the inputs.
Here's the summary for your reference: 
```python
# Copyright (C) 2020 Square, Inc. Lic</t>
        </is>
      </c>
      <c r="I1056" t="n">
        <v>0.0034</v>
      </c>
      <c r="J1056" t="n">
        <v>0.0635</v>
      </c>
      <c r="K1056" t="n">
        <v>0.119</v>
      </c>
      <c r="L1056" t="inlineStr">
        <is>
          <t>The provided code is a Kotlin class that implements the ArgumentsProvider interface from JUnit 5 for parameterized testing. The purpose of this class seems to be to provide arguments for tests using different inputs and expected outputs.
Here's a concise summary without repeating the actual implementation details: This provider generates test data by mapping an array of input values (`args()`</t>
        </is>
      </c>
      <c r="M1056" t="n">
        <v>0.004</v>
      </c>
      <c r="N1056" t="n">
        <v>0.058</v>
      </c>
      <c r="O1056" t="n">
        <v>0.1515</v>
      </c>
    </row>
    <row r="1057">
      <c r="A1057" t="inlineStr">
        <is>
          <t>okhttp</t>
        </is>
      </c>
      <c r="B1057" t="inlineStr">
        <is>
          <t>okhttp-testing-support/src/main/kotlin/okhttp3/RecordingCookieJar.kt</t>
        </is>
      </c>
      <c r="C1057">
        <f>HYPERLINK("https://github.com/square/okhttp/blob/master/okhttp-testing-support/src/main/kotlin/okhttp3/RecordingCookieJar.kt")</f>
        <v/>
      </c>
      <c r="D1057" t="inlineStr">
        <is>
          <t>The code provided is a Java class named "RecordingCookieJar". This class implements the CookieJar interface from OkHttp library and records all request and response cookies in two Deques (Double Ended Queue). The enqueueRequestCookies function adds an array of cookie objects to the requests deque. Other functions are also present but they have not been included here for</t>
        </is>
      </c>
      <c r="E1057" t="n">
        <v>0.0042</v>
      </c>
      <c r="F1057" t="n">
        <v>0.09229999999999999</v>
      </c>
      <c r="G1057" t="n">
        <v>0.155</v>
      </c>
      <c r="H1057" t="inlineStr">
        <is>
          <t>The code provided is a Java class named `RecordingCookieJar` that implements the Cookie Jar interface from OkHttp library. It records all cookies sent in requests and received in responses. The complexity of this function is O(n), where n represents the number of cookies passed to it for recording.
It has two private deques (double ended queues) called request</t>
        </is>
      </c>
      <c r="I1057" t="n">
        <v>0.0037</v>
      </c>
      <c r="J1057" t="n">
        <v>0.0597</v>
      </c>
      <c r="K1057" t="n">
        <v>0.1538</v>
      </c>
      <c r="L1057" t="inlineStr">
        <is>
          <t>The code provided is a Java class named `RecordingCookieJar` that extends the functionality of OkHttp's CookieJar by recording both request and response cookies in two separate deques (double-ended queues). The main purpose of this class seems to be managing HTTP cookie interactions for network requests made using OkHttp library.
It has three methods defined:</t>
        </is>
      </c>
      <c r="M1057" t="n">
        <v>0.004</v>
      </c>
      <c r="N1057" t="n">
        <v>0.0625</v>
      </c>
      <c r="O1057" t="n">
        <v>0.119</v>
      </c>
    </row>
    <row r="1058">
      <c r="A1058" t="inlineStr">
        <is>
          <t>okhttp</t>
        </is>
      </c>
      <c r="B1058" t="inlineStr">
        <is>
          <t>okhttp-testing-support/src/main/kotlin/okhttp3/testing/PlatformRule.kt</t>
        </is>
      </c>
      <c r="C1058">
        <f>HYPERLINK("https://github.com/square/okhttp/blob/master/okhttp-testing-support/src/main/kotlin/okhttp3/testing/PlatformRule.kt")</f>
        <v/>
      </c>
      <c r="D1058" t="inlineStr">
        <is>
          <t>The code is a Java file that contains the copyright information and license details for Apache License 2.0. It also includes import statements for various packages used in OkHttp library such as android.os.Build etc., and it's not clear what this particular piece of code does without context or more specific instructions. The README mentions about backend software components but doesn't provide any further explanation</t>
        </is>
      </c>
      <c r="E1058" t="n">
        <v>0.0034</v>
      </c>
      <c r="F1058" t="n">
        <v>0.0519</v>
      </c>
      <c r="G1058" t="n">
        <v>0.1471</v>
      </c>
      <c r="H1058" t="inlineStr">
        <is>
          <t>The code provided is a simple addition function in Python named add that takes two parameters and returns their sum. The time complexity of this operation is O(1), meaning it always executes the same number of steps regardless of input size.
The README file contains license information for Apache License 2.0 which states you can use this software except as specified by the license terms. It</t>
        </is>
      </c>
      <c r="I1058" t="n">
        <v>0.0033</v>
      </c>
      <c r="J1058" t="n">
        <v>0.0526</v>
      </c>
      <c r="K1058" t="n">
        <v>0.2287</v>
      </c>
      <c r="L1058" t="inlineStr">
        <is>
          <t>ThegivensourcecodefileisforconfiguringJava'ssecurityframeworkusingOkHttplibrary.ItinitializesdifferentsecurityprotocolsincludingconscryptprotocolfromAmazonCorrettoCryptoProvider. It also tests the security protocols for any issues with self test status and runs OkHttp testing utilities to validate functionality of different platforms including JDK 8 with Jetty Boot platform</t>
        </is>
      </c>
      <c r="M1058" t="n">
        <v>0.0069</v>
      </c>
      <c r="N1058" t="n">
        <v>0.0476</v>
      </c>
      <c r="O1058" t="n">
        <v>0.09619999999999999</v>
      </c>
    </row>
    <row r="1059">
      <c r="A1059" t="inlineStr">
        <is>
          <t>okhttp</t>
        </is>
      </c>
      <c r="B1059" t="inlineStr">
        <is>
          <t>okhttp-testing-support/src/main/kotlin/okhttp3/testing/Flaky.kt</t>
        </is>
      </c>
      <c r="C1059">
        <f>HYPERLINK("https://github.com/square/okhttp/blob/master/okhttp-testing-support/src/main/kotlin/okhttp3/testing/Flaky.kt")</f>
        <v/>
      </c>
      <c r="D1059" t="inlineStr">
        <is>
          <t>The provided code is an annotation class `@Flaky` that marks tests as flaky (i.e., they fail intermittently). This annotation has two targets - classes and functions, meaning it can be applied to test methods or entire test classes. It also requires extra logging and linking against a known GitHub issue for resolution. The complexity of this implementation appears to be O(N),</t>
        </is>
      </c>
      <c r="E1059" t="n">
        <v>0.0036</v>
      </c>
      <c r="F1059" t="n">
        <v>0.0857</v>
      </c>
      <c r="G1059" t="n">
        <v>0.1128</v>
      </c>
      <c r="H1059" t="inlineStr">
        <is>
          <t>The provided code is a Java annotation for marking tests as flaky and requiring extra logging and linking against a known GitHub issue. The complexity of this function seems to be O(1), meaning it has constant time complexity since there are no loops or recursive calls in the code. This means that regardless of input size, the execution time remains relatively consistent. The initial commit size appears to be</t>
        </is>
      </c>
      <c r="I1059" t="n">
        <v>0.0031</v>
      </c>
      <c r="J1059" t="n">
        <v>0.0513</v>
      </c>
      <c r="K1059" t="n">
        <v>0.1064</v>
      </c>
      <c r="L1059" t="inlineStr">
        <is>
          <t>The code snippet provided is for an annotation in Kotlin used to mark tests as flaky and require extra logging and linking against a known GitHub issue. The purpose of this annotation class seems to be to flag test cases that are prone to failure due to external factors or environment changes rather than the faulty logic within the tested software component itself. This information can help with maintaining reliable</t>
        </is>
      </c>
      <c r="M1059" t="n">
        <v>0.0034</v>
      </c>
      <c r="N1059" t="n">
        <v>0.0513</v>
      </c>
      <c r="O1059" t="n">
        <v>0.1408</v>
      </c>
    </row>
    <row r="1060">
      <c r="A1060" t="inlineStr">
        <is>
          <t>okhttp</t>
        </is>
      </c>
      <c r="B1060" t="inlineStr">
        <is>
          <t>okhttp-testing-support/src/main/kotlin/okhttp3/testing/PlatformVersion.kt</t>
        </is>
      </c>
      <c r="C1060">
        <f>HYPERLINK("https://github.com/square/okhttp/blob/master/okhttp-testing-support/src/main/kotlin/okhttp3/testing/PlatformVersion.kt")</f>
        <v/>
      </c>
      <c r="D1060" t="inlineStr">
        <is>
          <t>&lt;!-- Code Summary --&gt;
The provided code is a Kotlin class named `TestingObject` that provides information about the JVM's specification version and its major version number. The class uses lazy initialization to get the Java Specification Version (JVM spec version). If it matches "1.8", then 8 will be returned else original value of jvmSpecVersion</t>
        </is>
      </c>
      <c r="E1060" t="n">
        <v>0.0034</v>
      </c>
      <c r="F1060" t="n">
        <v>0.0323</v>
      </c>
      <c r="G1060" t="n">
        <v>0.0794</v>
      </c>
      <c r="H1060" t="inlineStr">
        <is>
          <t>The provided code is a Java package named `okhttp3.testingobjectPlatform` that contains a function to get the major version of JVM specification used in runtime. The complexity here is O(N), where N refers to the length of string returned by System property "java.specification.version". This function retrieves the value of this system property and converts it into an integer representing</t>
        </is>
      </c>
      <c r="I1060" t="n">
        <v>0.0037</v>
      </c>
      <c r="J1060" t="n">
        <v>0.0857</v>
      </c>
      <c r="K1060" t="n">
        <v>0.1154</v>
      </c>
      <c r="L1060" t="inlineStr">
        <is>
          <t>The provided code is a Kotlin class named `TestingObjectPlatform` which provides information about the major version of Java Virtual Machine (JVM). It does this by retrieving the JVM specification version and converting it into an integer value representing its major version number. The purpose of this code is to provide useful context for testing purposes related to platform versions. This code follows good coding practices such</t>
        </is>
      </c>
      <c r="M1060" t="n">
        <v>0.0033</v>
      </c>
      <c r="N1060" t="n">
        <v>0.0541</v>
      </c>
      <c r="O1060" t="n">
        <v>0.1087</v>
      </c>
    </row>
    <row r="1061">
      <c r="A1061" t="inlineStr">
        <is>
          <t>okhttp</t>
        </is>
      </c>
      <c r="B1061" t="inlineStr">
        <is>
          <t>okhttp-testing-support/src/main/kotlin/okhttp3/okio/LoggingFilesystem.kt</t>
        </is>
      </c>
      <c r="C1061">
        <f>HYPERLINK("https://github.com/square/okhttp/blob/master/okhttp-testing-support/src/main/kotlin/okhttp3/okio/LoggingFilesystem.kt")</f>
        <v/>
      </c>
      <c r="D1061" t="inlineStr">
        <is>
          <t>The code provided is a Java class that extends the ForwardingFileSystem to provide logging functionality for OkHttp's File System operations. It overrides the appendingSink method of the underlying file system and logs each time an attempt to create or write data (via Sink objects) occurs on the filesystem. The log function simply prints out the input string line which provides basic information about what</t>
        </is>
      </c>
      <c r="E1061" t="n">
        <v>0.0034</v>
      </c>
      <c r="F1061" t="n">
        <v>0.0548</v>
      </c>
      <c r="G1061" t="n">
        <v>0.0735</v>
      </c>
      <c r="H1061" t="inlineStr">
        <is>
          <t>The provided code is a Java class `LoggingFilesystem` that extends the functionality of an existing file system by logging all operations performed on it. The primary method in this class overrides the appending sink function to log every time when a new Sink object (which represents a destination for writing data) is created or used.
It also has a helper method called 'log'</t>
        </is>
      </c>
      <c r="I1061" t="n">
        <v>0.0029</v>
      </c>
      <c r="J1061" t="n">
        <v>0.0563</v>
      </c>
      <c r="K1061" t="n">
        <v>0.0741</v>
      </c>
      <c r="L1061" t="inlineStr">
        <is>
          <t>The provided code is a Java class named `LoggingFilesystem` that extends the `ForwardingFileSystem` class from OkIO library in Android development. 
It overrides the `appendingSink()` method to log every time it's called with specific parameters and returns an instance of Sink which logs any data written into it. The logging functionality is implemented</t>
        </is>
      </c>
      <c r="M1061" t="n">
        <v>0.0042</v>
      </c>
      <c r="N1061" t="n">
        <v>0.0328</v>
      </c>
      <c r="O1061" t="n">
        <v>0.121</v>
      </c>
    </row>
    <row r="1062">
      <c r="A1062" t="inlineStr">
        <is>
          <t>okhttp</t>
        </is>
      </c>
      <c r="B1062" t="inlineStr">
        <is>
          <t>okhttp-testing-support/src/main/kotlin/okhttp3/internal/RecordingOkAuthenticator.kt</t>
        </is>
      </c>
      <c r="C1062">
        <f>HYPERLINK("https://github.com/square/okhttp/blob/master/okhttp-testing-support/src/main/kotlin/okhttp3/internal/RecordingOkAuthenticator.kt")</f>
        <v/>
      </c>
      <c r="D1062" t="inlineStr">
        <is>
          <t>ThegivenJava code is a custom implementation of an Authenticator class from the OkHttp library in Java. It's used to handle authentication challenges for HTTP requests made using this library. The authenticator records responses and routes during the request process. Two methods are provided - onlyResponse() which returns the single recorded response and onlyRoute() that provides the route information related to the recorded responses. This</t>
        </is>
      </c>
      <c r="E1062" t="n">
        <v>0.0034</v>
      </c>
      <c r="F1062" t="n">
        <v>0.0556</v>
      </c>
      <c r="G1062" t="n">
        <v>0.1471</v>
      </c>
      <c r="H1062" t="inlineStr">
        <is>
          <t>ThegivenJava code is a class implementing an Authenticator for OkHttp library in Kotlin. It uses the Builder pattern to configure its properties and provides methods to add responses and routes. The authenticate method of this class takes two parameters - route and response which are used by the OkHttp client during authentication process. This implementation does not contain any IO operations or network calls as per Apache License</t>
        </is>
      </c>
      <c r="I1062" t="n">
        <v>0.0032</v>
      </c>
      <c r="J1062" t="n">
        <v>0.0533</v>
      </c>
      <c r="K1062" t="n">
        <v>0.1429</v>
      </c>
      <c r="L1062" t="inlineStr">
        <is>
          <t>The provided code is a Java class named `RecordingOkAuthenticator` that implements the OkHttp Authenticator interface from okhttp library. This class has three properties - credential (a string for storing credentials), scheme (a string to store authentication scheme information), and two mutable lists called responses and routes respectively. The class also contains several methods including getters and setters for these</t>
        </is>
      </c>
      <c r="M1062" t="n">
        <v>0.0041</v>
      </c>
      <c r="N1062" t="n">
        <v>0.0606</v>
      </c>
      <c r="O1062" t="n">
        <v>0.1145</v>
      </c>
    </row>
    <row r="1063">
      <c r="A1063" t="inlineStr">
        <is>
          <t>okhttp</t>
        </is>
      </c>
      <c r="B1063" t="inlineStr">
        <is>
          <t>okhttp-testing-support/src/main/kotlin/okhttp3/internal/duplex/AsyncRequestBody.kt</t>
        </is>
      </c>
      <c r="C1063">
        <f>HYPERLINK("https://github.com/square/okhttp/blob/master/okhttp-testing-support/src/main/kotlin/okhttp3/internal/duplex/AsyncRequestBody.kt")</f>
        <v/>
      </c>
      <c r="D1063" t="inlineStr">
        <is>
          <t>```python
# This repository contains backend software components written in Java. 
# The code is licensed under the Apache License Version 2.0. It's a complex algorithm implementation with O(N) complexity. 
# The code size is around 1000 lines of codes and it has been committed to version control system initially. 
# There are</t>
        </is>
      </c>
      <c r="E1063" t="n">
        <v>0.0045</v>
      </c>
      <c r="F1063" t="n">
        <v>0.1333</v>
      </c>
      <c r="G1063" t="n">
        <v>0.16</v>
      </c>
      <c r="H1063" t="inlineStr">
        <is>
          <t>The provided code is a Java class named `Async` that represents an asynchronous request body in OkHttp 3 library for sending data to the server. This class extends from `RequestBody` and overrides some methods of this abstract superclass. The main purpose of this class seems to be buffering multiple sinks so they can all write at once when needed (like during chunked transfer encoding</t>
        </is>
      </c>
      <c r="I1063" t="n">
        <v>0.0034</v>
      </c>
      <c r="J1063" t="n">
        <v>0.0556</v>
      </c>
      <c r="K1063" t="n">
        <v>0.0735</v>
      </c>
      <c r="L1063" t="inlineStr">
        <is>
          <t>The code provided is a Java class named `AsyncRequestBody` that extends the `RequestBody` class from OkHttp library. This class implements an asynchronous request body which allows to write data into it later without blocking the calling thread. It uses two BlockingQueues (one for each direction of communication - input and output). The main purpose of this class seems to be managing the writing process</t>
        </is>
      </c>
      <c r="M1063" t="n">
        <v>0.0037</v>
      </c>
      <c r="N1063" t="n">
        <v>0.08450000000000001</v>
      </c>
      <c r="O1063" t="n">
        <v>0.1471</v>
      </c>
    </row>
    <row r="1064">
      <c r="A1064" t="inlineStr">
        <is>
          <t>okhttp</t>
        </is>
      </c>
      <c r="B1064" t="inlineStr">
        <is>
          <t>okhttp-testing-support/src/main/kotlin/okhttp3/internal/duplex/MockSocketHandler.kt</t>
        </is>
      </c>
      <c r="C1064">
        <f>HYPERLINK("https://github.com/square/okhttp/blob/master/okhttp-testing-support/src/main/kotlin/okhttp3/internal/duplex/MockSocketHandler.kt")</f>
        <v/>
      </c>
      <c r="D1064" t="inlineStr">
        <is>
          <t>The code provided is a Java implementation of OkHttp's internal connection handling and buffering mechanisms using the MockWebServer library for testing HTTP requests in isolation. The license at the top specifies that this software may be used under Apache License 2.0 conditions. It uses concurrency primitives like CountDownLatch, FutureTask, LinkedBlockingQueue etc., to handle multiple connections efficiently.</t>
        </is>
      </c>
      <c r="E1064" t="n">
        <v>0.0039</v>
      </c>
      <c r="F1064" t="n">
        <v>0.0606</v>
      </c>
      <c r="G1064" t="n">
        <v>0.2906</v>
      </c>
      <c r="H1064" t="inlineStr">
        <is>
          <t>The code you provided is a simple function for addition of two numbers in Python. It takes two parameters 'a' and 'b', adds them together and returns the result. The time complexity of this operation is O(1), which means it performs a constant number of operations regardless of input size.
Here are some details about the README file: 
It describes the repository as</t>
        </is>
      </c>
      <c r="I1064" t="n">
        <v>0.0029</v>
      </c>
      <c r="J1064" t="n">
        <v>0.0556</v>
      </c>
      <c r="K1064" t="n">
        <v>0.1111</v>
      </c>
      <c r="L1064" t="inlineStr">
        <is>
          <t>The provided code is a part of OkHttp's internal package dealing with socket handling and buffering for efficient data transfer between the client and server. It implements core algorithms such as connection management, request/response processing, and error handling. The main purpose of this code seems to be managing sockets in an efficient manner by using various Java concurrency utilities like CountDownLatch, FutureTask</t>
        </is>
      </c>
      <c r="M1064" t="n">
        <v>0.0069</v>
      </c>
      <c r="N1064" t="n">
        <v>0.0833</v>
      </c>
      <c r="O1064" t="n">
        <v>0.2776</v>
      </c>
    </row>
    <row r="1065">
      <c r="A1065" t="inlineStr">
        <is>
          <t>okhttp</t>
        </is>
      </c>
      <c r="B1065" t="inlineStr">
        <is>
          <t>okhttp-testing-support/src/main/kotlin/okhttp3/internal/concurrent/TaskFaker.kt</t>
        </is>
      </c>
      <c r="C1065">
        <f>HYPERLINK("https://github.com/square/okhttp/blob/master/okhttp-testing-support/src/main/kotlin/okhttp3/internal/concurrent/TaskFaker.kt")</f>
        <v/>
      </c>
      <c r="D1065" t="inlineStr">
        <is>
          <t>The provided code is a Java file with Apache License 2.0 and it contains the implementation of core algorithms in OkHttp library for networking tasks. The license permits usage but requires compliance with certain conditions such as disclosure of modifications made to the original source code. It also specifies that any derivative works must distribute under the same license. This repository includes backend software components which are complex algorithms implemented using con</t>
        </is>
      </c>
      <c r="E1065" t="n">
        <v>0.0036</v>
      </c>
      <c r="F1065" t="n">
        <v>0.0741</v>
      </c>
      <c r="G1065" t="n">
        <v>0.2083</v>
      </c>
      <c r="H1065" t="inlineStr">
        <is>
          <t>The code you provided is a simple function that adds two numbers together in Kotlin. The functionality of this code can be summarized as follows:
```plaintext
Function Name : add
Inputs        : Two Numbers (a and b)
Output        : Sum of the input numbers 
Description   : This function takes two inputs, 'a' and 'b</t>
        </is>
      </c>
      <c r="I1065" t="n">
        <v>0.0045</v>
      </c>
      <c r="J1065" t="n">
        <v>0.1034</v>
      </c>
      <c r="K1065" t="n">
        <v>0.1587</v>
      </c>
      <c r="L1065" t="inlineStr">
        <is>
          <t>The given code file is a part of the OkHttp library's internal package for handling concurrency in Java. The main purpose of this class seems to be managing and executing tasks on different threads efficiently using Executors. This implementation adheres to good coding practices such as readability, maintainability, and comprehensibility by following SOLID principles (Single Responsibility Principle). It uses</t>
        </is>
      </c>
      <c r="M1065" t="n">
        <v>0.0037</v>
      </c>
      <c r="N1065" t="n">
        <v>0.0882</v>
      </c>
      <c r="O1065" t="n">
        <v>0.1527</v>
      </c>
    </row>
    <row r="1066">
      <c r="A1066" t="inlineStr">
        <is>
          <t>okhttp</t>
        </is>
      </c>
      <c r="B1066" t="inlineStr">
        <is>
          <t>okhttp-testing-support/src/main/kotlin/okhttp3/internal/http/RecordingProxySelector.kt</t>
        </is>
      </c>
      <c r="C1066">
        <f>HYPERLINK("https://github.com/square/okhttp/blob/master/okhttp-testing-support/src/main/kotlin/okhttp3/internal/http/RecordingProxySelector.kt")</f>
        <v/>
      </c>
      <c r="D1066" t="inlineStr">
        <is>
          <t>The code provided is a Java class named "recordingProxySelector". It extends the ProxySelector class and overrides its select method to record all selected proxies for later use. The overridden select function takes an URI as input and returns a list of proxy choices based on that URI. This functionality can be used in OkHttp library which uses this custom ProxySelector during network requests</t>
        </is>
      </c>
      <c r="E1066" t="n">
        <v>0.0038</v>
      </c>
      <c r="F1066" t="n">
        <v>0.0563</v>
      </c>
      <c r="G1066" t="n">
        <v>0.1111</v>
      </c>
      <c r="H1066" t="inlineStr">
        <is>
          <t>The provided code is a Java implementation of the ProxySelector class from OkHttp library which manages proxy selection for network requests. The ProxySelector class contains an instance variable 'proxies' that stores all proxies available to use in a list. It also has methods to add new proxies and get current list of proxies.
The copyright notice at the</t>
        </is>
      </c>
      <c r="I1066" t="n">
        <v>0.0031</v>
      </c>
      <c r="J1066" t="n">
        <v>0.0606</v>
      </c>
      <c r="K1066" t="n">
        <v>0.1154</v>
      </c>
      <c r="L1066" t="inlineStr">
        <is>
          <t>The provided code is a Java class named `recordingProxySelector` that extends the `ProxySelector` class from OkHttp library. This class overrides two methods of its super class namely `select` and `connectFailed`. The purpose of this class seems to be to record all proxies used during HTTP requests made by an application using OkHttp client.
Here's</t>
        </is>
      </c>
      <c r="M1066" t="n">
        <v>0.004</v>
      </c>
      <c r="N1066" t="n">
        <v>0.0635</v>
      </c>
      <c r="O1066" t="n">
        <v>0.119</v>
      </c>
    </row>
    <row r="1067">
      <c r="A1067" t="inlineStr">
        <is>
          <t>okhttp</t>
        </is>
      </c>
      <c r="B1067" t="inlineStr">
        <is>
          <t>okhttp-testing-support/src/test/kotlin/okhttp3/OkHttpClientTestRuleTest.kt</t>
        </is>
      </c>
      <c r="C1067">
        <f>HYPERLINK("https://github.com/square/okhttp/blob/master/okhttp-testing-support/src/test/kotlin/okhttp3/OkHttpClientTestRuleTest.kt")</f>
        <v/>
      </c>
      <c r="D1067" t="inlineStr">
        <is>
          <t>The code you provided is a license header for an Apache License 2.0. It specifies that the user may not use this file except in compliance with the terms of the license. The software distributed under the license is distributed on an "AS IS" BASIS without warranties or conditions of any kind, either express or implied. This includes limitations under the specific language governing permissions and limitations under</t>
        </is>
      </c>
      <c r="E1067" t="n">
        <v>0.0035</v>
      </c>
      <c r="F1067" t="n">
        <v>0.0779</v>
      </c>
      <c r="G1067" t="n">
        <v>0.1429</v>
      </c>
      <c r="H1067" t="inlineStr">
        <is>
          <t>The provided code is a JUnit 5 test class that uses OkHTTP for making HTTP requests and asserts the responses using AssertK library. The `@RegisterExtension` annotation is used to register an extension (`OkHttpClientTestRule` in this case), which will be executed before each test method within this class.
The `OkHttpClientTestRule` class implements the</t>
        </is>
      </c>
      <c r="I1067" t="n">
        <v>0.0042</v>
      </c>
      <c r="J1067" t="n">
        <v>0.0667</v>
      </c>
      <c r="K1067" t="n">
        <v>0.1613</v>
      </c>
      <c r="L1067" t="inlineStr">
        <is>
          <t>The provided code is a JUnit 5 test class that uses Assert K library for asserting HTTP responses using OkHttp client in Kotlin. The main purpose of this class seems to be testing the functionality of an OKHTTP client and making sure it's correctly configured with certain expectations about its behavior.
Here are some key operations identified from the logic:
1. It</t>
        </is>
      </c>
      <c r="M1067" t="n">
        <v>0.0035</v>
      </c>
      <c r="N1067" t="n">
        <v>0.1127</v>
      </c>
      <c r="O1067" t="n">
        <v>0.1119</v>
      </c>
    </row>
    <row r="1068">
      <c r="A1068" t="inlineStr">
        <is>
          <t>okhttp</t>
        </is>
      </c>
      <c r="B1068" t="inlineStr">
        <is>
          <t>okhttp-testing-support/src/test/kotlin/okhttp3/testing/PlatformRuleTest.kt</t>
        </is>
      </c>
      <c r="C1068">
        <f>HYPERLINK("https://github.com/square/okhttp/blob/master/okhttp-testing-support/src/test/kotlin/okhttp3/testing/PlatformRuleTest.kt")</f>
        <v/>
      </c>
      <c r="D1068" t="inlineStr">
        <is>
          <t>The code provided is a JUnit 5 test case that uses the `@RegisterExtension` annotation to register an extension (a rule in this context). The registered extension is of type `PlatformRule` which seems to be used for validating which environment is being used by the IDE during testing. This could potentially help with debugging and ensuring compatibility across different development environments. It also contains a single</t>
        </is>
      </c>
      <c r="E1068" t="n">
        <v>0.0033</v>
      </c>
      <c r="F1068" t="n">
        <v>0.0548</v>
      </c>
      <c r="G1068" t="n">
        <v>0.1095</v>
      </c>
      <c r="H1068" t="inlineStr">
        <is>
          <t>The provided code is a JUnit 5 test class that uses the `@RegisterExtension` annotation to register an extension (i.e., a rule or hook for setting up and tearing down resources). This particular case registers a platform rule which can be used to validate which environment is being used by the IDE during testing. The function `testMode()` prints out the system property of the</t>
        </is>
      </c>
      <c r="I1068" t="n">
        <v>0.0034</v>
      </c>
      <c r="J1068" t="n">
        <v>0.0556</v>
      </c>
      <c r="K1068" t="n">
        <v>0.1111</v>
      </c>
      <c r="L1068" t="inlineStr">
        <is>
          <t>The provided code is a JUnit 5 test class named `PlatformRuleTest` that tests the functionality of an environment variable used by OkHttp's platform rule for IDE testing. The purpose of this class seems to be validating which environment is being used and whether it matches with the expected one.
Here are the main steps involved in analyzing the code holistically:</t>
        </is>
      </c>
      <c r="M1068" t="n">
        <v>0.0036</v>
      </c>
      <c r="N1068" t="n">
        <v>0.058</v>
      </c>
      <c r="O1068" t="n">
        <v>0.1136</v>
      </c>
    </row>
    <row r="1069">
      <c r="A1069" t="inlineStr">
        <is>
          <t>okhttp</t>
        </is>
      </c>
      <c r="B1069" t="inlineStr">
        <is>
          <t>mockwebserver-deprecated/src/main/kotlin/okhttp3/mockwebserver/QueueDispatcher.kt</t>
        </is>
      </c>
      <c r="C1069">
        <f>HYPERLINK("https://github.com/square/okhttp/blob/master/mockwebserver-deprecated/src/main/kotlin/okhttp3/mockwebserver/QueueDispatcher.kt")</f>
        <v/>
      </c>
      <c r="D1069" t="inlineStr">
        <is>
          <t>The code provided is a Java class named `QueueDispatcher` which extends the base class `Dispatcher` from OkHttp library for mock web server in Android development. The purpose of this class seems to be to override some methods of its parent class but it throws an unsupported operation exception whenever these overridden functions are called. This could indicate that there's no actual logic implemented yet or</t>
        </is>
      </c>
      <c r="E1069" t="n">
        <v>0.0028</v>
      </c>
      <c r="F1069" t="n">
        <v>0.08110000000000001</v>
      </c>
      <c r="G1069" t="n">
        <v>0.1095</v>
      </c>
      <c r="H1069" t="inlineStr">
        <is>
          <t>The code you provided is a Java class that extends the MockWebServer's QueueDispatcher class and overrides its dispatch method to throw an unsupported operation exception when called. The peek method also throws an unsupported operation exception as it does not provide any meaningful implementation for this scenario. This repository contains backend software components related to core algorithms. It has been initialized with a base commit of</t>
        </is>
      </c>
      <c r="I1069" t="n">
        <v>0.0039</v>
      </c>
      <c r="J1069" t="n">
        <v>0.08</v>
      </c>
      <c r="K1069" t="n">
        <v>0.1812</v>
      </c>
      <c r="L1069" t="inlineStr">
        <is>
          <t>The code provided is a mock implementation of the `QueueDispatcher` class in OkHttp library which extends from its base Dispatcher class. The purpose of this code seems to be to throw an unsupported operation exception for all dispatch and peek methods as it does not implement any functionality related to request handling or response generation. This could potentially cause issues if these operations are called during runtime due to their</t>
        </is>
      </c>
      <c r="M1069" t="n">
        <v>0.0034</v>
      </c>
      <c r="N1069" t="n">
        <v>0.0769</v>
      </c>
      <c r="O1069" t="n">
        <v>0.1408</v>
      </c>
    </row>
    <row r="1070">
      <c r="A1070" t="inlineStr">
        <is>
          <t>okhttp</t>
        </is>
      </c>
      <c r="B1070" t="inlineStr">
        <is>
          <t>mockwebserver-deprecated/src/main/kotlin/okhttp3/mockwebserver/PushPromise.kt</t>
        </is>
      </c>
      <c r="C1070">
        <f>HYPERLINK("https://github.com/square/okhttp/blob/master/mockwebserver-deprecated/src/main/kotlin/okhttp3/mockwebserver/PushPromise.kt")</f>
        <v/>
      </c>
      <c r="D1070" t="inlineStr">
        <is>
          <t>ThegivenJava code is a class named PushPromise that extends the MockResponse class from OkHttp library in Android development. This class represents an HTTP response with additional functionality for handling push promises. The constructor accepts four parameters - method (HTTP request type), path (URL of the resource being requested or pushed to), headers (containing any custom information about the request like authentication tokens etc.), and response</t>
        </is>
      </c>
      <c r="E1070" t="n">
        <v>0.0037</v>
      </c>
      <c r="F1070" t="n">
        <v>0.0833</v>
      </c>
      <c r="G1070" t="n">
        <v>0.1095</v>
      </c>
      <c r="H1070" t="inlineStr">
        <is>
          <t>The code provided is a Kotlin class for handling HTTP push promise responses using the OkHttp library in Android development. It has four fields - method (HTTP verb), path (URL endpoint), headers (request or response metadata), and response (desired mock server response). The `method` field represents an HTTP request type such as GET, POST, PUT etc., while the `path`</t>
        </is>
      </c>
      <c r="I1070" t="n">
        <v>0.0031</v>
      </c>
      <c r="J1070" t="n">
        <v>0.0303</v>
      </c>
      <c r="K1070" t="n">
        <v>0.07630000000000001</v>
      </c>
      <c r="L1070" t="inlineStr">
        <is>
          <t>The given code is a Kotlin class named `PushPromise` that extends the functionality of OkHttp's MockWebServer by adding support for push promise requests.
Here are some key points about this class:
1. The purpose of this class is to handle HTTP PUSH_PROMISE request which is used in QUIC protocol and allows clients to send</t>
        </is>
      </c>
      <c r="M1070" t="n">
        <v>0.004</v>
      </c>
      <c r="N1070" t="n">
        <v>0.0625</v>
      </c>
      <c r="O1070" t="n">
        <v>0.119</v>
      </c>
    </row>
    <row r="1071">
      <c r="A1071" t="inlineStr">
        <is>
          <t>okhttp</t>
        </is>
      </c>
      <c r="B1071" t="inlineStr">
        <is>
          <t>mockwebserver-deprecated/src/main/kotlin/okhttp3/mockwebserver/MockWebServer.kt</t>
        </is>
      </c>
      <c r="C1071">
        <f>HYPERLINK("https://github.com/square/okhttp/blob/master/mockwebserver-deprecated/src/main/kotlin/okhttp3/mockwebserver/MockWebServer.kt")</f>
        <v/>
      </c>
      <c r="D1071" t="inlineStr">
        <is>
          <t>The code provided is a Java program that uses OkHTTP library to create mock servers for testing network requests in unit tests. The server can be configured with various options like the port number and SSL socket factory. It also provides functionality to set up proxies and timeouts. However, it does not contain any core algorithm implementation as per your request.
Please note that this repository contains backend</t>
        </is>
      </c>
      <c r="E1071" t="n">
        <v>0.0035</v>
      </c>
      <c r="F1071" t="n">
        <v>0.0526</v>
      </c>
      <c r="G1071" t="n">
        <v>0.1786</v>
      </c>
      <c r="H1071" t="inlineStr">
        <is>
          <t>The code you provided is a simple function for addition in Python named `add` which takes two arguments and returns their sum. The time complexity of this operation is O(1), meaning it always executes in constant time regardless of the size of the input data.
Here's the summary without repeating any part of your original code: 
```python
# Copyright (C</t>
        </is>
      </c>
      <c r="I1071" t="n">
        <v>0.003</v>
      </c>
      <c r="J1071" t="n">
        <v>0.058</v>
      </c>
      <c r="K1071" t="n">
        <v>0.1136</v>
      </c>
      <c r="L1071" t="inlineStr">
        <is>
          <t>The code provided is a MockWebServer implementation in Java. It's used for unit testing of HTTP clients by simulating the behavior of an actual web server without having to run one on your development machine or test environment. The purpose of this class seems to be to create and manage mock servers that can respond with customizable responses based on specific conditions set during tests. This makes it useful for isol</t>
        </is>
      </c>
      <c r="M1071" t="n">
        <v>0.003</v>
      </c>
      <c r="N1071" t="n">
        <v>0.05</v>
      </c>
      <c r="O1071" t="n">
        <v>0.1399</v>
      </c>
    </row>
    <row r="1072">
      <c r="A1072" t="inlineStr">
        <is>
          <t>okhttp</t>
        </is>
      </c>
      <c r="B1072" t="inlineStr">
        <is>
          <t>mockwebserver-deprecated/src/main/kotlin/okhttp3/mockwebserver/MockResponse.kt</t>
        </is>
      </c>
      <c r="C1072">
        <f>HYPERLINK("https://github.com/square/okhttp/blob/master/mockwebserver-deprecated/src/main/kotlin/okhttp3/mockwebserver/MockResponse.kt")</f>
        <v/>
      </c>
      <c r="D1072" t="inlineStr">
        <is>
          <t>The code you provided appears to be a Java class for handling HTTP responses using OkHttp library's MockWebServer. This class has several properties and methods related to the status of the response (HTTP Status Code), headers, trailers etc., as well as some utility functions such as adding header leniently or setting http2 settings. The complexity is O(N). It also contains comments about</t>
        </is>
      </c>
      <c r="E1072" t="n">
        <v>0.0035</v>
      </c>
      <c r="F1072" t="n">
        <v>0.0556</v>
      </c>
      <c r="G1072" t="n">
        <v>0.1119</v>
      </c>
      <c r="H1072" t="inlineStr">
        <is>
          <t>ThegivenJava code is a mock response class for an HTTP server using the OkHttp library in Java. It sets and gets various properties of the response such as status, headers, and trailers. The license at the top indicates that this software may be used under certain conditions specified by Apache License 2.0.
Please provide a concise, clear, and direct summary of its</t>
        </is>
      </c>
      <c r="I1072" t="n">
        <v>0.0035</v>
      </c>
      <c r="J1072" t="n">
        <v>0.08450000000000001</v>
      </c>
      <c r="K1072" t="n">
        <v>0.2355</v>
      </c>
      <c r="L1072" t="inlineStr">
        <is>
          <t>The code provided is a Java class named `MockResponse` that extends an abstract base class called `OkHttpResponse` and implements the interfaces `Cloneable` and `Serializable`. The purpose of this class seems to be to create mock responses for testing purposes with OkHttp library in Android development.
The main functionality of this class includes setting status line (HTTP version, status</t>
        </is>
      </c>
      <c r="M1072" t="n">
        <v>0.0041</v>
      </c>
      <c r="N1072" t="n">
        <v>0.0606</v>
      </c>
      <c r="O1072" t="n">
        <v>0.1538</v>
      </c>
    </row>
    <row r="1073">
      <c r="A1073" t="inlineStr">
        <is>
          <t>okhttp</t>
        </is>
      </c>
      <c r="B1073" t="inlineStr">
        <is>
          <t>mockwebserver-deprecated/src/main/kotlin/okhttp3/mockwebserver/DeprecationBridge.kt</t>
        </is>
      </c>
      <c r="C1073">
        <f>HYPERLINK("https://github.com/square/okhttp/blob/master/mockwebserver-deprecated/src/main/kotlin/okhttp3/mockwebserver/DeprecationBridge.kt")</f>
        <v/>
      </c>
      <c r="D1073" t="inlineStr">
        <is>
          <t>The code provided is a Java class that defines the Dispatcher for an HTTP mock server library (MockWebServer). The dispatcher manages requests and responses by queueing them in order to simulate network latency or other types of effects on client side. It also provides options like closing socket, stream or shutting down connection which can be used during testing scenarios where certain conditions need to be tested. This</t>
        </is>
      </c>
      <c r="E1073" t="n">
        <v>0.0032</v>
      </c>
      <c r="F1073" t="n">
        <v>0.0263</v>
      </c>
      <c r="G1073" t="n">
        <v>0.1429</v>
      </c>
      <c r="H1073" t="inlineStr">
        <is>
          <t>The code you provided is a Java function for adding two numbers (`add()`). It takes in two parameters `a` and `b` and returns their sum. The time complexity of this operation is O(1), meaning it performs the addition operation with constant time regardless of input size.
   Here's the summary of your code: 
```
public int</t>
        </is>
      </c>
      <c r="I1073" t="n">
        <v>0.0033</v>
      </c>
      <c r="J1073" t="n">
        <v>0.0625</v>
      </c>
      <c r="K1073" t="n">
        <v>0.1181</v>
      </c>
      <c r="L1073" t="inlineStr">
        <is>
          <t>The provided code is a Java implementation of an HTTP client using OkHttp and MockWebServer libraries. The main purpose of this code seems to be setting up the behavior for mock server dispatchers by defining how requests are handled based on their queueing mechanism or other specific criteria.
It takes in various types of Socket effects (closing socket, closing stream, shutting down connection</t>
        </is>
      </c>
      <c r="M1073" t="n">
        <v>0.0029</v>
      </c>
      <c r="N1073" t="n">
        <v>0.0563</v>
      </c>
      <c r="O1073" t="n">
        <v>0.1852</v>
      </c>
    </row>
    <row r="1074">
      <c r="A1074" t="inlineStr">
        <is>
          <t>okhttp</t>
        </is>
      </c>
      <c r="B1074" t="inlineStr">
        <is>
          <t>mockwebserver-deprecated/src/main/kotlin/okhttp3/mockwebserver/Dispatcher.kt</t>
        </is>
      </c>
      <c r="C1074">
        <f>HYPERLINK("https://github.com/square/okhttp/blob/master/mockwebserver-deprecated/src/main/kotlin/okhttp3/mockwebserver/Dispatcher.kt")</f>
        <v/>
      </c>
      <c r="D1074" t="inlineStr">
        <is>
          <t>The code provided is a Java class named `Dispatcher` in the package `okhttp3.mockwebserver` that acts as an abstract base for classes to dispatch requests and provide responses via MockWebServer. It has two methods - `dispatch()` which dispatches a request and returns a response using the implemented logic, and `peek()` method which provides a mock response without</t>
        </is>
      </c>
      <c r="E1074" t="n">
        <v>0.0033</v>
      </c>
      <c r="F1074" t="n">
        <v>0.0625</v>
      </c>
      <c r="G1074" t="n">
        <v>0.1172</v>
      </c>
      <c r="H1074" t="inlineStr">
        <is>
          <t>The provided code is a Java class that extends an abstract MockWebServer dispatcher class and provides implementations for dispatching requests to mock responses based on the request's path. The class also includes methods for peeking at incoming requests without closing the connection (`openPeek()`), shutting down the server (`openShutdown()`), and keeping the connection open after responding</t>
        </is>
      </c>
      <c r="I1074" t="n">
        <v>0.0033</v>
      </c>
      <c r="J1074" t="n">
        <v>0.0625</v>
      </c>
      <c r="K1074" t="n">
        <v>0.07870000000000001</v>
      </c>
      <c r="L1074" t="inlineStr">
        <is>
          <t>The code provided is a Java class named `Dispatcher` within the package `okhttp3.mockwebserver` that serves as an abstract base for classes implementing dispatching of requests to responses in unit tests. The purpose of this class seems to be twofold - it provides functionality for opening and peeking into connections (possibly related to network testing or mock objects), while also providing methods</t>
        </is>
      </c>
      <c r="M1074" t="n">
        <v>0.0036</v>
      </c>
      <c r="N1074" t="n">
        <v>0.08699999999999999</v>
      </c>
      <c r="O1074" t="n">
        <v>0.1504</v>
      </c>
    </row>
    <row r="1075">
      <c r="A1075" t="inlineStr">
        <is>
          <t>okhttp</t>
        </is>
      </c>
      <c r="B1075" t="inlineStr">
        <is>
          <t>mockwebserver-deprecated/src/main/kotlin/okhttp3/mockwebserver/SocketPolicy.kt</t>
        </is>
      </c>
      <c r="C1075">
        <f>HYPERLINK("https://github.com/square/okhttp/blob/master/mockwebserver-deprecated/src/main/kotlin/okhttp3/mockwebserver/SocketPolicy.kt")</f>
        <v/>
      </c>
      <c r="D1075" t="inlineStr">
        <is>
          <t>The code you provided is a Java class named SocketPolicy that represents different policies for handling sockets in an OkHttp mock web server implementation. The enum values represent various socket behaviors such as shutting down the server after response, keeping the connection open, disconnecting at end of request or responses, upgrading to SSL at end, and others. This makes it possible to simulate network conditions during testing.</t>
        </is>
      </c>
      <c r="E1075" t="n">
        <v>0.0032</v>
      </c>
      <c r="F1075" t="n">
        <v>0.0533</v>
      </c>
      <c r="G1075" t="n">
        <v>0.07190000000000001</v>
      </c>
      <c r="H1075" t="inlineStr">
        <is>
          <t>The function provided is a simple addition operation that takes two numbers as input and returns their sum. It operates in constant time complexity O(1), meaning it performs the same number of operations regardless of the size of the inputs. The code does not contain any loops or recursive calls which would increase its complexity based on the size of the inputs.
It also includes Apache License 2.</t>
        </is>
      </c>
      <c r="I1075" t="n">
        <v>0.0027</v>
      </c>
      <c r="J1075" t="n">
        <v>0.0519</v>
      </c>
      <c r="K1075" t="n">
        <v>0.07140000000000001</v>
      </c>
      <c r="L1075" t="inlineStr">
        <is>
          <t>The code provided is a Java class named `SocketPolicy` in the package `okhttp3.mockwebserver` of OkHttp library for Android development. This class has an enumerated list of policies that dictate how sockets are handled during testing with MockWebServer. The main purpose of this class seems to be defining socket handling behaviors or strategies which can be used when mocking network requests</t>
        </is>
      </c>
      <c r="M1075" t="n">
        <v>0.003</v>
      </c>
      <c r="N1075" t="n">
        <v>0.029</v>
      </c>
      <c r="O1075" t="n">
        <v>0.07580000000000001</v>
      </c>
    </row>
    <row r="1076">
      <c r="A1076" t="inlineStr">
        <is>
          <t>okhttp</t>
        </is>
      </c>
      <c r="B1076" t="inlineStr">
        <is>
          <t>mockwebserver-deprecated/src/main/kotlin/okhttp3/mockwebserver/RecordedRequest.kt</t>
        </is>
      </c>
      <c r="C1076">
        <f>HYPERLINK("https://github.com/square/okhttp/blob/master/mockwebserver-deprecated/src/main/kotlin/okhttp3/mockwebserver/RecordedRequest.kt")</f>
        <v/>
      </c>
      <c r="D1076" t="inlineStr">
        <is>
          <t>The code you provided appears to be a Java class named "RecordedRequest". It is designed to record requests made using the OkHttp library and store them for later use or analysis. The recorded request includes details such as the HTTP method (GET, POST etc.), URL of the requested resource, headers associated with the request and possibly even payload data if it's a POST request. However, without</t>
        </is>
      </c>
      <c r="E1076" t="n">
        <v>0.0028</v>
      </c>
      <c r="F1076" t="n">
        <v>0.0267</v>
      </c>
      <c r="G1076" t="n">
        <v>0.0725</v>
      </c>
      <c r="H1076" t="inlineStr">
        <is>
          <t>The code provided is a Java class named RecordedRequest that contains a single field called requestLine of type String. The class also has getters and setters for this field. 
Here's the summary in one line: This repository contains backend software components with implementation of core algorithms.
```java
public class RecordedRequest {
    private String requestLine;</t>
        </is>
      </c>
      <c r="I1076" t="n">
        <v>0.0048</v>
      </c>
      <c r="J1076" t="n">
        <v>0.129</v>
      </c>
      <c r="K1076" t="n">
        <v>0.1984</v>
      </c>
      <c r="L1076" t="inlineStr">
        <is>
          <t>The provided code file is a Java class named `RecordedRequest` that represents an HTTP request made by the client to the server during testing with OkHTTP library. It contains one field called `requestLine` which holds the first line of the HTTP request as a string and it's used in the constructor for initializing this object. The main purpose of this class seems to be recording requests sent</t>
        </is>
      </c>
      <c r="M1076" t="n">
        <v>0.0027</v>
      </c>
      <c r="N1076" t="n">
        <v>0.0263</v>
      </c>
      <c r="O1076" t="n">
        <v>0.1079</v>
      </c>
    </row>
    <row r="1077">
      <c r="A1077" t="inlineStr">
        <is>
          <t>okhttp</t>
        </is>
      </c>
      <c r="B1077" t="inlineStr">
        <is>
          <t>mockwebserver-deprecated/src/main/java9/module-info.java</t>
        </is>
      </c>
      <c r="C1077">
        <f>HYPERLINK("https://github.com/square/okhttp/blob/master/mockwebserver-deprecated/src/main/java9/module-info.java")</f>
        <v/>
      </c>
      <c r="D1077" t="inlineStr">
        <is>
          <t>The code provided is a module declaration for the OkHttp MockWebServer library in Java. It requires the OkHttp3 and java logging libraries to function properly. The complexity of this code is O(N), where N represents any given input size. This may vary depending on specific implementation details.
# Comments indicate that there are implementations of core algorithms present within the code base.</t>
        </is>
      </c>
      <c r="E1077" t="n">
        <v>0.0042</v>
      </c>
      <c r="F1077" t="n">
        <v>0.0857</v>
      </c>
      <c r="G1077" t="n">
        <v>0.2239</v>
      </c>
      <c r="H1077" t="inlineStr">
        <is>
          <t>ThegivenJava-basedOkHttp3MockWebServercodeimportsrequiredmodulesforHTTPrequestsimportokhttp3.mockwebserver.*;importorg.junit.Test;importstaticorg.junit.Assert.assertEquals;@SuppressWarnings("unused")publicclassBackEndSoftwareComponent { @Test publicvoidtest()throwsException{ MockWebServer server = new Mock</t>
        </is>
      </c>
      <c r="I1077" t="n">
        <v>0</v>
      </c>
      <c r="J1077" t="n">
        <v>0</v>
      </c>
      <c r="K1077" t="n">
        <v>0</v>
      </c>
      <c r="L1077" t="inlineStr">
        <is>
          <t>The provided code file is a module named "okhttp3.mockwebserver" that requires the OkHttp library and exports it for use in other modules or projects. This module serves as a mock web server implementation used primarily for testing network requests within an application without actually making real HTTP connections to external servers. The main purpose of this module seems to be providing a controlled environment where developers can simulate responses</t>
        </is>
      </c>
      <c r="M1077" t="n">
        <v>0.0035</v>
      </c>
      <c r="N1077" t="n">
        <v>0.0769</v>
      </c>
      <c r="O1077" t="n">
        <v>0.1773</v>
      </c>
    </row>
    <row r="1078">
      <c r="A1078" t="inlineStr">
        <is>
          <t>okhttp</t>
        </is>
      </c>
      <c r="B1078" t="inlineStr">
        <is>
          <t>mockwebserver-deprecated/src/test/java/okhttp3/mockwebserver/KotlinSourceModernTest.kt</t>
        </is>
      </c>
      <c r="C1078">
        <f>HYPERLINK("https://github.com/square/okhttp/blob/master/mockwebserver-deprecated/src/test/java/okhttp3/mockwebserver/KotlinSourceModernTest.kt")</f>
        <v/>
      </c>
      <c r="D1078" t="inlineStr">
        <is>
          <t>The code provided is a Java class with Apache License 2.0 and it's related to OkHTTP library which provides HTTP client functionality for Android applications. It contains the MockWebServer component that allows developers to create mock servers on localhost without having actual internet connection or dealing with network latency issues. The complexity of this implementation seems to be O(n), but since there are no specific methods defined</t>
        </is>
      </c>
      <c r="E1078" t="n">
        <v>0.0032</v>
      </c>
      <c r="F1078" t="n">
        <v>0.0513</v>
      </c>
      <c r="G1078" t="n">
        <v>0.1439</v>
      </c>
      <c r="H1078" t="inlineStr">
        <is>
          <t>The code provided is a simple function that adds two numbers together. It takes in two parameters (a and b), performs the addition operation on them, and returns the result. The time complexity of this function is O(1).
The Apache License for this repository specifies conditions under which you may use or distribute the software. This includes requiring compliance with any licensing terms, providing access to</t>
        </is>
      </c>
      <c r="I1078" t="n">
        <v>0.0033</v>
      </c>
      <c r="J1078" t="n">
        <v>0.0533</v>
      </c>
      <c r="K1078" t="n">
        <v>0.1087</v>
      </c>
      <c r="L1078" t="inlineStr">
        <is>
          <t>ThegivenJava8sourcecodefileusesOkHttp'sMockWebServerclassforcreatingahead-of-networkenvironmentforHTTPrequeststhatcanbedirectedtowebserversintests.Itlistensonport7654andbindstoanylocaladdresses.IthandlesSSLcertificatevalidationbypassingHostnameVerifierinterface.Italsoallows</t>
        </is>
      </c>
      <c r="M1078" t="n">
        <v>0</v>
      </c>
      <c r="N1078" t="n">
        <v>0</v>
      </c>
      <c r="O1078" t="n">
        <v>0</v>
      </c>
    </row>
    <row r="1079">
      <c r="A1079" t="inlineStr">
        <is>
          <t>okhttp</t>
        </is>
      </c>
      <c r="B1079" t="inlineStr">
        <is>
          <t>mockwebserver-deprecated/src/test/java/okhttp3/mockwebserver/MockWebServerTest.kt</t>
        </is>
      </c>
      <c r="C1079">
        <f>HYPERLINK("https://github.com/square/okhttp/blob/master/mockwebserver-deprecated/src/test/java/okhttp3/mockwebserver/MockWebServerTest.kt")</f>
        <v/>
      </c>
      <c r="D1079" t="inlineStr">
        <is>
          <t>The code provided is a Java program that uses the OkHttp library to create an instance of MockWebServer for testing HTTP requests in isolation from the network. It also utilizes AssertK framework for asserting conditions on responses and request objects. The Apache License 2.0 is applied which allows anyone to use this software but requires attribution to Google Inc.
The main functionality includes creating</t>
        </is>
      </c>
      <c r="E1079" t="n">
        <v>0.0037</v>
      </c>
      <c r="F1079" t="n">
        <v>0.0822</v>
      </c>
      <c r="G1079" t="n">
        <v>0.2321</v>
      </c>
      <c r="H1079" t="inlineStr">
        <is>
          <t>The provided code is a simple function named "add". It takes two parameters (numbers), adds them together and returns the result. The time complexity of this operation is O(1).
Here's how it works in Python:
```python
def add(a, b):
    return a + b
```
It does not repeat any code or provide an</t>
        </is>
      </c>
      <c r="I1079" t="n">
        <v>0.0035</v>
      </c>
      <c r="J1079" t="n">
        <v>0.0645</v>
      </c>
      <c r="K1079" t="n">
        <v>0.12</v>
      </c>
      <c r="L1079" t="inlineStr">
        <is>
          <t>The provided code is a Java implementation of OkHttp's MockWebServer for unit testing HTTP clients. It uses assertK library to provide more readable and expressive assertion statements. The main purpose of this code seems to be setting up an instance of the MockWebServer class, configuring it with specific behaviors (like recording requests or providing responses), then using these configured instances in tests.</t>
        </is>
      </c>
      <c r="M1079" t="n">
        <v>0.0029</v>
      </c>
      <c r="N1079" t="n">
        <v>0.0563</v>
      </c>
      <c r="O1079" t="n">
        <v>0.1493</v>
      </c>
    </row>
    <row r="1080">
      <c r="A1080" t="inlineStr">
        <is>
          <t>okhttp</t>
        </is>
      </c>
      <c r="B1080" t="inlineStr">
        <is>
          <t>android-test-app/src/main/kotlin/okhttp/android/testapp/MainActivity2.kt</t>
        </is>
      </c>
      <c r="C1080">
        <f>HYPERLINK("https://github.com/square/okhttp/blob/master/android-test-app/src/main/kotlin/okhttp/android/testapp/MainActivity2.kt")</f>
        <v/>
      </c>
      <c r="D1080" t="inlineStr">
        <is>
          <t>The code you provided is a license for an open source software (OkHttp). It states the terms of use and distribution under which it can be used. The copyright holder is Block Inc., with no specific functionality mentioned in your question.
Please provide more context or specify what kind of summary you need from this code snippet. For example, do you want to know how many lines</t>
        </is>
      </c>
      <c r="E1080" t="n">
        <v>0.0036</v>
      </c>
      <c r="F1080" t="n">
        <v>0.0533</v>
      </c>
      <c r="G1080" t="n">
        <v>0.1439</v>
      </c>
      <c r="H1080" t="inlineStr">
        <is>
          <t>The code provided is a simple addition function in Python named `add` that takes two parameters and returns their sum. The time complexity of this operation is O(1), meaning it always executes the same number of operations regardless of input size.
&lt;jupyter_code&gt;
# Code: 
def add(a, b):
    return a + b
&lt;</t>
        </is>
      </c>
      <c r="I1080" t="n">
        <v>0.0035</v>
      </c>
      <c r="J1080" t="n">
        <v>0.0667</v>
      </c>
      <c r="K1080" t="n">
        <v>0.121</v>
      </c>
      <c r="L1080" t="inlineStr">
        <is>
          <t>Thegivensourcecodefileappears to be a Java class file for an Android application named "MainActivity". This class appears to implement the core functionality of this app which includes making HTTP requests using OkHttp library and handling responses in an asynchronous manner. The purpose of this code is not explicitly stated but it seems like it's responsible for network operations related to fetching data from various endpoints</t>
        </is>
      </c>
      <c r="M1080" t="n">
        <v>0.0072</v>
      </c>
      <c r="N1080" t="n">
        <v>0.137</v>
      </c>
      <c r="O1080" t="n">
        <v>0.2735</v>
      </c>
    </row>
    <row r="1081">
      <c r="A1081" t="inlineStr">
        <is>
          <t>okhttp</t>
        </is>
      </c>
      <c r="B1081" t="inlineStr">
        <is>
          <t>android-test-app/src/main/kotlin/okhttp/android/testapp/MainActivity.kt</t>
        </is>
      </c>
      <c r="C1081">
        <f>HYPERLINK("https://github.com/square/okhttp/blob/master/android-test-app/src/main/kotlin/okhttp/android/testapp/MainActivity.kt")</f>
        <v/>
      </c>
      <c r="D1081" t="inlineStr">
        <is>
          <t>The code you provided is a sample of an Android application using OkHttp library for network requests. The app extends ComponentActivity and uses the OkHttp client to make HTTP requests. 
It has been licensed under Apache License Version 2.0 which means it can be used freely but must comply with its terms &amp; conditions. You may obtain a copy of this license at http://</t>
        </is>
      </c>
      <c r="E1081" t="n">
        <v>0.0028</v>
      </c>
      <c r="F1081" t="n">
        <v>0.0278</v>
      </c>
      <c r="G1081" t="n">
        <v>0.1103</v>
      </c>
      <c r="H1081" t="inlineStr">
        <is>
          <t>The code provided is a simple addition function in Java named add that takes two integers as parameters and returns their sum. The functionality of the code can be summarized as follows: "Given two numbers (integers), this function will return their sum."
&lt;jupyter_output&gt;
&lt;empty_output&gt;
&lt;jupyter_text&gt;
```javapublic class</t>
        </is>
      </c>
      <c r="I1081" t="n">
        <v>0.0046</v>
      </c>
      <c r="J1081" t="n">
        <v>0.06900000000000001</v>
      </c>
      <c r="K1081" t="n">
        <v>0.1261</v>
      </c>
      <c r="L1081" t="inlineStr">
        <is>
          <t>The provided code is a simple Android application using OkHttp for network requests in Kotlin language. The main purpose of this app seems to be making an HTTP GET request to fetch data from the specified URL and display it on screen. 
However, without seeing the actual source code or context about what's happening inside `fetchData()` function, I can only infer that it</t>
        </is>
      </c>
      <c r="M1081" t="n">
        <v>0.0029</v>
      </c>
      <c r="N1081" t="n">
        <v>0.0556</v>
      </c>
      <c r="O1081" t="n">
        <v>0.1111</v>
      </c>
    </row>
    <row r="1082">
      <c r="A1082" t="inlineStr">
        <is>
          <t>okhttp</t>
        </is>
      </c>
      <c r="B1082" t="inlineStr">
        <is>
          <t>android-test-app/src/main/kotlin/okhttp/android/testapp/TestApplication.kt</t>
        </is>
      </c>
      <c r="C1082">
        <f>HYPERLINK("https://github.com/square/okhttp/blob/master/android-test-app/src/main/kotlin/okhttp/android/testapp/TestApplication.kt")</f>
        <v/>
      </c>
      <c r="D1082" t="inlineStr">
        <is>
          <t>&lt;|startoftext|&gt; This is a custom application class for an Android app named "TestApp". The purpose of this class is to initialize the OkHttp library when it's not running in the primary process (i.e., secondary processes). It does so by calling `OkHttp.initialize` with the context of the current Application instance. The initialization happens within the `</t>
        </is>
      </c>
      <c r="E1082" t="n">
        <v>0.0033</v>
      </c>
      <c r="F1082" t="n">
        <v>0.0308</v>
      </c>
      <c r="G1082" t="n">
        <v>0.07870000000000001</v>
      </c>
      <c r="H1082" t="inlineStr">
        <is>
          <t>The provided code is an implementation of a simple addition function in Java named `add` that takes two parameters and returns their sum. The complexity of this operation is O(1), meaning it always executes the same number of operations regardless of input size. This function also includes Apache License 2.0 copyright notice at the top for legal reasons.
Please provide a concise, clear</t>
        </is>
      </c>
      <c r="I1082" t="n">
        <v>0.0034</v>
      </c>
      <c r="J1082" t="n">
        <v>0.0822</v>
      </c>
      <c r="K1082" t="n">
        <v>0.1481</v>
      </c>
      <c r="L1082" t="inlineStr">
        <is>
          <t>The provided code is an Android application that extends the Application class and overrides its onCreate method. The purpose of this code is to initialize OkHttp library for use in a secondary process (process where app runs). If the current process name does not match the package name, it means we are running in a secondary process. This initialization step sets up networking capabilities with OkHttp which can be used by</t>
        </is>
      </c>
      <c r="M1082" t="n">
        <v>0.003</v>
      </c>
      <c r="N1082" t="n">
        <v>0.0253</v>
      </c>
      <c r="O1082" t="n">
        <v>0.1049</v>
      </c>
    </row>
    <row r="1083">
      <c r="A1083" t="inlineStr">
        <is>
          <t>okhttp</t>
        </is>
      </c>
      <c r="B1083" t="inlineStr">
        <is>
          <t>android-test-app/src/androidTest/kotlin/okhttp/android/testapp/PublicSuffixDatabaseTest.kt</t>
        </is>
      </c>
      <c r="C1083">
        <f>HYPERLINK("https://github.com/square/okhttp/blob/master/android-test-app/src/androidTest/kotlin/okhttp/android/testapp/PublicSuffixDatabaseTest.kt")</f>
        <v/>
      </c>
      <c r="D1083" t="inlineStr">
        <is>
          <t>The provided code is a JUnit test for an Android application using OkHttp and AssertK libraries to validate the top level domain of a URL from Google's robots.txt file. The test checks if the TLD (top-level domain) matches with "com", which is expected in this context as it represents ".com" or "co.uk" etc domains. This function doesn</t>
        </is>
      </c>
      <c r="E1083" t="n">
        <v>0.0038</v>
      </c>
      <c r="F1083" t="n">
        <v>0.058</v>
      </c>
      <c r="G1083" t="n">
        <v>0.1163</v>
      </c>
      <c r="H1083" t="inlineStr">
        <is>
          <t>The code provided is a simple addition function in Python named `add` which takes two parameters and returns their sum. The functionality of this code can be summarized as follows:
```plaintext
Function Name: add
Inputs: Two numbers (integers or floats)
Output: Sum of the inputs
Description: This function performs arithmetic addition operation on the input values</t>
        </is>
      </c>
      <c r="I1083" t="n">
        <v>0.0043</v>
      </c>
      <c r="J1083" t="n">
        <v>0.0625</v>
      </c>
      <c r="K1083" t="n">
        <v>0.1563</v>
      </c>
      <c r="L1083" t="inlineStr">
        <is>
          <t>The provided code is a JUnit test for an Android application using OkHTTP library to fetch and parse the public suffix list from URL "https://publicsuffix.org/list/effective_tld_names.dat". The purpose of this function appears to be testing if the top level domain (TLD) can be correctly parsed from the given URL.
The main operations performed</t>
        </is>
      </c>
      <c r="M1083" t="n">
        <v>0.0035</v>
      </c>
      <c r="N1083" t="n">
        <v>0.0597</v>
      </c>
      <c r="O1083" t="n">
        <v>0.121</v>
      </c>
    </row>
    <row r="1084">
      <c r="A1084" t="inlineStr">
        <is>
          <t>okhttp</t>
        </is>
      </c>
      <c r="B1084" t="inlineStr">
        <is>
          <t>android-test-app/src/androidTest/kotlin/okhttp/android/testapp/IdnaTest.kt</t>
        </is>
      </c>
      <c r="C1084">
        <f>HYPERLINK("https://github.com/square/okhttp/blob/master/android-test-app/src/androidTest/kotlin/okhttp/android/testapp/IdnaTest.kt")</f>
        <v/>
      </c>
      <c r="D1084" t="inlineStr">
        <is>
          <t>The code is a JUnit test for an OkHttp function that validates the host name of a URL using IDNA (Internationalized Domain Names in Applications). The purpose of this test is to ensure that the `toHttpUrl()` method correctly converts a string into a HttpUrl object and then checks if the converted HttpUrl's host matches the expected result. If it does</t>
        </is>
      </c>
      <c r="E1084" t="n">
        <v>0.003</v>
      </c>
      <c r="F1084" t="n">
        <v>0.058</v>
      </c>
      <c r="G1084" t="n">
        <v>0.1136</v>
      </c>
      <c r="H1084" t="inlineStr">
        <is>
          <t>The provided code is a Java function named add that takes two numbers as parameters and returns their sum. The functionality of this code can be summarized in the following way: "Returns the result of adding two input numbers." Its complexity is O(1), meaning it has constant time complexity since no loops or recursive calls are present.
The README file explains what the repository contains (</t>
        </is>
      </c>
      <c r="I1084" t="n">
        <v>0.0033</v>
      </c>
      <c r="J1084" t="n">
        <v>0.0541</v>
      </c>
      <c r="K1084" t="n">
        <v>0.1087</v>
      </c>
      <c r="L1084" t="inlineStr">
        <is>
          <t>The code provided is a simple JUnit test for an OkHttp library in Kotlin language. The purpose of this test case is to validate the host name conversion from Unicode Punycode format (.net/.com etc.) to its equivalent IDNA ASCII representation using 'toHttpUrl()' function and comparing it with expected result. This helps ensure that URL parsing works correctly across different</t>
        </is>
      </c>
      <c r="M1084" t="n">
        <v>0.0037</v>
      </c>
      <c r="N1084" t="n">
        <v>0.0882</v>
      </c>
      <c r="O1084" t="n">
        <v>0.1951</v>
      </c>
    </row>
    <row r="1085">
      <c r="A1085" t="inlineStr">
        <is>
          <t>okhttp</t>
        </is>
      </c>
      <c r="B1085" t="inlineStr">
        <is>
          <t>okhttp-dnsoverhttps/src/main/kotlin/okhttp3/dnsoverhttps/BootstrapDns.kt</t>
        </is>
      </c>
      <c r="C1085">
        <f>HYPERLINK("https://github.com/square/okhttp/blob/master/okhttp-dnsoverhttps/src/main/kotlin/okhttp3/dnsoverhttps/BootstrapDns.kt")</f>
        <v/>
      </c>
      <c r="D1085" t="inlineStr">
        <is>
          <t>The code provided is for a custom DNS implementation using OkHttp's Dns interface over HTTPS (DoH). It returns hardcoded results for known hosts and uses an internal bootstrap DNS to handle initial connections to DoH servers. The complexity of this code is O(N), as it iterates through the list of known hosts in order to return their corresponding InetAddresses</t>
        </is>
      </c>
      <c r="E1085" t="n">
        <v>0.0031</v>
      </c>
      <c r="F1085" t="n">
        <v>0.058</v>
      </c>
      <c r="G1085" t="n">
        <v>0.1527</v>
      </c>
      <c r="H1085" t="inlineStr">
        <is>
          <t>The provided code is a Java implementation of the Bootstrap DNS over HTTPS protocol using OkHttp library for networking. The class `BootstrapDns` implements an internal DNS resolution by returning hard coded results for known hosts and delegates to other DNS servers if host is not found in its cache. It's complexity is O(n), where n represents number of entries in dns</t>
        </is>
      </c>
      <c r="I1085" t="n">
        <v>0.0036</v>
      </c>
      <c r="J1085" t="n">
        <v>0.0563</v>
      </c>
      <c r="K1085" t="n">
        <v>0.1128</v>
      </c>
      <c r="L1085" t="inlineStr">
        <is>
          <t>ThegivenJava code is an implementation of a custom DNS over HTTPS (DoH) client using the OkHttp library in Java. It provides a bootstrap DNS implementation that handles initial connections to DoH servers and returns hardcoded results for known hosts. The purpose of this class seems to be to provide a way to resolve IP addresses by querying DoH servers instead of relying on system</t>
        </is>
      </c>
      <c r="M1085" t="n">
        <v>0.0028</v>
      </c>
      <c r="N1085" t="n">
        <v>0.0556</v>
      </c>
      <c r="O1085" t="n">
        <v>0.1471</v>
      </c>
    </row>
    <row r="1086">
      <c r="A1086" t="inlineStr">
        <is>
          <t>okhttp</t>
        </is>
      </c>
      <c r="B1086" t="inlineStr">
        <is>
          <t>okhttp-dnsoverhttps/src/main/kotlin/okhttp3/dnsoverhttps/DnsRecordCodec.kt</t>
        </is>
      </c>
      <c r="C1086">
        <f>HYPERLINK("https://github.com/square/okhttp/blob/master/okhttp-dnsoverhttps/src/main/kotlin/okhttp3/dnsoverhttps/DnsRecordCodec.kt")</f>
        <v/>
      </c>
      <c r="D1086" t="inlineStr">
        <is>
          <t>```plaintext
This repository contains backend software components that implement core algorithms for DNS over HTTPS (DoH). The code is based on a simplified version of the Netty full implementation and has been modified to work with OkHttp library specifically designed for DoH protocol. 
It's complexity is O(n), meaning it involves looping through elements in an array</t>
        </is>
      </c>
      <c r="E1086" t="n">
        <v>0.0046</v>
      </c>
      <c r="F1086" t="n">
        <v>0.1515</v>
      </c>
      <c r="G1086" t="n">
        <v>0.2344</v>
      </c>
      <c r="H1086" t="inlineStr">
        <is>
          <t>This code is a part of the Netty project's backend software components that contains implementation of core algorithms related to DNS resolution and encoding / decoding operations. The main functionality it provides includes handling SERVFAIL (server failure) and NXDOMAIN (no such domain exists in the DNS server) responses from the DNS servers. It also has an internal object DnsRecordCodec which</t>
        </is>
      </c>
      <c r="I1086" t="n">
        <v>0.0045</v>
      </c>
      <c r="J1086" t="n">
        <v>0.1765</v>
      </c>
      <c r="K1086" t="n">
        <v>0.2273</v>
      </c>
      <c r="L1086" t="inlineStr">
        <is>
          <t>The provided code is a Java implementation of DNS over HTTPS (DoH) protocol using OkHttp library. The purpose of this code seems to be handling the encoding and decoding of DNS records in order to send them securely via HTTP requests without exposing sensitive data like actual domain names or IP addresses. This functionality can be summarized as follows: 
It uses an object</t>
        </is>
      </c>
      <c r="M1086" t="n">
        <v>0.0038</v>
      </c>
      <c r="N1086" t="n">
        <v>0.0563</v>
      </c>
      <c r="O1086" t="n">
        <v>0.1481</v>
      </c>
    </row>
    <row r="1087">
      <c r="A1087" t="inlineStr">
        <is>
          <t>okhttp</t>
        </is>
      </c>
      <c r="B1087" t="inlineStr">
        <is>
          <t>okhttp-dnsoverhttps/src/main/kotlin/okhttp3/dnsoverhttps/DnsOverHttps.kt</t>
        </is>
      </c>
      <c r="C1087">
        <f>HYPERLINK("https://github.com/square/okhttp/blob/master/okhttp-dnsoverhttps/src/main/kotlin/okhttp3/dnsoverhttps/DnsOverHttps.kt")</f>
        <v/>
      </c>
      <c r="D1087" t="inlineStr">
        <is>
          <t>The code you provided is a copyright notice and license information for an Apache License version 2.0. It's not related to any specific functionality or implementation of OkHttp library in Java which provides networking capabilities. This repository contains backend software components with complexity O(N), but it doesnâĢĻt provide the actual source code. The commit history shows that there are initial commits only</t>
        </is>
      </c>
      <c r="E1087" t="n">
        <v>0.0042</v>
      </c>
      <c r="F1087" t="n">
        <v>0.0541</v>
      </c>
      <c r="G1087" t="n">
        <v>0.1866</v>
      </c>
      <c r="H1087" t="inlineStr">
        <is>
          <t>The provided code is a simple function that adds two numbers together. It takes in parameters 'a' and 'b', performs addition operation on them and returns the result. The time complexity of this function is O(1), meaning it always executes in constant time regardless of input size.
The README file provides information about the repository including its purpose, complexities, comments, comm</t>
        </is>
      </c>
      <c r="I1087" t="n">
        <v>0.003</v>
      </c>
      <c r="J1087" t="n">
        <v>0.0571</v>
      </c>
      <c r="K1087" t="n">
        <v>0.1128</v>
      </c>
      <c r="L1087" t="inlineStr">
        <is>
          <t>ThegivenJava code is a part of the OkHTTP library's DNS over HTTPS (DoH). It uses an instance of `OkHttpClient` to make network requests using DoH protocol with custom Dns implementation that resolves hostnames via HTTP requests. The client sends GET request to specified URL and receives IP addresses in response which are used for further communication. This functionality allows secure</t>
        </is>
      </c>
      <c r="M1087" t="n">
        <v>0.004</v>
      </c>
      <c r="N1087" t="n">
        <v>0.058</v>
      </c>
      <c r="O1087" t="n">
        <v>0.1515</v>
      </c>
    </row>
    <row r="1088">
      <c r="A1088" t="inlineStr">
        <is>
          <t>okhttp</t>
        </is>
      </c>
      <c r="B1088" t="inlineStr">
        <is>
          <t>okhttp-dnsoverhttps/src/main/java9/module-info.java</t>
        </is>
      </c>
      <c r="C1088">
        <f>HYPERLINK("https://github.com/square/okhttp/blob/master/okhttp-dnsoverhttps/src/main/java9/module-info.java")</f>
        <v/>
      </c>
      <c r="D1088" t="inlineStr">
        <is>
          <t>The provided code is a module descriptor for the OkHttp library in Java. It specifies that this library depends on "okhttp3" and exports its DnsOverHttps functionality as part of it. The complexity of this code appears to be O(N), where N represents some form of data structure or set size. However, without more context about what's inside these</t>
        </is>
      </c>
      <c r="E1088" t="n">
        <v>0.0041</v>
      </c>
      <c r="F1088" t="n">
        <v>0.0588</v>
      </c>
      <c r="G1088" t="n">
        <v>0.1538</v>
      </c>
      <c r="H1088" t="inlineStr">
        <is>
          <t>The provided code is a module-info file for the OkHttp library in Java. This module exports okhttp3.dns.over.https and requires okhttp3 to function properly. The complexity of this operation is O(N), where N represents the number of characters in the input string. It's important to note that while it may seem like the complexity could be calculated as O</t>
        </is>
      </c>
      <c r="I1088" t="n">
        <v>0.0041</v>
      </c>
      <c r="J1088" t="n">
        <v>0.0833</v>
      </c>
      <c r="K1088" t="n">
        <v>0.1538</v>
      </c>
      <c r="L1088" t="inlineStr">
        <is>
          <t>The provided code file is a module definition for the OkHttp library in Java. This module provides DNS over HTTPS support by extending OkHttp's functionality to use custom name resolvers that utilize DNS over HTTPS protocols instead of standard DNS resolution mechanisms. The main purpose of this code is to enable secure and efficient domain name system (DNS) lookups using the DNS over HTT</t>
        </is>
      </c>
      <c r="M1088" t="n">
        <v>0.004</v>
      </c>
      <c r="N1088" t="n">
        <v>0.1096</v>
      </c>
      <c r="O1088" t="n">
        <v>0.1471</v>
      </c>
    </row>
    <row r="1089">
      <c r="A1089" t="inlineStr">
        <is>
          <t>okhttp</t>
        </is>
      </c>
      <c r="B1089" t="inlineStr">
        <is>
          <t>okhttp-dnsoverhttps/src/test/java/okhttp3/dnsoverhttps/DnsOverHttpsTest.kt</t>
        </is>
      </c>
      <c r="C1089">
        <f>HYPERLINK("https://github.com/square/okhttp/blob/master/okhttp-dnsoverhttps/src/test/java/okhttp3/dnsoverhttps/DnsOverHttpsTest.kt")</f>
        <v/>
      </c>
      <c r="D1089" t="inlineStr">
        <is>
          <t>The provided code is a Java program that uses OkHttp for making HTTP requests and asserts the response using AssertK library. The Apache License 2.0 is applied to this project which allows anyone to use it without restrictions under certain conditions. It also includes various assertion checks like checking if an instance of a class exists or whether a message matches expected content etc., ensuring correctness in testing.</t>
        </is>
      </c>
      <c r="E1089" t="n">
        <v>0.0027</v>
      </c>
      <c r="F1089" t="n">
        <v>0.026</v>
      </c>
      <c r="G1089" t="n">
        <v>0.1071</v>
      </c>
      <c r="H1089" t="inlineStr">
        <is>
          <t>The code provided is a simple function for addition of two numbers in Python named `add`. It takes two parameters (numbers), adds them together and returns the result. The time complexity of this operation is O(1).
The README file explains that this repository contains backend software components which implement core algorithms. 
There are also comments explaining what each part does within the</t>
        </is>
      </c>
      <c r="I1089" t="n">
        <v>0.0039</v>
      </c>
      <c r="J1089" t="n">
        <v>0.1127</v>
      </c>
      <c r="K1089" t="n">
        <v>0.3182</v>
      </c>
      <c r="L1089" t="inlineStr">
        <is>
          <t>The provided code is a Java program that uses OkHttp library for making HTTP requests and assertk framework for assertion testing in Android applications. The main purpose of this code seems to be to perform DNS over HTTPS (DoH) queries using the OkHttp client and verify the responses with some assertions. 
However, without seeing the actual code it's hard to provide more</t>
        </is>
      </c>
      <c r="M1089" t="n">
        <v>0.0029</v>
      </c>
      <c r="N1089" t="n">
        <v>0.0563</v>
      </c>
      <c r="O1089" t="n">
        <v>0.1119</v>
      </c>
    </row>
    <row r="1090">
      <c r="A1090" t="inlineStr">
        <is>
          <t>okhttp</t>
        </is>
      </c>
      <c r="B1090" t="inlineStr">
        <is>
          <t>okhttp-dnsoverhttps/src/test/java/okhttp3/dnsoverhttps/TestDohMain.kt</t>
        </is>
      </c>
      <c r="C1090">
        <f>HYPERLINK("https://github.com/square/okhttp/blob/master/okhttp-dnsoverhttps/src/test/java/okhttp3/dnsoverhttps/TestDohMain.kt")</f>
        <v/>
      </c>
      <c r="D1090" t="inlineStr">
        <is>
          <t>The provided code is a Java program that uses OkHttp library for making HTTP requests and DNS over HTTPS (DoH). The purpose of this program seems to be running batch queries against a list of URLs using specified DoH providers. 
It defines two lists - one containing the DoH provider instances (`dnsProviders`), another with corresponding names or</t>
        </is>
      </c>
      <c r="E1090" t="n">
        <v>0.0032</v>
      </c>
      <c r="F1090" t="n">
        <v>0.0312</v>
      </c>
      <c r="G1090" t="n">
        <v>0.1163</v>
      </c>
      <c r="H1090" t="inlineStr">
        <is>
          <t>The provided code is a Java function named `runBatch` that takes in two lists of Strings and one list of DnsOverHttps objects as parameters. The purpose of this function seems to be running a batch operation using the OkHttp library for making HTTP requests with DNS over HTTPS support. If you provide more context or specifics about what exactly it does within these lists,</t>
        </is>
      </c>
      <c r="I1090" t="n">
        <v>0.0028</v>
      </c>
      <c r="J1090" t="n">
        <v>0.0556</v>
      </c>
      <c r="K1090" t="n">
        <v>0.1103</v>
      </c>
      <c r="L1090" t="inlineStr">
        <is>
          <t>The provided code is a Java function named `runBatch` that runs batch operations using OkHttp client for network communication. It takes three parameters - a list of DNS providers (`dnsProviders`), a list of names to be processed in the batch operation and a variable time which seems like it's intended as an output parameter. The purpose of this function appears to be to run multiple</t>
        </is>
      </c>
      <c r="M1090" t="n">
        <v>0.0028</v>
      </c>
      <c r="N1090" t="n">
        <v>0.0548</v>
      </c>
      <c r="O1090" t="n">
        <v>0.1095</v>
      </c>
    </row>
    <row r="1091">
      <c r="A1091" t="inlineStr">
        <is>
          <t>okhttp</t>
        </is>
      </c>
      <c r="B1091" t="inlineStr">
        <is>
          <t>okhttp-dnsoverhttps/src/test/java/okhttp3/dnsoverhttps/DohProviders.kt</t>
        </is>
      </c>
      <c r="C1091">
        <f>HYPERLINK("https://github.com/square/okhttp/blob/master/okhttp-dnsoverhttps/src/test/java/okhttp3/dnsoverhttps/DohProviders.kt")</f>
        <v/>
      </c>
      <c r="D1091" t="inlineStr">
        <is>
          <t>The code provided is a Java implementation of OkHTTP client with DNS over HTTPS (DoH). The DoH protocol allows clients to use a separate resolver for name resolution instead of relying on the system's built-in DNS services. This can provide increased privacy and security by encrypting all network traffic between the client and server. It also provides an additional layer of protection against DNS</t>
        </is>
      </c>
      <c r="E1091" t="n">
        <v>0.0034</v>
      </c>
      <c r="F1091" t="n">
        <v>0.0541</v>
      </c>
      <c r="G1091" t="n">
        <v>0.1471</v>
      </c>
      <c r="H1091" t="inlineStr">
        <is>
          <t>The code provided is a simple function to add two numbers in Python. The functionality of the code can be summarized as follows:
```python
# This function takes two parameters (numbers), adds them together and returns the result. 
# It has a time complexity of O(1).
def add(a, b):
    return a + b
```</t>
        </is>
      </c>
      <c r="I1091" t="n">
        <v>0.0045</v>
      </c>
      <c r="J1091" t="n">
        <v>0.1</v>
      </c>
      <c r="K1091" t="n">
        <v>0.119</v>
      </c>
      <c r="L1091" t="inlineStr">
        <is>
          <t>Thegivencodefileappears to implement the functionality of a DNS over HTTPS (DoH). It uses OkHttp library for networking and implements a temporary registry of known DoH providers. The main purpose is to provide secure resolution of domain names by using encrypted connections with servers that are trusted separately from the application itself. This code does not directly repeat any existing comments or code but instead provides an</t>
        </is>
      </c>
      <c r="M1091" t="n">
        <v>0.0039</v>
      </c>
      <c r="N1091" t="n">
        <v>0.08110000000000001</v>
      </c>
      <c r="O1091" t="n">
        <v>0.1449</v>
      </c>
    </row>
    <row r="1092">
      <c r="A1092" t="inlineStr">
        <is>
          <t>okhttp</t>
        </is>
      </c>
      <c r="B1092" t="inlineStr">
        <is>
          <t>okhttp-dnsoverhttps/src/test/java/okhttp3/dnsoverhttps/DnsRecordCodecTest.kt</t>
        </is>
      </c>
      <c r="C1092">
        <f>HYPERLINK("https://github.com/square/okhttp/blob/master/okhttp-dnsoverhttps/src/test/java/okhttp3/dnsoverhttps/DnsRecordCodecTest.kt")</f>
        <v/>
      </c>
      <c r="D1092" t="inlineStr">
        <is>
          <t>```
The code provided is a Java implementation of DNS over HTTPS (DoH), which allows clients to send DNS queries directly through HTTP requests instead of using the system's built-in resolvers. It uses OkHttp library for networking and assertK framework for testing. The main functionality includes decoding DNS records from responses received in network calls. 
It has Apache</t>
        </is>
      </c>
      <c r="E1092" t="n">
        <v>0.0037</v>
      </c>
      <c r="F1092" t="n">
        <v>0.0597</v>
      </c>
      <c r="G1092" t="n">
        <v>0.1154</v>
      </c>
      <c r="H1092" t="inlineStr">
        <is>
          <t>The code provided is a simple addition function in Python named `add` that takes two parameters and returns their sum. The time complexity of this operation is O(1), meaning it always executes the same number of steps regardless of input size.
&lt;jupyter_code&gt;
# Code: 
def add(a, b):
    return a + b
&lt;</t>
        </is>
      </c>
      <c r="I1092" t="n">
        <v>0.0035</v>
      </c>
      <c r="J1092" t="n">
        <v>0.0667</v>
      </c>
      <c r="K1092" t="n">
        <v>0.121</v>
      </c>
      <c r="L1092" t="inlineStr">
        <is>
          <t>ThegivensourcecodefileimplementsaDNSOverHTTPSclientusingOkHttplibrary.ItdecodesDNSrecordsfromresponsesreceivedfromservingnameresolutionrequeststoIPv4addressesforTypeArecordsthatmatchspecifieddomainnames.Forexampleifwewanttosolvegoogle'semailserverwewouldsendamessagecontainingserverselectionmessagewith</t>
        </is>
      </c>
      <c r="M1092" t="n">
        <v>0</v>
      </c>
      <c r="N1092" t="n">
        <v>0</v>
      </c>
      <c r="O1092" t="n">
        <v>0</v>
      </c>
    </row>
    <row r="1093">
      <c r="A1093" t="inlineStr">
        <is>
          <t>okhttp</t>
        </is>
      </c>
      <c r="B1093" t="inlineStr">
        <is>
          <t>samples/guide/src/main/java/okhttp3/guide/PostExample.java</t>
        </is>
      </c>
      <c r="C1093">
        <f>HYPERLINK("https://github.com/square/okhttp/blob/master/samples/guide/src/main/java/okhttp3/guide/PostExample.java")</f>
        <v/>
      </c>
      <c r="D1093" t="inlineStr">
        <is>
          <t>```java
// Copyright (C) 2013 Square, Inc.
// Licensed under the Apache License, Version 2.0 (the "License");
// you may not use this file except in compliance with the License.
// You obtain a copy of the License at http://www.apache.org/licenses/LICENSE-2.</t>
        </is>
      </c>
      <c r="E1093" t="n">
        <v>0</v>
      </c>
      <c r="F1093" t="n">
        <v>0.0392</v>
      </c>
      <c r="G1093" t="n">
        <v>0.0893</v>
      </c>
      <c r="H1093" t="inlineStr">
        <is>
          <t>The provided code is a Java implementation of an HTTP POST request using OkHttp library in Android development. The function `post` sends a JSON payload to the specified URL and returns the response as a string. 
It's licensed under Apache License Version 2.0 which means you can use it freely for any purpose but must include the original license text and copyright notice when redist</t>
        </is>
      </c>
      <c r="I1093" t="n">
        <v>0.0028</v>
      </c>
      <c r="J1093" t="n">
        <v>0.08</v>
      </c>
      <c r="K1093" t="n">
        <v>0.1095</v>
      </c>
      <c r="L1093" t="inlineStr">
        <is>
          <t>The given code is a Java implementation of an HTTP POST request using OkHttp library in Android development. The purpose of this class is to send JSON data asynchronously over the network and process the response.
Here's how it works: 
It defines two static final variables `JSON` (media type for json format) and `client` (instance of Http client).</t>
        </is>
      </c>
      <c r="M1093" t="n">
        <v>0.0031</v>
      </c>
      <c r="N1093" t="n">
        <v>0.0597</v>
      </c>
      <c r="O1093" t="n">
        <v>0.1538</v>
      </c>
    </row>
    <row r="1094">
      <c r="A1094" t="inlineStr">
        <is>
          <t>okhttp</t>
        </is>
      </c>
      <c r="B1094" t="inlineStr">
        <is>
          <t>samples/guide/src/main/java/okhttp3/guide/GetExample.java</t>
        </is>
      </c>
      <c r="C1094">
        <f>HYPERLINK("https://github.com/square/okhttp/blob/master/samples/guide/src/main/java/okhttp3/guide/GetExample.java")</f>
        <v/>
      </c>
      <c r="D1094" t="inlineStr">
        <is>
          <t>The code is a simple example of using OkHttp to make HTTP requests in Java. It sends a GET request to the specified URL and returns the response body as a string. The client makes use of an Apache License 2.0 for its usage which restricts it from being used except when compliant with that license. This repository contains backend software components but does not contain any complex algorithms or implement</t>
        </is>
      </c>
      <c r="E1094" t="n">
        <v>0.0034</v>
      </c>
      <c r="F1094" t="n">
        <v>0.075</v>
      </c>
      <c r="G1094" t="n">
        <v>0.1748</v>
      </c>
      <c r="H1094" t="inlineStr">
        <is>
          <t>The provided code is a Java implementation of the OkHttp library's GET request example from its official guide. It sends an HTTP GET request to the specified URL and returns the response body as a string. The complexity of this function is O(1), meaning it has constant time complexity since no loop or recursion are used in the method.
The Apache License 2.0 is</t>
        </is>
      </c>
      <c r="I1094" t="n">
        <v>0.0028</v>
      </c>
      <c r="J1094" t="n">
        <v>0.0533</v>
      </c>
      <c r="K1094" t="n">
        <v>0.1471</v>
      </c>
      <c r="L1094" t="inlineStr">
        <is>
          <t>The provided code is a Java implementation of an HTTP GET request using OkHttp library in Android development environment. The purpose of this class `GetExample` is to send an asynchronous HTTP GET request to the specified URL and process the response. 
On running the method `run()` with a given URL string input, it creates a new Request object with that URL, sends it via</t>
        </is>
      </c>
      <c r="M1094" t="n">
        <v>0.0028</v>
      </c>
      <c r="N1094" t="n">
        <v>0.0556</v>
      </c>
      <c r="O1094" t="n">
        <v>0.1471</v>
      </c>
    </row>
    <row r="1095">
      <c r="A1095" t="inlineStr">
        <is>
          <t>okhttp</t>
        </is>
      </c>
      <c r="B1095" t="inlineStr">
        <is>
          <t>samples/guide/src/main/java/okhttp3/recipes/PostStreamingWithPipe.java</t>
        </is>
      </c>
      <c r="C1095">
        <f>HYPERLINK("https://github.com/square/okhttp/blob/master/samples/guide/src/main/java/okhttp3/recipes/PostStreamingWithPipe.java")</f>
        <v/>
      </c>
      <c r="D1095" t="inlineStr">
        <is>
          <t>The code provided is a Java implementation of an HTTP client using OkHttp library to send POST requests with streaming data from a pipe (a mechanism for interprocess communication). The purpose seems to be sending markdown text as the request body in UTF-8 encoding format. If any changes are made to this code or if it's used elsewhere, they should comply with Apache License 2.0</t>
        </is>
      </c>
      <c r="E1095" t="n">
        <v>0</v>
      </c>
      <c r="F1095" t="n">
        <v>0.0263</v>
      </c>
      <c r="G1095" t="n">
        <v>0.1095</v>
      </c>
      <c r="H1095" t="inlineStr">
        <is>
          <t>The provided code is a Java class named `PostStreamingWithPipe` that uses OkHttp library to send markdown content as streaming data using a pipe for efficient memory usage. The complexity of this function seems to be O(n), but without more context it's hard to determine the exact value.
The copyright notice at the top indicates that this software is licensed under Apache</t>
        </is>
      </c>
      <c r="I1095" t="n">
        <v>0.003</v>
      </c>
      <c r="J1095" t="n">
        <v>0.0563</v>
      </c>
      <c r="K1095" t="n">
        <v>0.1921</v>
      </c>
      <c r="L1095" t="inlineStr">
        <is>
          <t>The provided code is a Java class named `PostStreamingWithPipe` that uses OkHttp library to send HTTP POST requests with streaming data using pipes.
It has one public static final field `MEDIA_TYPE_MARKDOWN` which represents the media type of the request body in markdown format. 
The main method creates an instance of this class</t>
        </is>
      </c>
      <c r="M1095" t="n">
        <v>0</v>
      </c>
      <c r="N1095" t="n">
        <v>0.0323</v>
      </c>
      <c r="O1095" t="n">
        <v>0.0806</v>
      </c>
    </row>
    <row r="1096">
      <c r="A1096" t="inlineStr">
        <is>
          <t>okhttp</t>
        </is>
      </c>
      <c r="B1096" t="inlineStr">
        <is>
          <t>samples/guide/src/main/java/okhttp3/recipes/CertificatePinning.java</t>
        </is>
      </c>
      <c r="C1096">
        <f>HYPERLINK("https://github.com/square/okhttp/blob/master/samples/guide/src/main/java/okhttp3/recipes/CertificatePinning.java")</f>
        <v/>
      </c>
      <c r="D1096" t="inlineStr">
        <is>
          <t>The code provided is a Java implementation of the Certificate Pinning technique using OkHttp library in Android development. It's designed to prevent man-in-the-middle attacks by ensuring that requests are made over secure connections and only from specific servers specified during runtime. The client pins its certificate against a set of trusted certificates at compile time or through an API on run-time. This ensures</t>
        </is>
      </c>
      <c r="E1096" t="n">
        <v>0.0034</v>
      </c>
      <c r="F1096" t="n">
        <v>0.0526</v>
      </c>
      <c r="G1096" t="n">
        <v>0.1481</v>
      </c>
      <c r="H1096" t="inlineStr">
        <is>
          <t>```python
# The provided code is a Java program that uses OkHttp library to perform certificate pinning in Android applications. 
# Certificate pinning involves verifying the server's identity by comparing it with known public keys or certificates before making any network requests.
# It helps prevent man-in-the-middle attacks and ensure secure communication over HTTPS</t>
        </is>
      </c>
      <c r="I1096" t="n">
        <v>0.0034</v>
      </c>
      <c r="J1096" t="n">
        <v>0.0317</v>
      </c>
      <c r="K1096" t="n">
        <v>0.0794</v>
      </c>
      <c r="L1096" t="inlineStr">
        <is>
          <t>The code provided is a Java class named `CertificatePinning` that uses the OkHttp library to implement certificate pinning functionality in an Android application. Certificate Pinning involves using SSL certificates and hashing them for comparison with expected values. If these match, then it's safe to proceed as there are no man-in-the-middle attacks taking place. The purpose of this</t>
        </is>
      </c>
      <c r="M1096" t="n">
        <v>0.0038</v>
      </c>
      <c r="N1096" t="n">
        <v>0.08699999999999999</v>
      </c>
      <c r="O1096" t="n">
        <v>0.155</v>
      </c>
    </row>
    <row r="1097">
      <c r="A1097" t="inlineStr">
        <is>
          <t>okhttp</t>
        </is>
      </c>
      <c r="B1097" t="inlineStr">
        <is>
          <t>samples/guide/src/main/java/okhttp3/recipes/AccessHeaders.java</t>
        </is>
      </c>
      <c r="C1097">
        <f>HYPERLINK("https://github.com/square/okhttp/blob/master/samples/guide/src/main/java/okhttp3/recipes/AccessHeaders.java")</f>
        <v/>
      </c>
      <c r="D1097" t="inlineStr">
        <is>
          <t>The code is a Java class named `AccessHeaders` that uses the OkHttp library to send an HTTP request and access response headers from GitHub's API endpoint for Square's okhttp repository issues. It creates a new instance of OkHttp client in its constructor and defines a method called run which sends a GET request with "User-Agent", "README", "Complexity",</t>
        </is>
      </c>
      <c r="E1097" t="n">
        <v>0.0032</v>
      </c>
      <c r="F1097" t="n">
        <v>0.0294</v>
      </c>
      <c r="G1097" t="n">
        <v>0.0775</v>
      </c>
      <c r="H1097" t="inlineStr">
        <is>
          <t>```python
# This repository contains backend software components. 
# Complexity is O(n), as it implements core algorithms. 
# Commits are made regularly to maintain the code base.
# Code size of this project is around 1000 lines.
```
The above Python program reads a file and prints its content line by line using</t>
        </is>
      </c>
      <c r="I1097" t="n">
        <v>0.0092</v>
      </c>
      <c r="J1097" t="n">
        <v>0.1754</v>
      </c>
      <c r="K1097" t="n">
        <v>0.3411</v>
      </c>
      <c r="L1097" t="inlineStr">
        <is>
          <t>I'm sorry but I can't provide a summary for the code you provided because it seems to be incomplete or not related to software engineering. Could you please provide more context or clarify what exactly is needed? Are we supposed to summarize this specific piece of code from Square's OkHTTP library (a networking library in Java)? If so, could you kindly share with me</t>
        </is>
      </c>
      <c r="M1097" t="n">
        <v>0.0028</v>
      </c>
      <c r="N1097" t="n">
        <v>0.0267</v>
      </c>
      <c r="O1097" t="n">
        <v>0.0735</v>
      </c>
    </row>
    <row r="1098">
      <c r="A1098" t="inlineStr">
        <is>
          <t>okhttp</t>
        </is>
      </c>
      <c r="B1098" t="inlineStr">
        <is>
          <t>samples/guide/src/main/java/okhttp3/recipes/RequestBodyCompression.java</t>
        </is>
      </c>
      <c r="C1098">
        <f>HYPERLINK("https://github.com/square/okhttp/blob/master/samples/guide/src/main/java/okhttp3/recipes/RequestBodyCompression.java")</f>
        <v/>
      </c>
      <c r="D1098" t="inlineStr">
        <is>
          <t>The code provided is a Java class named "Request". This class contains the implementation of an HTTP request using OkHttp library and Moshi for JSON serialization or deserialization. It's licensed under Apache 2.0 license which allows it to be used in any project as long as proper attribution is given. The functionality includes making GET requests, POST requests with JSON body, error handling</t>
        </is>
      </c>
      <c r="E1098" t="n">
        <v>0.0038</v>
      </c>
      <c r="F1098" t="n">
        <v>0.0822</v>
      </c>
      <c r="G1098" t="n">
        <v>0.1481</v>
      </c>
      <c r="H1098" t="inlineStr">
        <is>
          <t>The code you provided is a Java class named "ReqRes". It contains an interceptor for OkHttp client and uses Moshi library to parse JSON responses from the server. The copyright notice at the top of this file mentions that it's licensed under Apache 2.0 license which means users can use or modify this software as long as they comply with its terms.</t>
        </is>
      </c>
      <c r="I1098" t="n">
        <v>0.0035</v>
      </c>
      <c r="J1098" t="n">
        <v>0.0556</v>
      </c>
      <c r="K1098" t="n">
        <v>0.2355</v>
      </c>
      <c r="L1098" t="inlineStr">
        <is>
          <t>The provided code is a Java class named `Request` that uses the OkHttp library for making HTTP requests and handling responses. The main purpose of this class seems to be to intercept network calls using OkHttp's Interceptor interface and modify or log these calls before they are sent out over the network.
It does so by creating an instance of OkHttpClient with its builder</t>
        </is>
      </c>
      <c r="M1098" t="n">
        <v>0.0028</v>
      </c>
      <c r="N1098" t="n">
        <v>0.0548</v>
      </c>
      <c r="O1098" t="n">
        <v>0.1103</v>
      </c>
    </row>
    <row r="1099">
      <c r="A1099" t="inlineStr">
        <is>
          <t>okhttp</t>
        </is>
      </c>
      <c r="B1099" t="inlineStr">
        <is>
          <t>samples/guide/src/main/java/okhttp3/recipes/AsynchronousGet.java</t>
        </is>
      </c>
      <c r="C1099">
        <f>HYPERLINK("https://github.com/square/okhttp/blob/master/samples/guide/src/main/java/okhttp3/recipes/AsynchronousGet.java")</f>
        <v/>
      </c>
      <c r="D1099" t="inlineStr">
        <is>
          <t>The code provided is a Java class named AsynchronousGet that uses the OkHttp library to make asynchronous GET requests in an Android application. It's licensed under Apache 2.0 and it may be used except in compliance with the license. The client makes a request to a server using the GET method and processes the response asynchronously by implementing Callbacks. This allows for non-block</t>
        </is>
      </c>
      <c r="E1099" t="n">
        <v>0.0034</v>
      </c>
      <c r="F1099" t="n">
        <v>0.027</v>
      </c>
      <c r="G1099" t="n">
        <v>0.1481</v>
      </c>
      <c r="H1099" t="inlineStr">
        <is>
          <t>The provided code is a Java class that uses the OkHttp library to make an asynchronous GET request. The `run` method sends a GET request and processes the response in an asynchronous manner using callbacks.
Here's a summary of its functionality:
```plaintext
Copyright (C) 2014 Square, Inc.
Licensed under the</t>
        </is>
      </c>
      <c r="I1099" t="n">
        <v>0.0037</v>
      </c>
      <c r="J1099" t="n">
        <v>0.0339</v>
      </c>
      <c r="K1099" t="n">
        <v>0.082</v>
      </c>
      <c r="L1099" t="inlineStr">
        <is>
          <t>tps://api.github.com/users/octocat");
        Request request = new Request.Builder().url("https://api.github.com/users/octocat").build();
        client.newCall(request).enqueue(new Callback() {
            @Override public void onFailure(Call call, IOException e) { e.</t>
        </is>
      </c>
      <c r="M1099" t="n">
        <v>0</v>
      </c>
      <c r="N1099" t="n">
        <v>0</v>
      </c>
      <c r="O1099" t="n">
        <v>0</v>
      </c>
    </row>
    <row r="1100">
      <c r="A1100" t="inlineStr">
        <is>
          <t>okhttp</t>
        </is>
      </c>
      <c r="B1100" t="inlineStr">
        <is>
          <t>samples/guide/src/main/java/okhttp3/recipes/PostFile.java</t>
        </is>
      </c>
      <c r="C1100">
        <f>HYPERLINK("https://github.com/square/okhttp/blob/master/samples/guide/src/main/java/okhttp3/recipes/PostFile.java")</f>
        <v/>
      </c>
      <c r="D1100" t="inlineStr">
        <is>
          <t>The code is a Java implementation of making HTTP POST requests with OkHttp library to upload files in the markdown format. It's licensed under Apache 2.0 License and it doesn't seem to have any comments or documentation strings explaining its functionality. The class "PostFile" contains one static method that sends an HTTP request using OkHttp client for file uploading.
It</t>
        </is>
      </c>
      <c r="E1100" t="n">
        <v>0.003</v>
      </c>
      <c r="F1100" t="n">
        <v>0.0563</v>
      </c>
      <c r="G1100" t="n">
        <v>0.1136</v>
      </c>
      <c r="H1100" t="inlineStr">
        <is>
          <t>The code provided is a Java class that uses OkHttp library to send POST requests with markdown files. The functionality of the add method in this context seems unclear without additional information about its purpose or how it's being used. It appears to be part of an HTTP client for sending and receiving data over the network.
The complexity of this function is O(n), where n represents</t>
        </is>
      </c>
      <c r="I1100" t="n">
        <v>0.0032</v>
      </c>
      <c r="J1100" t="n">
        <v>0.0519</v>
      </c>
      <c r="K1100" t="n">
        <v>0.1079</v>
      </c>
      <c r="L1100" t="inlineStr">
        <is>
          <t>The provided code is a Java class named `PostFile` that uses OkHttp library to send markdown files as HTTP requests. It has one public static method called `postMarkDownFile()` which takes two parameters - the URL of the server and the path of the file on local system. The purpose of this function is to post the content of the Markdown file at given URL by sending</t>
        </is>
      </c>
      <c r="M1100" t="n">
        <v>0.0028</v>
      </c>
      <c r="N1100" t="n">
        <v>0.0548</v>
      </c>
      <c r="O1100" t="n">
        <v>0.1087</v>
      </c>
    </row>
    <row r="1101">
      <c r="A1101" t="inlineStr">
        <is>
          <t>okhttp</t>
        </is>
      </c>
      <c r="B1101" t="inlineStr">
        <is>
          <t>samples/guide/src/main/java/okhttp3/recipes/Progress.java</t>
        </is>
      </c>
      <c r="C1101">
        <f>HYPERLINK("https://github.com/square/okhttp/blob/master/samples/guide/src/main/java/okhttp3/recipes/Progress.java")</f>
        <v/>
      </c>
      <c r="D1101" t="inlineStr">
        <is>
          <t>The provided code is a Java class named "Progress". This class contains the functionality to measure progress of an HTTP request using OkHttp library in Android development. The run method sends a GET request and measures its response body's progress by wrapping it with a custom Source that counts bytes read from the source. Upon completion or failure, it prints out the total number of bytes transferred.</t>
        </is>
      </c>
      <c r="E1101" t="n">
        <v>0.0036</v>
      </c>
      <c r="F1101" t="n">
        <v>0.0789</v>
      </c>
      <c r="G1101" t="n">
        <v>0.1079</v>
      </c>
      <c r="H1101" t="inlineStr">
        <is>
          <t>The provided code is a Java class named "Progress". This class contains a method called `run` that sends an HTTP request to the server and processes the response in real time without buffering all of it into memory first. It does this by using OkHttp library which allows you to perform network requests with non-blocking IO operations. The license at the top of the file specifies Apache License</t>
        </is>
      </c>
      <c r="I1101" t="n">
        <v>0.0032</v>
      </c>
      <c r="J1101" t="n">
        <v>0.0519</v>
      </c>
      <c r="K1101" t="n">
        <v>0.1071</v>
      </c>
      <c r="L1101" t="inlineStr">
        <is>
          <t>The provided code is a Java class named `Progress` that uses OkHTTP library to download and display the progress of an HTTP request. The main purpose of this class seems to be downloading data from specified URL in chunks (progressive loading). 
It receives input as a Request object which contains all information about what needs to be downloaded including URL, headers etc. It then sends out</t>
        </is>
      </c>
      <c r="M1101" t="n">
        <v>0.0028</v>
      </c>
      <c r="N1101" t="n">
        <v>0.027</v>
      </c>
      <c r="O1101" t="n">
        <v>0.1087</v>
      </c>
    </row>
    <row r="1102">
      <c r="A1102" t="inlineStr">
        <is>
          <t>okhttp</t>
        </is>
      </c>
      <c r="B1102" t="inlineStr">
        <is>
          <t>samples/guide/src/main/java/okhttp3/recipes/PostForm.java</t>
        </is>
      </c>
      <c r="C1102">
        <f>HYPERLINK("https://github.com/square/okhttp/blob/master/samples/guide/src/main/java/okhttp3/recipes/PostForm.java")</f>
        <v/>
      </c>
      <c r="D1102" t="inlineStr">
        <is>
          <t>The provided code is a Java class named `PostForm` which uses the OkHttp library to send an HTTP POST request with form data. The client sends a search query "Jurassic Park". It's licensed under Apache 2.0 and it may not be used except in compliance with the license.
```Java
// Copyright (C) 2014</t>
        </is>
      </c>
      <c r="E1102" t="n">
        <v>0.0035</v>
      </c>
      <c r="F1102" t="n">
        <v>0.0323</v>
      </c>
      <c r="G1102" t="n">
        <v>0.08</v>
      </c>
      <c r="H1102" t="inlineStr">
        <is>
          <t>```plaintext
# You are an expert software engineer. Provide a concise, clear and direct summary of the functionality of the provided code. Do not repeat the code. 
The given Java code is for making HTTP POST requests with form data using OkHTTP library in Android development. The function `run` sends a request to a server with search parameter set as "J</t>
        </is>
      </c>
      <c r="I1102" t="n">
        <v>0.0039</v>
      </c>
      <c r="J1102" t="n">
        <v>0.0588</v>
      </c>
      <c r="K1102" t="n">
        <v>0.1128</v>
      </c>
      <c r="L1102" t="inlineStr">
        <is>
          <t>The code provided is a Java class named "PostForm". This class contains one method called run which sends an HTTP POST request with form data to the server. The purpose of this code seems to be for sending search queries to some kind of service or API and then processing the response.
```java
    /**
     * Sends an HTTP POST request with form data containing a '</t>
        </is>
      </c>
      <c r="M1102" t="n">
        <v>0.0033</v>
      </c>
      <c r="N1102" t="n">
        <v>0.0563</v>
      </c>
      <c r="O1102" t="n">
        <v>0.1087</v>
      </c>
    </row>
    <row r="1103">
      <c r="A1103" t="inlineStr">
        <is>
          <t>okhttp</t>
        </is>
      </c>
      <c r="B1103" t="inlineStr">
        <is>
          <t>samples/guide/src/main/java/okhttp3/recipes/CurrentDateHeader.java</t>
        </is>
      </c>
      <c r="C1103">
        <f>HYPERLINK("https://github.com/square/okhttp/blob/master/samples/guide/src/main/java/okhttp3/recipes/CurrentDateHeader.java")</f>
        <v/>
      </c>
      <c r="D1103" t="inlineStr">
        <is>
          <t>ThegivenJava code is a demonstration of how to use the OkHttp library in Java for making HTTP requests and adding custom headers with current date information using an interceptor pattern. The client sends a request through `OkHttpClient` which includes a header named "current-date". This header contains the current date when the server receives this request. It's important to note that it uses Inter</t>
        </is>
      </c>
      <c r="E1103" t="n">
        <v>0.0034</v>
      </c>
      <c r="F1103" t="n">
        <v>0.0274</v>
      </c>
      <c r="G1103" t="n">
        <v>0.1111</v>
      </c>
      <c r="H1103" t="inlineStr">
        <is>
          <t>The code you provided is a Java class that uses the OkHttp library to make HTTP requests and add a custom header with the current date in it. The complexity of this function is O(1), as there are no loops or recursive calls involved. It intercepts each request before sending by adding a new header "current_date".
Please note that the actual implementation details might</t>
        </is>
      </c>
      <c r="I1103" t="n">
        <v>0.0028</v>
      </c>
      <c r="J1103" t="n">
        <v>0.0541</v>
      </c>
      <c r="K1103" t="n">
        <v>0.1471</v>
      </c>
      <c r="L1103" t="inlineStr">
        <is>
          <t>The provided code is a Java class named "CurrentDateHeader". This class uses OkHttp library to create an HTTP client that adds the current date as a header in each request it sends out. The purpose of this class seems to be for adding custom headers with dynamic content like current timestamp or other dynamic data at runtime.
Here's how it works: 
It creates an</t>
        </is>
      </c>
      <c r="M1103" t="n">
        <v>0.0028</v>
      </c>
      <c r="N1103" t="n">
        <v>0.0274</v>
      </c>
      <c r="O1103" t="n">
        <v>0.0735</v>
      </c>
    </row>
    <row r="1104">
      <c r="A1104" t="inlineStr">
        <is>
          <t>okhttp</t>
        </is>
      </c>
      <c r="B1104" t="inlineStr">
        <is>
          <t>samples/guide/src/main/java/okhttp3/recipes/CustomTrust.java</t>
        </is>
      </c>
      <c r="C1104">
        <f>HYPERLINK("https://github.com/square/okhttp/blob/master/samples/guide/src/main/java/okhttp3/recipes/CustomTrust.java")</f>
        <v/>
      </c>
      <c r="D1104" t="inlineStr">
        <is>
          <t>```
/* 
 * Copyright (C) 2015 Square, Inc.
 * Licensed under the Apache License, Version 2.0 (the "License");
 * you may not use this file except in compliance with the License.
 * You can obtain a copy of the License at http://www.apache.org/licenses/LICENSE</t>
        </is>
      </c>
      <c r="E1104" t="n">
        <v>0</v>
      </c>
      <c r="F1104" t="n">
        <v>0.04</v>
      </c>
      <c r="G1104" t="n">
        <v>0.0877</v>
      </c>
      <c r="H1104" t="inlineStr">
        <is>
          <t>ThisJavaOKHTTPclientconfigurationallowscustomtrustmanagementthroughcertificatevalidation.Itusescommodoandentrust'sRootCAstoestablishsecureconnectiontotargetserver.Foranyunexpectedbehavior,ensurethatyourlocalenvironmentvariablesareproperlyconfigured.
# Code Summary
```plaintext
This Java code is a configuration for an OKHTTP client</t>
        </is>
      </c>
      <c r="I1104" t="n">
        <v>0.0132</v>
      </c>
      <c r="J1104" t="n">
        <v>0.0769</v>
      </c>
      <c r="K1104" t="n">
        <v>0.0575</v>
      </c>
      <c r="L1104" t="inlineStr">
        <is>
          <t>This code is a Java class named `CustomTrust` that uses the OkHttp library to establish HTTPS connections with servers using custom trust stores. The purpose of this class seems to be managing SSL certificates for secure communication over HTTPS.
The main method in this class sets up an HTTP client and configures it to use specific certificate authorities (CA). These CAs</t>
        </is>
      </c>
      <c r="M1104" t="n">
        <v>0.0036</v>
      </c>
      <c r="N1104" t="n">
        <v>0.058</v>
      </c>
      <c r="O1104" t="n">
        <v>0.1128</v>
      </c>
    </row>
    <row r="1105">
      <c r="A1105" t="inlineStr">
        <is>
          <t>okhttp</t>
        </is>
      </c>
      <c r="B1105" t="inlineStr">
        <is>
          <t>samples/guide/src/main/java/okhttp3/recipes/PostStreaming.java</t>
        </is>
      </c>
      <c r="C1105">
        <f>HYPERLINK("https://github.com/square/okhttp/blob/master/samples/guide/src/main/java/okhttp3/recipes/PostStreaming.java")</f>
        <v/>
      </c>
      <c r="D1105" t="inlineStr">
        <is>
          <t>The provided code is a Java implementation of an HTTP client using OkHttp library to send POST requests with streaming content (MarkDown format). The request body's media type is set as "text/x-markdown; charset=utf-8". It uses the Apache License 2.0 for licensing and has conditions that require compliance or agreement before distribution.
Please note this</t>
        </is>
      </c>
      <c r="E1105" t="n">
        <v>0.0034</v>
      </c>
      <c r="F1105" t="n">
        <v>0.0588</v>
      </c>
      <c r="G1105" t="n">
        <v>0.1587</v>
      </c>
      <c r="H1105" t="inlineStr">
        <is>
          <t>The provided code is a Java class that uses OkHTTP library to send POST requests with streaming content (MarkDown format). The complexity of this function is O(n), where n represents the size of the input data.
The client sends an HTTP request containing MarkDown formatted text in UTF-8 encoding via a stream. If the server responds successfully, it returns a response object</t>
        </is>
      </c>
      <c r="I1105" t="n">
        <v>0</v>
      </c>
      <c r="J1105" t="n">
        <v>0.0556</v>
      </c>
      <c r="K1105" t="n">
        <v>0.0746</v>
      </c>
      <c r="L1105" t="inlineStr">
        <is>
          <t>The provided code is a Java class named "PostStreaming". This class contains one static final variable MEDIA_TYPE_MARKDOWN which represents the media type for markdown text with UTF-8 encoding. The purpose of this class seems to be to post data asynchronously in streaming mode using OkHttp library. It creates an instance of OkHttpClient and uses it to</t>
        </is>
      </c>
      <c r="M1105" t="n">
        <v>0.0039</v>
      </c>
      <c r="N1105" t="n">
        <v>0.0597</v>
      </c>
      <c r="O1105" t="n">
        <v>0.1172</v>
      </c>
    </row>
    <row r="1106">
      <c r="A1106" t="inlineStr">
        <is>
          <t>okhttp</t>
        </is>
      </c>
      <c r="B1106" t="inlineStr">
        <is>
          <t>samples/guide/src/main/java/okhttp3/recipes/SynchronousGet.java</t>
        </is>
      </c>
      <c r="C1106">
        <f>HYPERLINK("https://github.com/square/okhttp/blob/master/samples/guide/src/main/java/okhttp3/recipes/SynchronousGet.java")</f>
        <v/>
      </c>
      <c r="D1106" t="inlineStr">
        <is>
          <t>The code provided is a simple example of making an HTTP GET request using OkHTTP library in Java. The purpose of this class (`SynchronousGet`), it sends a GET request to the URL "https://publicobject.com/helloworld.txt". It does not have any input parameters and returns nothing as void method `run()`. This function will throw IOException if there are</t>
        </is>
      </c>
      <c r="E1106" t="n">
        <v>0.004</v>
      </c>
      <c r="F1106" t="n">
        <v>0.0597</v>
      </c>
      <c r="G1106" t="n">
        <v>0.1181</v>
      </c>
      <c r="H1106" t="inlineStr">
        <is>
          <t>The given code is a Java implementation of an HTTP GET request using OkHTTP library in synchronous mode. It sends a GET request to the URL "https://publicobject.com/helloworld.txt", and then prints out the response body if it exists. The complexity is O(1), as there are no loops or recursive calls that would increase its time complexity.</t>
        </is>
      </c>
      <c r="I1106" t="n">
        <v>0.0033</v>
      </c>
      <c r="J1106" t="n">
        <v>0.0588</v>
      </c>
      <c r="K1106" t="n">
        <v>0.1181</v>
      </c>
      <c r="L1106" t="inlineStr">
        <is>
          <t>The provided code is a Java class named `SynchronousGet` that uses the OkHttp library to perform an HTTP GET request synchronously. The purpose of this class seems to be to fetch and print out "Hello World!" from a remote server located at URL https://publicobject.com/helloworld.txt.
Here's what it does in detail:
1</t>
        </is>
      </c>
      <c r="M1106" t="n">
        <v>0.0036</v>
      </c>
      <c r="N1106" t="n">
        <v>0.0625</v>
      </c>
      <c r="O1106" t="n">
        <v>0.122</v>
      </c>
    </row>
    <row r="1107">
      <c r="A1107" t="inlineStr">
        <is>
          <t>okhttp</t>
        </is>
      </c>
      <c r="B1107" t="inlineStr">
        <is>
          <t>samples/guide/src/main/java/okhttp3/recipes/PostString.java</t>
        </is>
      </c>
      <c r="C1107">
        <f>HYPERLINK("https://github.com/square/okhttp/blob/master/samples/guide/src/main/java/okhttp3/recipes/PostString.java")</f>
        <v/>
      </c>
      <c r="D1107" t="inlineStr">
        <is>
          <t>The code is a Java implementation of making HTTP POST requests with OkHttp library in Android. It sends markdown format text to the server and receives response from it. The complexity of this function is O(n), where n represents network latency or other external factors that can affect execution time. This code does not have any comments but there are some initial commits present which could indicate its history.</t>
        </is>
      </c>
      <c r="E1107" t="n">
        <v>0.0031</v>
      </c>
      <c r="F1107" t="n">
        <v>0.0513</v>
      </c>
      <c r="G1107" t="n">
        <v>0.1418</v>
      </c>
      <c r="H1107" t="inlineStr">
        <is>
          <t>The given code is a Java implementation of the OkHTTP client to send POST requests with plain text data (MarkDown). The function `postString` sends an HTTP post request with MarkDown content and returns the response from server in string format. It uses Apache 2.0 License for usage restriction.
Please provide a concise, clear, and direct summary of this functionality without repeating</t>
        </is>
      </c>
      <c r="I1107" t="n">
        <v>0.0036</v>
      </c>
      <c r="J1107" t="n">
        <v>0.0857</v>
      </c>
      <c r="K1107" t="n">
        <v>0.1504</v>
      </c>
      <c r="L1107" t="inlineStr">
        <is>
          <t>The provided code is a Java class named `PostString` that sends HTTP POST requests with plain text content using the OkHttp library in Android development. 
It has one public static method called `post()` which takes two parameters - URL and request body as String. The function uses an instance of `OkHttpClient` to send these strings over network via HTTP post protocol. It</t>
        </is>
      </c>
      <c r="M1107" t="n">
        <v>0.0029</v>
      </c>
      <c r="N1107" t="n">
        <v>0.029</v>
      </c>
      <c r="O1107" t="n">
        <v>0.0746</v>
      </c>
    </row>
    <row r="1108">
      <c r="A1108" t="inlineStr">
        <is>
          <t>okhttp</t>
        </is>
      </c>
      <c r="B1108" t="inlineStr">
        <is>
          <t>samples/guide/src/main/java/okhttp3/recipes/PostMultipart.java</t>
        </is>
      </c>
      <c r="C1108">
        <f>HYPERLINK("https://github.com/square/okhttp/blob/master/samples/guide/src/main/java/okhttp3/recipes/PostMultipart.java")</f>
        <v/>
      </c>
      <c r="D1108" t="inlineStr">
        <is>
          <t>```plaintext
// Copyright (C) 2014 Square, Inc.
// Licensed under the Apache License, Version 2.0 (the "License");
// you may not use this file except in compliance with the License.
// You can obtain a copy of the License at http://www.apache.org/licenses/LICENSE-</t>
        </is>
      </c>
      <c r="E1108" t="n">
        <v>0</v>
      </c>
      <c r="F1108" t="n">
        <v>0.0392</v>
      </c>
      <c r="G1108" t="n">
        <v>0.0885</v>
      </c>
      <c r="H1108" t="inlineStr">
        <is>
          <t>ThisJava code is a backend component for uploading files to imgur using OkHttp library in Java. It sends multipart POST requests with the file and client ID as parameters. The complexity of this function is O(n), where n represents the number of parts (files). 
It includes Apache License information at the top which states that you may not use this file except in compliance</t>
        </is>
      </c>
      <c r="I1108" t="n">
        <v>0.0028</v>
      </c>
      <c r="J1108" t="n">
        <v>0.0548</v>
      </c>
      <c r="K1108" t="n">
        <v>0.1103</v>
      </c>
      <c r="L1108" t="inlineStr">
        <is>
          <t>Please provide the concise and clear summary of the functionality of the provided code. Do not repeat the code.
 The given Java code is a class named `PostMultipart` that uses OkHttp to send multipart requests. It has two methods - one for posting files (`postFiles()`) and another for getting responses from server (`getServerResponse()`).</t>
        </is>
      </c>
      <c r="M1108" t="n">
        <v>0.0041</v>
      </c>
      <c r="N1108" t="n">
        <v>0.0667</v>
      </c>
      <c r="O1108" t="n">
        <v>0.08</v>
      </c>
    </row>
    <row r="1109">
      <c r="A1109" t="inlineStr">
        <is>
          <t>okhttp</t>
        </is>
      </c>
      <c r="B1109" t="inlineStr">
        <is>
          <t>samples/guide/src/main/java/okhttp3/recipes/Authenticate.java</t>
        </is>
      </c>
      <c r="C1109">
        <f>HYPERLINK("https://github.com/square/okhttp/blob/master/samples/guide/src/main/java/okhttp3/recipes/Authenticate.java")</f>
        <v/>
      </c>
      <c r="D1109" t="inlineStr">
        <is>
          <t>The code provided is a Java class that uses OkHttp library to authenticate with the server. It sets up an HTTP client and configures it to use basic authentication by setting an Authenticator in its builder. The Authenticator function (lambda expression), when called, attempts to re-send the request after adding appropriate credentials from the "Authorization" header field. This allows for automatic handling</t>
        </is>
      </c>
      <c r="E1109" t="n">
        <v>0.0035</v>
      </c>
      <c r="F1109" t="n">
        <v>0.0282</v>
      </c>
      <c r="G1109" t="n">
        <v>0.1119</v>
      </c>
      <c r="H1109" t="inlineStr">
        <is>
          <t>The code you provided is a Java class that uses OkHttp to authenticate with an HTTP server. The `authenticator` method of the client handles authentication challenges from the server. In this case, it's set up to retry unauthorized (401) requests using Basic Authentication.
Please provide a concise and clear summary of the functionality of the</t>
        </is>
      </c>
      <c r="I1109" t="n">
        <v>0.004</v>
      </c>
      <c r="J1109" t="n">
        <v>0.0625</v>
      </c>
      <c r="K1109" t="n">
        <v>0.1181</v>
      </c>
      <c r="L1109" t="inlineStr">
        <is>
          <t>The code provided is a Java class named "Authenticate". It's purpose of this class seems to be handling HTTP authentication using OkHttp library in Android development environment. 
It uses an instance of the OkHttpClient and sets up an authenticator that will handle any unauthorized responses by requesting new credentials from the server. The client sends a username and password as</t>
        </is>
      </c>
      <c r="M1109" t="n">
        <v>0.003</v>
      </c>
      <c r="N1109" t="n">
        <v>0.058</v>
      </c>
      <c r="O1109" t="n">
        <v>0.1136</v>
      </c>
    </row>
    <row r="1110">
      <c r="A1110" t="inlineStr">
        <is>
          <t>okhttp</t>
        </is>
      </c>
      <c r="B1110" t="inlineStr">
        <is>
          <t>samples/guide/src/main/java/okhttp3/recipes/HttpsServer.java</t>
        </is>
      </c>
      <c r="C1110">
        <f>HYPERLINK("https://github.com/square/okhttp/blob/master/samples/guide/src/main/java/okhttp3/recipes/HttpsServer.java")</f>
        <v/>
      </c>
      <c r="D1110" t="inlineStr">
        <is>
          <t>The code provided is a Java class that uses the OkHttp library to create an HTTPS server with a self-signed certificate. The purpose of this code seems to be for testing purposes only as it's not included in any main method or application entry point. This might serve as part of unit tests or integration tests where you want to mock out network calls and test your software against such</t>
        </is>
      </c>
      <c r="E1110" t="n">
        <v>0.0034</v>
      </c>
      <c r="F1110" t="n">
        <v>0.05</v>
      </c>
      <c r="G1110" t="n">
        <v>0.1408</v>
      </c>
      <c r="H1110" t="inlineStr">
        <is>
          <t>The code you provided is a Java class that sets up an HTTPS server with a self-signed certificate using OkHttp and MockWebServer libraries. The purpose of this setup is to demonstrate how the client can trust the server's certificate for secure communication over HTTPS.
Here are some key points about this code:
1. It creates a new instance of</t>
        </is>
      </c>
      <c r="I1110" t="n">
        <v>0.0031</v>
      </c>
      <c r="J1110" t="n">
        <v>0.029</v>
      </c>
      <c r="K1110" t="n">
        <v>0.1145</v>
      </c>
      <c r="L1110" t="inlineStr">
        <is>
          <t>ThegivenJavasourcecodeusesOKHTTPlibrarytoformanagecommunicationbetweenclientandsvr.ItcreateserverusingaMockWebServerfromsamelibrarywhichsimulatesresponsetohttprequestsinmemory.Forsecuritypurposes,severalself-signedcertificatesareusedforauthentication. The code also uses OkHttp's trust manager to establish a secure connection between client and</t>
        </is>
      </c>
      <c r="M1110" t="n">
        <v>0.0123</v>
      </c>
      <c r="N1110" t="n">
        <v>0.06900000000000001</v>
      </c>
      <c r="O1110" t="n">
        <v>0.1136</v>
      </c>
    </row>
    <row r="1111">
      <c r="A1111" t="inlineStr">
        <is>
          <t>okhttp</t>
        </is>
      </c>
      <c r="B1111" t="inlineStr">
        <is>
          <t>samples/guide/src/main/java/okhttp3/recipes/UploadProgress.java</t>
        </is>
      </c>
      <c r="C1111">
        <f>HYPERLINK("https://github.com/square/okhttp/blob/master/samples/guide/src/main/java/okhttp3/recipes/UploadProgress.java")</f>
        <v/>
      </c>
      <c r="D1111" t="inlineStr">
        <is>
          <t>The code provided is a Java class named `UploadProgress` that handles the progress of an upload operation using OkHttp library for networking tasks and OkIO library for handling input/output operations in Android applications. It's designed to be used as part of larger software systems. The license information at the top indicates it may not be directly executable without modifications or additional dependencies.
It appears to</t>
        </is>
      </c>
      <c r="E1111" t="n">
        <v>0.0033</v>
      </c>
      <c r="F1111" t="n">
        <v>0.0267</v>
      </c>
      <c r="G1111" t="n">
        <v>0.1095</v>
      </c>
      <c r="H1111" t="inlineStr">
        <is>
          <t>The provided code is a Java class named `UploadProgress` that uploads files to the imgur service using OkHttp library. The client ID for accessing Imgur's API is stored in a constant variable called IMGUR_CLIENT_ID. 
This code also includes comments explaining its functionality and license information. It uses OkHttp to make HTTP requests which are used</t>
        </is>
      </c>
      <c r="I1111" t="n">
        <v>0.0078</v>
      </c>
      <c r="J1111" t="n">
        <v>0.09089999999999999</v>
      </c>
      <c r="K1111" t="n">
        <v>0.2012</v>
      </c>
      <c r="L1111" t="inlineStr">
        <is>
          <t>The provided code is a Java class named "UploadProgress". It's part of the OkHttp library and its purpose appears to be handling upload progress for an image file to imgur. 
It takes in one parameter during initialization which represents the client id from Imgur API. The main functionality seems to involve making HTTP requests using OkHttp to send images (presumably with</t>
        </is>
      </c>
      <c r="M1111" t="n">
        <v>0.0036</v>
      </c>
      <c r="N1111" t="n">
        <v>0.0286</v>
      </c>
      <c r="O1111" t="n">
        <v>0.0752</v>
      </c>
    </row>
    <row r="1112">
      <c r="A1112" t="inlineStr">
        <is>
          <t>okhttp</t>
        </is>
      </c>
      <c r="B1112" t="inlineStr">
        <is>
          <t>samples/guide/src/main/java/okhttp3/recipes/CancelCall.java</t>
        </is>
      </c>
      <c r="C1112">
        <f>HYPERLINK("https://github.com/square/okhttp/blob/master/samples/guide/src/main/java/okhttp3/recipes/CancelCall.java")</f>
        <v/>
      </c>
      <c r="D1112" t="inlineStr">
        <is>
          <t>The code provided is a Java class named "CancelCall". It uses OkHttp library for making HTTP requests and cancelling them if necessary. The class has one method that schedules an execution of the cancellation task after a certain delay. This allows you to cancel the call after some time without waiting for it to complete.
It's important to note that this code is licensed under Apache</t>
        </is>
      </c>
      <c r="E1112" t="n">
        <v>0.0033</v>
      </c>
      <c r="F1112" t="n">
        <v>0.0267</v>
      </c>
      <c r="G1112" t="n">
        <v>0.1087</v>
      </c>
      <c r="H1112" t="inlineStr">
        <is>
          <t>The provided code is a Java implementation of an OkHttp client that schedules and cancels HTTP requests using the ScheduledExecutorService class from java.util.concurrency package. The executor service runs tasks on separate threads after a delay or at fixed intervals.
```plaintext
The function add() performs addition operation between two numbers 'a' and 'b'. 
It takes</t>
        </is>
      </c>
      <c r="I1112" t="n">
        <v>0.0034</v>
      </c>
      <c r="J1112" t="n">
        <v>0.09379999999999999</v>
      </c>
      <c r="K1112" t="n">
        <v>0.119</v>
      </c>
      <c r="L1112" t="inlineStr">
        <is>
          <t>This code is a Java implementation of an asynchronous task that cancels an HTTP request using OkHttp library after a specified delay. The main purpose of this class is to provide the functionality of canceling network calls in case they are not needed anymore. It uses Executors framework for scheduling tasks and provides methods to schedule cancellations at specific intervals. This helps to optimize resources by avoiding unnecessary network requests.</t>
        </is>
      </c>
      <c r="M1112" t="n">
        <v>0.0034</v>
      </c>
      <c r="N1112" t="n">
        <v>0.1026</v>
      </c>
      <c r="O1112" t="n">
        <v>0.1408</v>
      </c>
    </row>
    <row r="1113">
      <c r="A1113" t="inlineStr">
        <is>
          <t>okhttp</t>
        </is>
      </c>
      <c r="B1113" t="inlineStr">
        <is>
          <t>samples/guide/src/main/java/okhttp3/recipes/PerCallSettings.java</t>
        </is>
      </c>
      <c r="C1113">
        <f>HYPERLINK("https://github.com/square/okhttp/blob/master/samples/guide/src/main/java/okhttp3/recipes/PerCallSettings.java")</f>
        <v/>
      </c>
      <c r="D1113" t="inlineStr">
        <is>
          <t>The provided code is a Java class named PerCallSettings that uses OkHttp library to make HTTP requests with per call settings like setting the request URL and delay time for each request. It creates an instance of OkHttpClient in its constructor and provides a run method which sends a GET request using this client. The response from the server is then printed out. If there are any exceptions during these operations,</t>
        </is>
      </c>
      <c r="E1113" t="n">
        <v>0.0026</v>
      </c>
      <c r="F1113" t="n">
        <v>0.0253</v>
      </c>
      <c r="G1113" t="n">
        <v>0.1049</v>
      </c>
      <c r="H1113" t="inlineStr">
        <is>
          <t>The code you provided is a Java class that uses the OkHttp library to make an HTTP request with a delay of 1 second. The purpose of this class seems to be demonstrating how to use different settings for each call such as setting read and write timeout values.
However, it's not clear what exactly your question or task is. Could you please provide more details so I</t>
        </is>
      </c>
      <c r="I1113" t="n">
        <v>0.0027</v>
      </c>
      <c r="J1113" t="n">
        <v>0.0519</v>
      </c>
      <c r="K1113" t="n">
        <v>0.1071</v>
      </c>
      <c r="L1113" t="inlineStr">
        <is>
          <t>The provided code is a Java class named "PerCallSettings". This class uses the OkHttp library to make HTTP requests with custom per-call settings for network timeouts and read timeout values. The main purpose of this class seems to be to demonstrate how these settings can be configured in an OkHttp client instance. 
```java
    public final class PerCallSettings {</t>
        </is>
      </c>
      <c r="M1113" t="n">
        <v>0.0037</v>
      </c>
      <c r="N1113" t="n">
        <v>0.0606</v>
      </c>
      <c r="O1113" t="n">
        <v>0.1154</v>
      </c>
    </row>
    <row r="1114">
      <c r="A1114" t="inlineStr">
        <is>
          <t>okhttp</t>
        </is>
      </c>
      <c r="B1114" t="inlineStr">
        <is>
          <t>samples/guide/src/main/java/okhttp3/recipes/RewriteResponseCacheControl.java</t>
        </is>
      </c>
      <c r="C1114">
        <f>HYPERLINK("https://github.com/square/okhttp/blob/master/samples/guide/src/main/java/okhttp3/recipes/RewriteResponseCacheControl.java")</f>
        <v/>
      </c>
      <c r="D1114" t="inlineStr">
        <is>
          <t>The code is a Java class that uses OkHTTP library to intercept the server response and rewrite its cache control header. It does this by creating an Interceptor which modifies the Cache-Control headers of responses from servers it communicates with. The purpose seems to be improving caching behavior for web applications using OkHTTP as their HTTP client.
The main method in this class appears</t>
        </is>
      </c>
      <c r="E1114" t="n">
        <v>0.0028</v>
      </c>
      <c r="F1114" t="n">
        <v>0.0274</v>
      </c>
      <c r="G1114" t="n">
        <v>0.1103</v>
      </c>
      <c r="H1114" t="inlineStr">
        <is>
          <t>The code provided is a Java class that uses OkHttp library to rewrite the cache control header of HTTP responses. The interceptor rewrites the server's Cache-Control header by adding additional directives like "no-cache", "must-revalidate".
The copyright notice at the top indicates this software is licensed under Apache License 2.0 and can be used for</t>
        </is>
      </c>
      <c r="I1114" t="n">
        <v>0.004</v>
      </c>
      <c r="J1114" t="n">
        <v>0.0896</v>
      </c>
      <c r="K1114" t="n">
        <v>0.2505</v>
      </c>
      <c r="L1114" t="inlineStr">
        <is>
          <t>ThegivensourcecodefileisaboutaDangerousInterceptorwhichrewriteservercachecontrolheaders.ItusesanOKHTTPclienttosetupconnectionstoaserver.Theinterceptionhappensbeforearesponseisreturnedfromservertoclient.
```java
    public final class RewriteResponseCacheControl {
        private static final Interceptor REWR</t>
        </is>
      </c>
      <c r="M1114" t="n">
        <v>0</v>
      </c>
      <c r="N1114" t="n">
        <v>0</v>
      </c>
      <c r="O1114" t="n">
        <v>0</v>
      </c>
    </row>
    <row r="1115">
      <c r="A1115" t="inlineStr">
        <is>
          <t>okhttp</t>
        </is>
      </c>
      <c r="B1115" t="inlineStr">
        <is>
          <t>samples/guide/src/main/java/okhttp3/recipes/ParseResponseWithMoshi.java</t>
        </is>
      </c>
      <c r="C1115">
        <f>HYPERLINK("https://github.com/square/okhttp/blob/master/samples/guide/src/main/java/okhttp3/recipes/ParseResponseWithMoshi.java")</f>
        <v/>
      </c>
      <c r="D1115" t="inlineStr">
        <is>
          <t>The code is a Java class named ParseResponseWithMoshi that uses OkHttp for making HTTP requests and Moshi (a JSON parser library from Square Inc.) to parse the responses into objects. The copyright information at the top of the file indicates it's licensed under Apache License 2.0. This means you can use this code in any project as long as you follow the terms</t>
        </is>
      </c>
      <c r="E1115" t="n">
        <v>0.0034</v>
      </c>
      <c r="F1115" t="n">
        <v>0.0274</v>
      </c>
      <c r="G1115" t="n">
        <v>0.1111</v>
      </c>
      <c r="H1115" t="inlineStr">
        <is>
          <t>The code you provided is a Java class that uses the OkHttp library to make HTTP requests and parse JSON responses using Moshi for serialization. The add method in this class takes two integers as parameters and returns their sum.
Here's a summary of its functionality: 
```plaintext
Class Name: ParseResponseWithMoshi
Package: okhttp3</t>
        </is>
      </c>
      <c r="I1115" t="n">
        <v>0.0035</v>
      </c>
      <c r="J1115" t="n">
        <v>0.06560000000000001</v>
      </c>
      <c r="K1115" t="n">
        <v>0.121</v>
      </c>
      <c r="L1115" t="inlineStr">
        <is>
          <t>The provided code is a Java class named `ParseResponseWithMoshi` that uses the OkHttp library for networking and Moshi for JSON parsing. The main purpose of this class seems to be to send an HTTP request using OkHttp client and parse the response with Moshi.
Here's what it does in general steps: 
1. It creates an instance</t>
        </is>
      </c>
      <c r="M1115" t="n">
        <v>0.0033</v>
      </c>
      <c r="N1115" t="n">
        <v>0.0615</v>
      </c>
      <c r="O1115" t="n">
        <v>0.1172</v>
      </c>
    </row>
    <row r="1116">
      <c r="A1116" t="inlineStr">
        <is>
          <t>okhttp</t>
        </is>
      </c>
      <c r="B1116" t="inlineStr">
        <is>
          <t>samples/guide/src/main/java/okhttp3/recipes/PrintEventsNonConcurrent.java</t>
        </is>
      </c>
      <c r="C1116">
        <f>HYPERLINK("https://github.com/square/okhttp/blob/master/samples/guide/src/main/java/okhttp3/recipes/PrintEventsNonConcurrent.java")</f>
        <v/>
      </c>
      <c r="D1116" t="inlineStr">
        <is>
          <t>The code you provided is a Java class that demonstrates the use of OkHttp library for making HTTP requests in Android applications. It's licensed under Apache 2.0 License and it contains various methods to perform different types of network operations such as GET, POST etc., with or without proxy support. The complexity of this piece of code seems O(n), but since n here refers to number of</t>
        </is>
      </c>
      <c r="E1116" t="n">
        <v>0.0027</v>
      </c>
      <c r="F1116" t="n">
        <v>0.0256</v>
      </c>
      <c r="G1116" t="n">
        <v>0.1079</v>
      </c>
      <c r="H1116" t="inlineStr">
        <is>
          <t>The provided code is a Java implementation of the OkHTTP library for making HTTP requests in Android applications. It's licensed under Apache 2.0 and contains comments explaining its functionality. The license permits use without restrictions but requires attribution to Square, Inc., as well as any modifications made by their contributors.
It appears that this code does not contain an explicit function named 'add</t>
        </is>
      </c>
      <c r="I1116" t="n">
        <v>0.0029</v>
      </c>
      <c r="J1116" t="n">
        <v>0.0548</v>
      </c>
      <c r="K1116" t="n">
        <v>0.1481</v>
      </c>
      <c r="L1116" t="inlineStr">
        <is>
          <t>ThegivenJavaSourceFileimplentsaRecipeforusingOKHTTP3tosendHTTPrequeststoURLs.Itincludesmethodslikeget(),post()etc. Ituseseventlistenerswhichcanbefoundintheresponseobject. Thisrecipealsohandlesproxiesandtimeouts. Theclientconnectiontimingoutafter30secondsifnoresponsesreceived. Code:</t>
        </is>
      </c>
      <c r="M1116" t="n">
        <v>0</v>
      </c>
      <c r="N1116" t="n">
        <v>0</v>
      </c>
      <c r="O1116" t="n">
        <v>0</v>
      </c>
    </row>
    <row r="1117">
      <c r="A1117" t="inlineStr">
        <is>
          <t>okhttp</t>
        </is>
      </c>
      <c r="B1117" t="inlineStr">
        <is>
          <t>samples/guide/src/main/java/okhttp3/recipes/WebSocketEcho.java</t>
        </is>
      </c>
      <c r="C1117">
        <f>HYPERLINK("https://github.com/square/okhttp/blob/master/samples/guide/src/main/java/okhttp3/recipes/WebSocketEcho.java")</f>
        <v/>
      </c>
      <c r="D1117" t="inlineStr">
        <is>
          <t>The provided code is a WebSocket client that connects to the "ws://echo.websocket.org" server and sends several messages using OkHttp library in Java. The onOpen method sends three different types of data (a string, another string, and a byte array represented by hexadecimal values), while the onMessage method closes the connection with an appropriate message after receiving any</t>
        </is>
      </c>
      <c r="E1117" t="n">
        <v>0.0032</v>
      </c>
      <c r="F1117" t="n">
        <v>0.0294</v>
      </c>
      <c r="G1117" t="n">
        <v>0.0775</v>
      </c>
      <c r="H1117" t="inlineStr">
        <is>
          <t>The provided code is a Java implementation of the WebSocket communication using OkHttp library. It establishes a connection to "ws://echo.websocket.org" and sends three messages ("Hello...", "...World!" with hex-decoded byte string "deadbeef") before closing the connection with an exit message "Goodbye, World!". The onOpen method gets called when</t>
        </is>
      </c>
      <c r="I1117" t="n">
        <v>0.0039</v>
      </c>
      <c r="J1117" t="n">
        <v>0.0678</v>
      </c>
      <c r="K1117" t="n">
        <v>0.1261</v>
      </c>
      <c r="L1117" t="inlineStr">
        <is>
          <t>The code provided is a Java class that extends the WebSocketListener from OkHttp library to create an echo client for websockets. The purpose of this class seems to be establishing a connection with "ws://echo.websocket.org" and sending three messages ("Hello...", "... World!" and ByteString.decodeHex("deadbeef")) over it before closing</t>
        </is>
      </c>
      <c r="M1117" t="n">
        <v>0.0039</v>
      </c>
      <c r="N1117" t="n">
        <v>0.0678</v>
      </c>
      <c r="O1117" t="n">
        <v>0.08400000000000001</v>
      </c>
    </row>
    <row r="1118">
      <c r="A1118" t="inlineStr">
        <is>
          <t>okhttp</t>
        </is>
      </c>
      <c r="B1118" t="inlineStr">
        <is>
          <t>samples/guide/src/main/java/okhttp3/recipes/PrintEvents.java</t>
        </is>
      </c>
      <c r="C1118">
        <f>HYPERLINK("https://github.com/square/okhttp/blob/master/samples/guide/src/main/java/okhttp3/recipes/PrintEvents.java")</f>
        <v/>
      </c>
      <c r="D1118" t="inlineStr">
        <is>
          <t>The provided code is a Java implementation of OkHTTP client from Square (https://square.github.io/okhttp/) which provides an HTTP+JSON API for Android applications. It's licensed under the Apache License 2.0 and can be used in compliance with that license. The software operates on a "AS IS" basis without any warranties or conditions.
The main</t>
        </is>
      </c>
      <c r="E1118" t="n">
        <v>0.0042</v>
      </c>
      <c r="F1118" t="n">
        <v>0.0597</v>
      </c>
      <c r="G1118" t="n">
        <v>0.1613</v>
      </c>
      <c r="H1118" t="inlineStr">
        <is>
          <t>The code you provided is a simple addition function in Python named 'add'. It takes two parameters (a and b), adds them together, and returns the result. The time complexity of this operation is O(1).
Here's a concise summary: 
Function Name: add
Input Parameters: Two numbers (integers or floats)
Return Value:</t>
        </is>
      </c>
      <c r="I1118" t="n">
        <v>0.0036</v>
      </c>
      <c r="J1118" t="n">
        <v>0.06560000000000001</v>
      </c>
      <c r="K1118" t="n">
        <v>0.122</v>
      </c>
      <c r="L1118" t="inlineStr">
        <is>
          <t>ThegivenJavaOKHTTPv3codefileincludesaRecipeclassthatusesanOkHttpClienttosubmittasksforprocessing.Ithasamainmethodwhichacceptstaskdataandreturnsprocessedresults.Theclientmanagesnetworkconnectivityusingproxyconfigurationifnecessary. The code is licensed under the Apache 2.0 license and includes a copyright notice at the top of each</t>
        </is>
      </c>
      <c r="M1118" t="n">
        <v>0.009599999999999999</v>
      </c>
      <c r="N1118" t="n">
        <v>0.0645</v>
      </c>
      <c r="O1118" t="n">
        <v>0.0543</v>
      </c>
    </row>
    <row r="1119">
      <c r="A1119" t="inlineStr">
        <is>
          <t>okhttp</t>
        </is>
      </c>
      <c r="B1119" t="inlineStr">
        <is>
          <t>samples/guide/src/main/java/okhttp3/recipes/CheckHandshake.java</t>
        </is>
      </c>
      <c r="C1119">
        <f>HYPERLINK("https://github.com/square/okhttp/blob/master/samples/guide/src/main/java/okhttp3/recipes/CheckHandshake.java")</f>
        <v/>
      </c>
      <c r="D1119" t="inlineStr">
        <is>
          <t>The code is a Java class named CheckHandshake that uses OkHttp library to handle HTTP requests and responses. It's designed to reject other trusted certificates by pinning the server certificate with a set of known good hostnames (i.e., it pins the handshake). The complexity of this operation is O(n), where n represents the number of hosts in the Certificate</t>
        </is>
      </c>
      <c r="E1119" t="n">
        <v>0.0031</v>
      </c>
      <c r="F1119" t="n">
        <v>0.0286</v>
      </c>
      <c r="G1119" t="n">
        <v>0.1145</v>
      </c>
      <c r="H1119" t="inlineStr">
        <is>
          <t>The code provided is a Java class that uses OkHttp library to perform an HTTPS request and reject all certificates except for those in the set of trusted hosts. The complexity is O(n), where n represents the number of trusted hosts.
Here's what it does: 
It defines a final class `CheckHandshake` which contains one static method (</t>
        </is>
      </c>
      <c r="I1119" t="n">
        <v>0.0032</v>
      </c>
      <c r="J1119" t="n">
        <v>0.0303</v>
      </c>
      <c r="K1119" t="n">
        <v>0.0775</v>
      </c>
      <c r="L1119" t="inlineStr">
        <is>
          <t>Interceptor=newInterceptor(){@OverridepublicResponseintercept(Chainchain){Requestrequest=chain.request();if(!checkTrustFirstMatchIssuerAndSerialNumber(request)){returnnull;}Responseresponse=chain.proceed(request);returnresponse;}privatebooleancheckTrustFirstMatchIssuerAndSerialNumber(Requestrequest){Stringurlissuer=getUrl</t>
        </is>
      </c>
      <c r="M1119" t="n">
        <v>0</v>
      </c>
      <c r="N1119" t="n">
        <v>0</v>
      </c>
      <c r="O1119" t="n">
        <v>0</v>
      </c>
    </row>
    <row r="1120">
      <c r="A1120" t="inlineStr">
        <is>
          <t>okhttp</t>
        </is>
      </c>
      <c r="B1120" t="inlineStr">
        <is>
          <t>samples/guide/src/main/java/okhttp3/recipes/CustomCipherSuites.java</t>
        </is>
      </c>
      <c r="C1120">
        <f>HYPERLINK("https://github.com/square/okhttp/blob/master/samples/guide/src/main/java/okhttp3/recipes/CustomCipherSuites.java")</f>
        <v/>
      </c>
      <c r="D1120" t="inlineStr">
        <is>
          <t>```plaintext
The code provided is a Java class that extends the OkHttpClient to create a custom SSL context for secure communication over HTTPS using an insecure connection (HTTP). 
It's licensed under Apache License Version 2.0 and can be found at http://www.apache.org/licenses/LICENSE-2.0. The license</t>
        </is>
      </c>
      <c r="E1120" t="n">
        <v>0.0043</v>
      </c>
      <c r="F1120" t="n">
        <v>0.0333</v>
      </c>
      <c r="G1120" t="n">
        <v>0.08699999999999999</v>
      </c>
      <c r="H1120" t="inlineStr">
        <is>
          <t>The provided code is a Java package for OkHttp 3 recipes with imports related to networking and SSL context handling. The copyright information at the top of this file states that it's licensed under Apache License Version 2.0 (also known as the "Apache 2.0"). This license requires you not to use any files except in compliance with the terms of the license which can</t>
        </is>
      </c>
      <c r="I1120" t="n">
        <v>0.0034</v>
      </c>
      <c r="J1120" t="n">
        <v>0.0267</v>
      </c>
      <c r="K1120" t="n">
        <v>0.1103</v>
      </c>
      <c r="L1120" t="inlineStr">
        <is>
          <t>The provided code is a Java implementation of OkHttp's recipes package which provides various utilities for network requests using the OkHttp library. The main purpose of this code seems to be handling SSL connections with custom trust managers and socket factory configurations. 
It uses an Apache License version 2.0 as stated in the comments at the top of the file. This means that it can</t>
        </is>
      </c>
      <c r="M1120" t="n">
        <v>0.0033</v>
      </c>
      <c r="N1120" t="n">
        <v>0.0533</v>
      </c>
      <c r="O1120" t="n">
        <v>0.146</v>
      </c>
    </row>
    <row r="1121">
      <c r="A1121" t="inlineStr">
        <is>
          <t>okhttp</t>
        </is>
      </c>
      <c r="B1121" t="inlineStr">
        <is>
          <t>samples/guide/src/main/java/okhttp3/recipes/CacheResponse.java</t>
        </is>
      </c>
      <c r="C1121">
        <f>HYPERLINK("https://github.com/square/okhttp/blob/master/samples/guide/src/main/java/okhttp3/recipes/CacheResponse.java")</f>
        <v/>
      </c>
      <c r="D1121" t="inlineStr">
        <is>
          <t>The code provided is a Java class named `CacheResponse` that uses OkHttp library to cache HTTP responses for future use. It takes in a file object as the cache directory and an integer specifying the size of the cache (default 10MB). The client can be initialized with this cache using the OkHttpClient. This class provides methods to send requests via OkHttpClient and handle responses</t>
        </is>
      </c>
      <c r="E1121" t="n">
        <v>0.0034</v>
      </c>
      <c r="F1121" t="n">
        <v>0.0556</v>
      </c>
      <c r="G1121" t="n">
        <v>0.1103</v>
      </c>
      <c r="H1121" t="inlineStr">
        <is>
          <t>The code you provided is a Java class that uses OkHttp library to cache HTTP responses for reuse in the future. It creates an instance of `OkHttpClient` with caching enabled and sets up the client to use a specified directory as its cache location. The size of this cache can be set when creating it (currently 10MB). If any exceptions are thrown during these operations</t>
        </is>
      </c>
      <c r="I1121" t="n">
        <v>0.0028</v>
      </c>
      <c r="J1121" t="n">
        <v>0.0274</v>
      </c>
      <c r="K1121" t="n">
        <v>0.1095</v>
      </c>
      <c r="L1121" t="inlineStr">
        <is>
          <t>The provided code is a Java class named `CacheResponse` that uses the OkHttp library to cache HTTP responses for later use.
 The main purpose of this class seems to be caching HTTP response objects using an instance of the OkHttpClient and Cache classes from the OkHttp library in Java. 
 This class takes as input a File object representing the directory where the cached files</t>
        </is>
      </c>
      <c r="M1121" t="n">
        <v>0.0034</v>
      </c>
      <c r="N1121" t="n">
        <v>0.0556</v>
      </c>
      <c r="O1121" t="n">
        <v>0.1103</v>
      </c>
    </row>
    <row r="1122">
      <c r="A1122" t="inlineStr">
        <is>
          <t>okhttp</t>
        </is>
      </c>
      <c r="B1122" t="inlineStr">
        <is>
          <t>samples/guide/src/main/java/okhttp3/recipes/LoggingInterceptors.java</t>
        </is>
      </c>
      <c r="C1122">
        <f>HYPERLINK("https://github.com/square/okhttp/blob/master/samples/guide/src/main/java/okhttp3/recipes/LoggingInterceptors.java")</f>
        <v/>
      </c>
      <c r="D1122" t="inlineStr">
        <is>
          <t>The code provided is a Java class named `LoggingInterceptors` that uses OkHttp library to create an interceptor for logging purposes in HTTP requests and responses. It's licensed under the Apache License 2.0. The purpose of this class seems to be handling network calls with added functionality to log these calls.
It creates an instance of OkHttpClient using its</t>
        </is>
      </c>
      <c r="E1122" t="n">
        <v>0.0037</v>
      </c>
      <c r="F1122" t="n">
        <v>0.0588</v>
      </c>
      <c r="G1122" t="n">
        <v>0.1154</v>
      </c>
      <c r="H1122" t="inlineStr">
        <is>
          <t>The code provided is a Java class named `LoggingInterceptors` that uses the OkHttp library to create an interceptor for logging HTTP requests and responses in Android applications. The logger logs information about each request and response such as URLs, headers, body content, etc., using java's built-in Logger.
The complexity of this code snippet is</t>
        </is>
      </c>
      <c r="I1122" t="n">
        <v>0.0034</v>
      </c>
      <c r="J1122" t="n">
        <v>0.0312</v>
      </c>
      <c r="K1122" t="n">
        <v>0.119</v>
      </c>
      <c r="L1122" t="inlineStr">
        <is>
          <t>The provided code is a Java class named `LoggingInterceptors` that uses OkHttp library to intercept HTTP requests and responses for logging purposes. The main purpose of the class seems to be creating an instance of OkHttp client with custom interceptor added which logs every request made by this client along with its response.
Here's what it does in more detail:</t>
        </is>
      </c>
      <c r="M1122" t="n">
        <v>0.003</v>
      </c>
      <c r="N1122" t="n">
        <v>0.029</v>
      </c>
      <c r="O1122" t="n">
        <v>0.1136</v>
      </c>
    </row>
    <row r="1123">
      <c r="A1123" t="inlineStr">
        <is>
          <t>okhttp</t>
        </is>
      </c>
      <c r="B1123" t="inlineStr">
        <is>
          <t>samples/guide/src/main/java/okhttp3/recipes/PreemptiveAuth.java</t>
        </is>
      </c>
      <c r="C1123">
        <f>HYPERLINK("https://github.com/square/okhttp/blob/master/samples/guide/src/main/java/okhttp3/recipes/PreemptiveAuth.java")</f>
        <v/>
      </c>
      <c r="D1123" t="inlineStr">
        <is>
          <t>The code provided is a Java class named `PreemptiveAuth` that uses OkHttp library to perform preemptive authentication (also known as "bearer token" or "basic auth"). The basic idea of this approach is to send the username and password in every request using HTTP Basic Authentication scheme. This allows for simple user credentials storage on server side without storing sensitive data like tokens directly on</t>
        </is>
      </c>
      <c r="E1123" t="n">
        <v>0.0034</v>
      </c>
      <c r="F1123" t="n">
        <v>0.0556</v>
      </c>
      <c r="G1123" t="n">
        <v>0.1103</v>
      </c>
      <c r="H1123" t="inlineStr">
        <is>
          <t>The provided code is a Java class that uses OkHttp library to perform preemptive authentication with the server using basic auth interceptor. The client sends an HTTP request before it gets any response from the server and this can be used for logging in or authenticating requests.
The function `add` adds two numbers together. It takes two parameters (numbers), performs addition operation on</t>
        </is>
      </c>
      <c r="I1123" t="n">
        <v>0.0029</v>
      </c>
      <c r="J1123" t="n">
        <v>0.0563</v>
      </c>
      <c r="K1123" t="n">
        <v>0.1111</v>
      </c>
      <c r="L1123" t="inlineStr">
        <is>
          <t>The provided source code file is a Java class named `PreemptiveAuth` that uses OkHttp library for making HTTP requests with preemptive authentication (i.e., sending the credentials along before initiating an actual request). The main purpose of this class seems to be creating and configuring an instance of `OkHttpClient` which adds an interceptor responsible for adding basic auth headers into</t>
        </is>
      </c>
      <c r="M1123" t="n">
        <v>0.0031</v>
      </c>
      <c r="N1123" t="n">
        <v>0.0588</v>
      </c>
      <c r="O1123" t="n">
        <v>0.1145</v>
      </c>
    </row>
    <row r="1124">
      <c r="A1124" t="inlineStr">
        <is>
          <t>okhttp</t>
        </is>
      </c>
      <c r="B1124" t="inlineStr">
        <is>
          <t>samples/guide/src/main/java/okhttp3/recipes/ConfigureTimeouts.java</t>
        </is>
      </c>
      <c r="C1124">
        <f>HYPERLINK("https://github.com/square/okhttp/blob/master/samples/guide/src/main/java/okhttp3/recipes/ConfigureTimeouts.java")</f>
        <v/>
      </c>
      <c r="D1124" t="inlineStr">
        <is>
          <t>The provided code is a Java class named `ConfigureTimeouts` that configures timeouts for an OkHttp client instance using the Builder pattern. The timeout values are set to 5 seconds and measured in TimeUnit.SECONDS. This configuration will be applied when making HTTP requests through this client. It's licensed under Apache License Version 2.0.
The main</t>
        </is>
      </c>
      <c r="E1124" t="n">
        <v>0.004</v>
      </c>
      <c r="F1124" t="n">
        <v>0.0308</v>
      </c>
      <c r="G1124" t="n">
        <v>0.119</v>
      </c>
      <c r="H1124" t="inlineStr">
        <is>
          <t>The provided code is a Java class that uses OkHttp library to configure timeouts for an HTTP client instance. The timeout values are set as 5 seconds for both connection and write operations.
Here's the summary of its functionality:
- It creates an instance of OkHttpClient with custom configurations (timeouts), specifically setting the connection timeout to 5 seconds and write timeout</t>
        </is>
      </c>
      <c r="I1124" t="n">
        <v>0.003</v>
      </c>
      <c r="J1124" t="n">
        <v>0.058</v>
      </c>
      <c r="K1124" t="n">
        <v>0.0752</v>
      </c>
      <c r="L1124" t="inlineStr">
        <is>
          <t>The provided code is a Java class named `ConfigureTimeouts` that configures an instance of OkHttp client with custom timeouts for connection and write operations using the OkHttp library. The main purpose of this class is to set up timeout durations in seconds for both connection and writing data to network sockets. If these timeouts are not properly handled, it may lead to potential issues such</t>
        </is>
      </c>
      <c r="M1124" t="n">
        <v>0.0028</v>
      </c>
      <c r="N1124" t="n">
        <v>0.0548</v>
      </c>
      <c r="O1124" t="n">
        <v>0.1095</v>
      </c>
    </row>
    <row r="1125">
      <c r="A1125" t="inlineStr">
        <is>
          <t>okhttp</t>
        </is>
      </c>
      <c r="B1125" t="inlineStr">
        <is>
          <t>samples/guide/src/main/java/okhttp3/recipes/kt/AsynchronousGet.kt</t>
        </is>
      </c>
      <c r="C1125">
        <f>HYPERLINK("https://github.com/square/okhttp/blob/master/samples/guide/src/main/java/okhttp3/recipes/kt/AsynchronousGet.kt")</f>
        <v/>
      </c>
      <c r="D1125" t="inlineStr">
        <is>
          <t>The code is a simple implementation of an asynchronous GET request using OkHttp library in Kotlin language. It sends a HTTP GET request to "http://publicobject.com/helloworld.txt", and it doesn't handle any exceptions or response body content. The client makes the call synchronously (blocking), which means that control will not return until either the network request completes</t>
        </is>
      </c>
      <c r="E1125" t="n">
        <v>0.0033</v>
      </c>
      <c r="F1125" t="n">
        <v>0.0588</v>
      </c>
      <c r="G1125" t="n">
        <v>0.1181</v>
      </c>
      <c r="H1125" t="inlineStr">
        <is>
          <t>The code you provided is a Java class that uses the OkHttp library to make an asynchronous GET request to "http://publicobject.com/helloworld.txt". The response from this request will be handled by the `response` method in the Callback interface.
Here's a summary of what it does:
```plaintext
Class Name: Asynchronous</t>
        </is>
      </c>
      <c r="I1125" t="n">
        <v>0</v>
      </c>
      <c r="J1125" t="n">
        <v>0.0328</v>
      </c>
      <c r="K1125" t="n">
        <v>0.0833</v>
      </c>
      <c r="L1125" t="inlineStr">
        <is>
          <t>The code provided is a simple OkHttp client implementation in Kotlin for an asynchronous GET request to "http://publicobject.com/helloworld.txt". The purpose of the class `AsyncGet` and its function `run` are to create a new HTTP call with the specified URL using the OkHttp client instance (`client`). 
After creating the request</t>
        </is>
      </c>
      <c r="M1125" t="n">
        <v>0.0037</v>
      </c>
      <c r="N1125" t="n">
        <v>0.06560000000000001</v>
      </c>
      <c r="O1125" t="n">
        <v>0.124</v>
      </c>
    </row>
    <row r="1126">
      <c r="A1126" t="inlineStr">
        <is>
          <t>okhttp</t>
        </is>
      </c>
      <c r="B1126" t="inlineStr">
        <is>
          <t>samples/guide/src/main/java/okhttp3/recipes/kt/CertificatePinning.kt</t>
        </is>
      </c>
      <c r="C1126">
        <f>HYPERLINK("https://github.com/square/okhttp/blob/master/samples/guide/src/main/java/okhttp3/recipes/kt/CertificatePinning.kt")</f>
        <v/>
      </c>
      <c r="D1126" t="inlineStr">
        <is>
          <t>The given code is a Kotlin implementation of Certificate Pinning using OkHttp library. It's used to prevent man in the middle attacks by pinning SSL certificates for specific hosts (like "publicobject.com") and comparing them with expected SHA-256 fingerprints. The client uses an instance of `OkHttpClient` configured with a `CertificateP</t>
        </is>
      </c>
      <c r="E1126" t="n">
        <v>0.0037</v>
      </c>
      <c r="F1126" t="n">
        <v>0.0667</v>
      </c>
      <c r="G1126" t="n">
        <v>0.124</v>
      </c>
      <c r="H1126" t="inlineStr">
        <is>
          <t>The provided code is a Kotlin implementation of certificate pinning using OkHttp library in Java. The purpose of this class is to ensure that the connection between client and server uses secure certificates by verifying them against predefined set of public keys (SHA-256 fingerprint).
The function `main` creates an instance of `CertificatePinning` with</t>
        </is>
      </c>
      <c r="I1126" t="n">
        <v>0.0035</v>
      </c>
      <c r="J1126" t="n">
        <v>0.0645</v>
      </c>
      <c r="K1126" t="n">
        <v>0.16</v>
      </c>
      <c r="L1126" t="inlineStr">
        <is>
          <t>The provided code is a Kotlin implementation of certificate pinning using OkHttp library in Java.
The main purpose of this class `CertificatePinning` is to prevent man-in-the-middle attacks by ensuring that the server's SSL certificates match with known hashed values before establishing any connection. 
It does so by building an instance of OkHttp</t>
        </is>
      </c>
      <c r="M1126" t="n">
        <v>0</v>
      </c>
      <c r="N1126" t="n">
        <v>0.0312</v>
      </c>
      <c r="O1126" t="n">
        <v>0.121</v>
      </c>
    </row>
    <row r="1127">
      <c r="A1127" t="inlineStr">
        <is>
          <t>okhttp</t>
        </is>
      </c>
      <c r="B1127" t="inlineStr">
        <is>
          <t>samples/guide/src/main/java/okhttp3/recipes/kt/PostStreaming.kt</t>
        </is>
      </c>
      <c r="C1127">
        <f>HYPERLINK("https://github.com/square/okhttp/blob/master/samples/guide/src/main/java/okhttp3/recipes/kt/PostStreaming.kt")</f>
        <v/>
      </c>
      <c r="D1127" t="inlineStr">
        <is>
          <t>The code provided is a Kotlin class named "PostStreaming". This class uses OkHttp library for networking tasks in Android development. It has one function called `run` which sends an HTTP POST request to the server with some data (which isn't defined here). The body of this post request is created as an anonymous object that extends from RequestBody and overrides its abstract method '</t>
        </is>
      </c>
      <c r="E1127" t="n">
        <v>0.0034</v>
      </c>
      <c r="F1127" t="n">
        <v>0.0833</v>
      </c>
      <c r="G1127" t="n">
        <v>0.1103</v>
      </c>
      <c r="H1127" t="inlineStr">
        <is>
          <t>The code you provided is a Kotlin class named `PostStreaming` that uses OkHttp to send data asynchronously over the network. The function it contains (`run` method), sends an HTTP POST request with a custom RequestBody object.
The RequestBody has been defined in such way that overrides two methods of its base abstract class - `contentLength()`</t>
        </is>
      </c>
      <c r="I1127" t="n">
        <v>0</v>
      </c>
      <c r="J1127" t="n">
        <v>0.0323</v>
      </c>
      <c r="K1127" t="n">
        <v>0.0394</v>
      </c>
      <c r="L1127" t="inlineStr">
        <is>
          <t>The provided code is a Kotlin class that uses the OkHttp library to send an HTTP POST request with streaming content. The main purpose of this class seems to be to upload large amounts of data without storing it all in memory at once. 
It takes no inputs and has one output (a Request object). It creates a new instance of `Request` which specifies the URL for</t>
        </is>
      </c>
      <c r="M1127" t="n">
        <v>0.0027</v>
      </c>
      <c r="N1127" t="n">
        <v>0.0533</v>
      </c>
      <c r="O1127" t="n">
        <v>0.1079</v>
      </c>
    </row>
    <row r="1128">
      <c r="A1128" t="inlineStr">
        <is>
          <t>okhttp</t>
        </is>
      </c>
      <c r="B1128" t="inlineStr">
        <is>
          <t>samples/guide/src/main/java/okhttp3/recipes/kt/PostFile.kt</t>
        </is>
      </c>
      <c r="C1128">
        <f>HYPERLINK("https://github.com/square/okhttp/blob/master/samples/guide/src/main/java/okhttp3/recipes/kt/PostFile.kt")</f>
        <v/>
      </c>
      <c r="D1128" t="inlineStr">
        <is>
          <t>The provided code is a Kotlin class named `PostFile` that uses OkHttp to send a file (named "README.md") as part of an HTTP POST request. The functionality of the code includes making a network call using OkHttp's client and sending a file in the body of this request. 
It has O(N) complexity due to</t>
        </is>
      </c>
      <c r="E1128" t="n">
        <v>0.004</v>
      </c>
      <c r="F1128" t="n">
        <v>0.0615</v>
      </c>
      <c r="G1128" t="n">
        <v>0.119</v>
      </c>
      <c r="H1128" t="inlineStr">
        <is>
          <t>The code you provided is a Kotlin class named "PostFile". This class has one function called `run` which posts the content of a file ("README.md") to an HTTP server using OkHttp library. The client sends a POST request with the contents of the specified file as its body.
Here's a summary of what this does:
```k</t>
        </is>
      </c>
      <c r="I1128" t="n">
        <v>0.0033</v>
      </c>
      <c r="J1128" t="n">
        <v>0.0606</v>
      </c>
      <c r="K1128" t="n">
        <v>0.0781</v>
      </c>
      <c r="L1128" t="inlineStr">
        <is>
          <t>The code provided is a Kotlin class named `PostFile` that uses the OkHttp library to send an HTTP POST request with a file attached as its body content. The purpose of this class seems to be for uploading files or documents related to documentation such as README files (Markdown).
Here's what it does in detail:
1. It defines a</t>
        </is>
      </c>
      <c r="M1128" t="n">
        <v>0</v>
      </c>
      <c r="N1128" t="n">
        <v>0.0294</v>
      </c>
      <c r="O1128" t="n">
        <v>0.07630000000000001</v>
      </c>
    </row>
    <row r="1129">
      <c r="A1129" t="inlineStr">
        <is>
          <t>okhttp</t>
        </is>
      </c>
      <c r="B1129" t="inlineStr">
        <is>
          <t>samples/guide/src/main/java/okhttp3/recipes/kt/AccessHeaders.kt</t>
        </is>
      </c>
      <c r="C1129">
        <f>HYPERLINK("https://github.com/square/okhttp/blob/master/samples/guide/src/main/java/okhttp3/recipes/kt/AccessHeaders.kt")</f>
        <v/>
      </c>
      <c r="D1129" t="inlineStr">
        <is>
          <t>ThegivenJava code is a class named "AccessHeaders". This class has one private member variable of type OkHttpClient and it's initialized in the constructor. The run method makes an HTTP GET request to 'https://api.github.com/repos/square/okhttp/issues', with headers set as per requirements such as User-Agent and Accept. It uses okhttp</t>
        </is>
      </c>
      <c r="E1129" t="n">
        <v>0.0046</v>
      </c>
      <c r="F1129" t="n">
        <v>0.0625</v>
      </c>
      <c r="G1129" t="n">
        <v>0.1261</v>
      </c>
      <c r="H1129" t="inlineStr">
        <is>
          <t>The provided code is a Java class named `AccessHeaders` that uses the OkHttp library to send an HTTP request and add headers to it. The function `run` sends a GET request to "https://api.github.com/repos/square/okhttp/issues", with two custom headers ("User-Agent":"OkHttpHeaders.java") and ("Accept","application/json</t>
        </is>
      </c>
      <c r="I1129" t="n">
        <v>0.0046</v>
      </c>
      <c r="J1129" t="n">
        <v>0.0667</v>
      </c>
      <c r="K1129" t="n">
        <v>0.0893</v>
      </c>
      <c r="L1129" t="inlineStr">
        <is>
          <t>The code provided is a Kotlin class named `AccessHeaders` that uses the OkHttp library to make HTTP requests. It has one method called `run` which sets up and executes an HTTP request using OkHttp's `Request.Builder` API. The purpose of this class seems to be to interact with GitHub's issue tracker for the Square project (identified by</t>
        </is>
      </c>
      <c r="M1129" t="n">
        <v>0.0033</v>
      </c>
      <c r="N1129" t="n">
        <v>0.0299</v>
      </c>
      <c r="O1129" t="n">
        <v>0.1172</v>
      </c>
    </row>
    <row r="1130">
      <c r="A1130" t="inlineStr">
        <is>
          <t>okhttp</t>
        </is>
      </c>
      <c r="B1130" t="inlineStr">
        <is>
          <t>samples/guide/src/main/java/okhttp3/recipes/kt/UploadProgress.kt</t>
        </is>
      </c>
      <c r="C1130">
        <f>HYPERLINK("https://github.com/square/okhttp/blob/master/samples/guide/src/main/java/okhttp3/recipes/kt/UploadProgress.kt")</f>
        <v/>
      </c>
      <c r="D1130" t="inlineStr">
        <is>
          <t>The code provided is a Kotlin script for uploading files using OkHttp library in Android development. It defines an extension function `uploadProgress` on the RequestBody class to track progress of file uploads. The license at the top indicates that this software can be used under Apache License 2.0 conditions.
Please note that without seeing the actual implementation or context it's</t>
        </is>
      </c>
      <c r="E1130" t="n">
        <v>0.003</v>
      </c>
      <c r="F1130" t="n">
        <v>0.0857</v>
      </c>
      <c r="G1130" t="n">
        <v>0.2391</v>
      </c>
      <c r="H1130" t="inlineStr">
        <is>
          <t>The provided code is a Java package named "okhttp3.recipes". It contains several components related to OkHTTP networking library in Kotlin language. The main component here seems to be the class `UploadProgress` which has a companion object with private constant 'companion'.
The function within this class may implement an upload progress listener for files using OkHTTP's multip</t>
        </is>
      </c>
      <c r="I1130" t="n">
        <v>0</v>
      </c>
      <c r="J1130" t="n">
        <v>0.0606</v>
      </c>
      <c r="K1130" t="n">
        <v>0.1172</v>
      </c>
      <c r="L1130" t="inlineStr">
        <is>
          <t>The provided code is a Kotlin implementation of an HTTP upload progress listener using OkHttp library. The main purpose of the code seems to be handling file upload with progress tracking and reporting back any errors that occur during this process.
Here's what it does in steps:
1. It creates a custom `RequestBody` class called `UploadProgressRequestBody` which wrap</t>
        </is>
      </c>
      <c r="M1130" t="n">
        <v>0.0031</v>
      </c>
      <c r="N1130" t="n">
        <v>0.0597</v>
      </c>
      <c r="O1130" t="n">
        <v>0.1538</v>
      </c>
    </row>
    <row r="1131">
      <c r="A1131" t="inlineStr">
        <is>
          <t>okhttp</t>
        </is>
      </c>
      <c r="B1131" t="inlineStr">
        <is>
          <t>samples/guide/src/main/java/okhttp3/recipes/kt/ConfigureTimeouts.kt</t>
        </is>
      </c>
      <c r="C1131">
        <f>HYPERLINK("https://github.com/square/okhttp/blob/master/samples/guide/src/main/java/okhttp3/recipes/kt/ConfigureTimeouts.kt")</f>
        <v/>
      </c>
      <c r="D1131" t="inlineStr">
        <is>
          <t>The provided code is a Kotlin class named ConfigureTimeouts that configures the timeouts for an OkHttp client instance with various settings such as connection timeout, write timeout, read timeout and call timeout. The configured client can be used to execute HTTP requests using OkHttp library in Java applications. This configuration helps prevent potential issues like network hiccups or server overload by setting reasonable</t>
        </is>
      </c>
      <c r="E1131" t="n">
        <v>0.0034</v>
      </c>
      <c r="F1131" t="n">
        <v>0.0282</v>
      </c>
      <c r="G1131" t="n">
        <v>0.1111</v>
      </c>
      <c r="H1131" t="inlineStr">
        <is>
          <t>The provided code is a Java implementation of the OkHttp library for making HTTP requests in Android applications. The function `configureTimeouts` sets various timeout values for an instance of `OkHttpClient`. This client can be used to make network calls with timeouts set on connection (connect), write and read operations respectively. If any operation exceeds these specified times, it will throw an exception indicating that</t>
        </is>
      </c>
      <c r="I1131" t="n">
        <v>0.0034</v>
      </c>
      <c r="J1131" t="n">
        <v>0.0833</v>
      </c>
      <c r="K1131" t="n">
        <v>0.1471</v>
      </c>
      <c r="L1131" t="inlineStr">
        <is>
          <t>ThegivenJava/KotlinsourcecodeconfiguresaOkHttpClientinstancewithvarioustimeoutsettingsfordifferenttypesoffiletransfersthatrunindependentlyfromtheprimaryapplicationthread.Itusesfivesecondswithasecondmarginforeachoperationwhichmakesitresilientagainstnetworkissues. TheconfigureddataisusedtomakerequeststootherserversusingHTTPprotocol.</t>
        </is>
      </c>
      <c r="M1131" t="n">
        <v>0</v>
      </c>
      <c r="N1131" t="n">
        <v>0</v>
      </c>
      <c r="O1131" t="n">
        <v>0</v>
      </c>
    </row>
    <row r="1132">
      <c r="A1132" t="inlineStr">
        <is>
          <t>okhttp</t>
        </is>
      </c>
      <c r="B1132" t="inlineStr">
        <is>
          <t>samples/guide/src/main/java/okhttp3/recipes/kt/YubikeyClientAuth.kt</t>
        </is>
      </c>
      <c r="C1132">
        <f>HYPERLINK("https://github.com/square/okhttp/blob/master/samples/guide/src/main/java/okhttp3/recipes/kt/YubikeyClientAuth.kt")</f>
        <v/>
      </c>
      <c r="D1132" t="inlineStr">
        <is>
          <t>```kotlin
// Copyright (C) 2020 Square, Inc. Licensed under the Apache License, Version 2.0 (the "License"); you may not use this file except in compliance with the License. You may obtain a copy of the License at http://www.apache.org/licenses/LICENSE-2.0 Unless required</t>
        </is>
      </c>
      <c r="E1132" t="n">
        <v>0</v>
      </c>
      <c r="F1132" t="n">
        <v>0.0364</v>
      </c>
      <c r="G1132" t="n">
        <v>0.0893</v>
      </c>
      <c r="H1132" t="inlineStr">
        <is>
          <t>The code you provided is a simple function for addition of two numbers in Python named add(). It takes two arguments (numbers), adds them together and returns the result. The time complexity of this operation is O(1). 
Here's your summary:
```python
# Copyright (C) 2020 Square, Inc. Licensed under the Apache License,</t>
        </is>
      </c>
      <c r="I1132" t="n">
        <v>0.0035</v>
      </c>
      <c r="J1132" t="n">
        <v>0.06560000000000001</v>
      </c>
      <c r="K1132" t="n">
        <v>0.121</v>
      </c>
      <c r="L1132" t="inlineStr">
        <is>
          <t>The provided code is a Java implementation of an HTTP client using OkHttp library. The main purpose of this code seems to be creating and configuring the SSL context for HTTPS connections. 
It reads from a KeyStore file containing trusted certificates (`keystoreFile`), uses `truststorePassword` as password for accessing it, creates a TrustManager that trusts</t>
        </is>
      </c>
      <c r="M1132" t="n">
        <v>0.0034</v>
      </c>
      <c r="N1132" t="n">
        <v>0.0645</v>
      </c>
      <c r="O1132" t="n">
        <v>0.1587</v>
      </c>
    </row>
    <row r="1133">
      <c r="A1133" t="inlineStr">
        <is>
          <t>okhttp</t>
        </is>
      </c>
      <c r="B1133" t="inlineStr">
        <is>
          <t>samples/guide/src/main/java/okhttp3/recipes/kt/CacheResponse.kt</t>
        </is>
      </c>
      <c r="C1133">
        <f>HYPERLINK("https://github.com/square/okhttp/blob/master/samples/guide/src/main/java/okhttp3/recipes/kt/CacheResponse.kt")</f>
        <v/>
      </c>
      <c r="D1133" t="inlineStr">
        <is>
          <t>The code provided is a Kotlin class named CacheResponse that uses OkHttp for HTTP requests and caching. The cache directory it's using to store the responses of its client is passed as an argument in the constructor. It has been licensed under Apache 2.0 license which means you can use this file except in compliance with the License. You may obtain a copy of the License at</t>
        </is>
      </c>
      <c r="E1133" t="n">
        <v>0.0027</v>
      </c>
      <c r="F1133" t="n">
        <v>0.026</v>
      </c>
      <c r="G1133" t="n">
        <v>0.1079</v>
      </c>
      <c r="H1133" t="inlineStr">
        <is>
          <t>The provided code is a Kotlin implementation of an HTTP client using OkHTTP that caches responses in a specified directory for later use. The cache size limit is set to 1 MiB (10MB). This means the client will store up to 10 MB worth of response data in memory and disk storage. If more requests are made with URLs already cached, they can be</t>
        </is>
      </c>
      <c r="I1133" t="n">
        <v>0.0034</v>
      </c>
      <c r="J1133" t="n">
        <v>0.0556</v>
      </c>
      <c r="K1133" t="n">
        <v>0.1471</v>
      </c>
      <c r="L1133" t="inlineStr">
        <is>
          <t>The provided code is a Kotlin implementation of an HTTP client using OkHTTP library with caching capabilities. The main purpose of this class seems to be to create and manage the cache for storing responses from server requests in order to avoid redundant network calls. 
 It takes as input a File object representing the directory where it will store its cached data. When creating an instance of Cache</t>
        </is>
      </c>
      <c r="M1133" t="n">
        <v>0.0027</v>
      </c>
      <c r="N1133" t="n">
        <v>0.0526</v>
      </c>
      <c r="O1133" t="n">
        <v>0.1429</v>
      </c>
    </row>
    <row r="1134">
      <c r="A1134" t="inlineStr">
        <is>
          <t>okhttp</t>
        </is>
      </c>
      <c r="B1134" t="inlineStr">
        <is>
          <t>samples/guide/src/main/java/okhttp3/recipes/kt/PostString.kt</t>
        </is>
      </c>
      <c r="C1134">
        <f>HYPERLINK("https://github.com/square/okhttp/blob/master/samples/guide/src/main/java/okhttp3/recipes/kt/PostString.kt")</f>
        <v/>
      </c>
      <c r="D1134" t="inlineStr">
        <is>
          <t>The code is a Kotlin class named PostString that uses OkHttp to send an HTTP POST request with a string body. The client sends the post request using the run function and includes a JSON formatted string as its body content. It's licensed under Apache 2.0 license which means it can be used freely but must adhere to certain conditions like including copyright notice etc. Please note</t>
        </is>
      </c>
      <c r="E1134" t="n">
        <v>0.0027</v>
      </c>
      <c r="F1134" t="n">
        <v>0.0519</v>
      </c>
      <c r="G1134" t="n">
        <v>0.1349</v>
      </c>
      <c r="H1134" t="inlineStr">
        <is>
          <t>```plaintextCopy code
# This repository contains backend software components.
# Implementation of core algorithms.
# Initial code base commit. Code size 1000 lines.
# Complexity O(N). Comments: Implementation of core algorithms. Commits: Initial code base commit. Code Size: 1000. Summary: ###
```</t>
        </is>
      </c>
      <c r="I1134" t="n">
        <v>0.0058</v>
      </c>
      <c r="J1134" t="n">
        <v>0.1778</v>
      </c>
      <c r="K1134" t="n">
        <v>0.1754</v>
      </c>
      <c r="L1134" t="inlineStr">
        <is>
          <t>""".trimMargin().toRequestBody("text/plain; charset=utf-8".toMediaType())try{valrequest = Request.Builder().url("https://api.github.com/some_path").post(postBody).build()valresponse = client.newCall(request).execute()if(response.isSuccessful){println(response.body?.</t>
        </is>
      </c>
      <c r="M1134" t="n">
        <v>0</v>
      </c>
      <c r="N1134" t="n">
        <v>0</v>
      </c>
      <c r="O1134" t="n">
        <v>0</v>
      </c>
    </row>
    <row r="1135">
      <c r="A1135" t="inlineStr">
        <is>
          <t>okhttp</t>
        </is>
      </c>
      <c r="B1135" t="inlineStr">
        <is>
          <t>samples/guide/src/main/java/okhttp3/recipes/kt/CancelCall.kt</t>
        </is>
      </c>
      <c r="C1135">
        <f>HYPERLINK("https://github.com/square/okhttp/blob/master/samples/guide/src/main/java/okhttp3/recipes/kt/CancelCall.kt")</f>
        <v/>
      </c>
      <c r="D1135" t="inlineStr">
        <is>
          <t>ThegivencodeusesOKHTTPlibrarytorequestdatafromaURLusingasynchronousapproach.Itschedulesafuturetaskintoschedulerpoolthatwillexecuteindeferredtime.Ifneedbe,cancelationcanberequestedviaobject'sCancelmethod.
```kotlin
class CancelCall {
    private val executor = Executors.</t>
        </is>
      </c>
      <c r="E1135" t="n">
        <v>0</v>
      </c>
      <c r="F1135" t="n">
        <v>0</v>
      </c>
      <c r="G1135" t="n">
        <v>0</v>
      </c>
      <c r="H1135" t="inlineStr">
        <is>
          <t>The code you provided is a Java class that uses OkHTTP to make an HTTP request to "http://httpbin.org/README". It's designed to run in the background using Kotlin coroutines and scheduled executor service. The complexity of this function is O(1), as it performs only one operation (making an HTTP request). However, please note that the actual</t>
        </is>
      </c>
      <c r="I1135" t="n">
        <v>0.0033</v>
      </c>
      <c r="J1135" t="n">
        <v>0.0588</v>
      </c>
      <c r="K1135" t="n">
        <v>0.1181</v>
      </c>
      <c r="L1135" t="inlineStr">
        <is>
          <t>The provided code is a Kotlin implementation of OkHTTP client that sends an HTTP request to "http://httpbin.org". It uses the scheduled executor service for running tasks periodically or after a certain delay. The main purpose of this code seems to be making periodic requests (every second in this case). If there are any issues with these requests, it will automatically retry them until</t>
        </is>
      </c>
      <c r="M1135" t="n">
        <v>0</v>
      </c>
      <c r="N1135" t="n">
        <v>0.0274</v>
      </c>
      <c r="O1135" t="n">
        <v>0.1111</v>
      </c>
    </row>
    <row r="1136">
      <c r="A1136" t="inlineStr">
        <is>
          <t>okhttp</t>
        </is>
      </c>
      <c r="B1136" t="inlineStr">
        <is>
          <t>samples/guide/src/main/java/okhttp3/recipes/kt/PostForm.kt</t>
        </is>
      </c>
      <c r="C1136">
        <f>HYPERLINK("https://github.com/square/okhttp/blob/master/samples/guide/src/main/java/okhttp3/recipes/kt/PostForm.kt")</f>
        <v/>
      </c>
      <c r="D1136" t="inlineStr">
        <is>
          <t>The code provided is a simple example of how to use OkHttp library in Kotlin for making HTTP POST requests with form data. The function `run` sends an HTTP request to the specified URL containing "JurassicPark" as search parameter using FormBody and Request classes from okhttp3 package. It uses OkHttpClient instance for network communication.
Please note that</t>
        </is>
      </c>
      <c r="E1136" t="n">
        <v>0.0032</v>
      </c>
      <c r="F1136" t="n">
        <v>0.0615</v>
      </c>
      <c r="G1136" t="n">
        <v>0.0775</v>
      </c>
      <c r="H1136" t="inlineStr">
        <is>
          <t>The provided code is a Java class named PostForm that uses the OkHttp library to send an HTTP POST request with form data containing "search" key and value as "JurassicPark". The client sends this request by calling run method of this class.
The HttpUrl object represents the URL for which you want to make a request (which in this case is "https</t>
        </is>
      </c>
      <c r="I1136" t="n">
        <v>0.0029</v>
      </c>
      <c r="J1136" t="n">
        <v>0.0286</v>
      </c>
      <c r="K1136" t="n">
        <v>0.1119</v>
      </c>
      <c r="L1136" t="inlineStr">
        <is>
          <t>The given code is a Kotlin implementation of an HTTP POST request to search for "JurassicPark". The purpose of the class `PostForm` is to encapsulate this functionality and make it reusable in different parts of the application.
The main behavior of the function `run` can be described as follows: 
It creates a new instance</t>
        </is>
      </c>
      <c r="M1136" t="n">
        <v>0.0072</v>
      </c>
      <c r="N1136" t="n">
        <v>0.0968</v>
      </c>
      <c r="O1136" t="n">
        <v>0.2505</v>
      </c>
    </row>
    <row r="1137">
      <c r="A1137" t="inlineStr">
        <is>
          <t>okhttp</t>
        </is>
      </c>
      <c r="B1137" t="inlineStr">
        <is>
          <t>samples/guide/src/main/java/okhttp3/recipes/kt/CustomTrust.kt</t>
        </is>
      </c>
      <c r="C1137">
        <f>HYPERLINK("https://github.com/square/okhttp/blob/master/samples/guide/src/main/java/okhttp3/recipes/kt/CustomTrust.kt")</f>
        <v/>
      </c>
      <c r="D1137" t="inlineStr">
        <is>
          <t>```kotlin
// Copyright (C) 2015 Square, Inc. Licensed under the Apache License, Version 2.0 (the "License"); you may not use this file except in compliance with the License. You can obtain a copy of the License at http://www.apache.org/licenses/LICENSE-2.0 Unless required</t>
        </is>
      </c>
      <c r="E1137" t="n">
        <v>0</v>
      </c>
      <c r="F1137" t="n">
        <v>0.0364</v>
      </c>
      <c r="G1137" t="n">
        <v>0.0893</v>
      </c>
      <c r="H1137" t="inlineStr">
        <is>
          <t>```kotlin
    /**
     * Copyright (C) 2015 Square, Inc.
     * Licensed under the Apache License, Version 2.0 (the "License");
     * you may not use this file except in compliance with the License.
     * You may obtain a copy of the License at
     * http://www</t>
        </is>
      </c>
      <c r="I1137" t="n">
        <v>0</v>
      </c>
      <c r="J1137" t="n">
        <v>0.0426</v>
      </c>
      <c r="K1137" t="n">
        <v>0.08699999999999999</v>
      </c>
      <c r="L1137" t="inlineStr">
        <is>
          <t>The provided code is a Kotlin implementation of OkHTTP client that uses custom trust for SSL certificate verification. It sets up an HTTP request with the specified URL and performs a GET request using this configured client. If there are any issues during the process (like network errors or invalid certificates), it handles these exceptions gracefully by printing out error messages to console. 
 This</t>
        </is>
      </c>
      <c r="M1137" t="n">
        <v>0.0034</v>
      </c>
      <c r="N1137" t="n">
        <v>0.0556</v>
      </c>
      <c r="O1137" t="n">
        <v>0.1471</v>
      </c>
    </row>
    <row r="1138">
      <c r="A1138" t="inlineStr">
        <is>
          <t>okhttp</t>
        </is>
      </c>
      <c r="B1138" t="inlineStr">
        <is>
          <t>samples/guide/src/main/java/okhttp3/recipes/kt/PostMultipart.kt</t>
        </is>
      </c>
      <c r="C1138">
        <f>HYPERLINK("https://github.com/square/okhttp/blob/master/samples/guide/src/main/java/okhttp3/recipes/kt/PostMultipart.kt")</f>
        <v/>
      </c>
      <c r="D1138" t="inlineStr">
        <is>
          <t>ThegivencodeusestheOkHttplibrarytoundloadimagesfromawebserverusingtheirAPIs.ItutilizesHTTPmultipartrequestsforpostingdatawhichincludesmetadataaboutfilesubmittedsuchastheirMIMEtype. TheimageloadingprocesshasacomplexityofO(n). Italsoensuresthatanyexceptionthrownwhileprocessingwillbehandledgracefully</t>
        </is>
      </c>
      <c r="E1138" t="n">
        <v>0</v>
      </c>
      <c r="F1138" t="n">
        <v>0</v>
      </c>
      <c r="G1138" t="n">
        <v>0</v>
      </c>
      <c r="H1138" t="inlineStr">
        <is>
          <t>The code you provided is a Kotlin function for multipart uploads using OkHTTP library. It uses the imgur image upload API as its documentation. The complexity of this operation can be considered O(n), where n represents the number of parts being uploaded in one request. This could vary depending on the size and count of files to be uploaded.
Please note that without seeing</t>
        </is>
      </c>
      <c r="I1138" t="n">
        <v>0.0034</v>
      </c>
      <c r="J1138" t="n">
        <v>0.0548</v>
      </c>
      <c r="K1138" t="n">
        <v>0.1103</v>
      </c>
      <c r="L1138" t="inlineStr">
        <is>
          <t>The provided code is for a function named `run` in Kotlin that uses the Imgur image upload API to post multipart data. The purpose of this function appears to be to use OkHttp library's MultipartBody class and send an HTTP request with the client configured by OkHttpClient(). 
The input could potentially include various types of files such as images or</t>
        </is>
      </c>
      <c r="M1138" t="n">
        <v>0.003</v>
      </c>
      <c r="N1138" t="n">
        <v>0.08699999999999999</v>
      </c>
      <c r="O1138" t="n">
        <v>0.1136</v>
      </c>
    </row>
    <row r="1139">
      <c r="A1139" t="inlineStr">
        <is>
          <t>okhttp</t>
        </is>
      </c>
      <c r="B1139" t="inlineStr">
        <is>
          <t>samples/guide/src/main/java/okhttp3/recipes/kt/DevServer.kt</t>
        </is>
      </c>
      <c r="C1139">
        <f>HYPERLINK("https://github.com/square/okhttp/blob/master/samples/guide/src/main/java/okhttp3/recipes/kt/DevServer.kt")</f>
        <v/>
      </c>
      <c r="D1139" t="inlineStr">
        <is>
          <t>Thegivencodeisforademockwebserverserverthatusesokhttpclienttomaketestsagainst.Itutilizesfeatureslikeredirectsandcertificatevalidationwhichcanbeconfiguredbasedongivenrequirements.ThecodealsoincludesthreevariableshandshakeCertificates,serveREADMEandvaluesfromaLocalhostSSLcontext.
# Code Explanation</t>
        </is>
      </c>
      <c r="E1139" t="n">
        <v>0</v>
      </c>
      <c r="F1139" t="n">
        <v>0</v>
      </c>
      <c r="G1139" t="n">
        <v>0</v>
      </c>
      <c r="H1139" t="inlineStr">
        <is>
          <t>The provided code is a Java class named DevServer that uses OkHttp for networking and mocking server responses. The handshake certificates are set to localhost's TLS utilities. It serves as the backend component of software systems.
The main function or method in this class seems not present in your initial question but it appears to be setting up an HTTP connection with a given</t>
        </is>
      </c>
      <c r="I1139" t="n">
        <v>0.0034</v>
      </c>
      <c r="J1139" t="n">
        <v>0.0548</v>
      </c>
      <c r="K1139" t="n">
        <v>0.1471</v>
      </c>
      <c r="L1139" t="inlineStr">
        <is>
          <t>The provided code is a Kotlin class named `DevServer` which serves as an HTTP server for development purposes using OkHttp library. The main purpose of this class seems to be setting up and running the mock web server with SSL enabled. 
However, without seeing the actual implementation details it's hard to provide more specific information about what each part does exactly. This includes setting</t>
        </is>
      </c>
      <c r="M1139" t="n">
        <v>0.0034</v>
      </c>
      <c r="N1139" t="n">
        <v>0.0548</v>
      </c>
      <c r="O1139" t="n">
        <v>0.1471</v>
      </c>
    </row>
    <row r="1140">
      <c r="A1140" t="inlineStr">
        <is>
          <t>okhttp</t>
        </is>
      </c>
      <c r="B1140" t="inlineStr">
        <is>
          <t>samples/guide/src/main/java/okhttp3/recipes/kt/PerCallSettings.kt</t>
        </is>
      </c>
      <c r="C1140">
        <f>HYPERLINK("https://github.com/square/okhttp/blob/master/samples/guide/src/main/java/okhttp3/recipes/kt/PerCallSettings.kt")</f>
        <v/>
      </c>
      <c r="D1140" t="inlineStr">
        <is>
          <t>ThegivenJavaScriptcodeisforcallinganAPIthatdelaysresponsesbynumberofsecondsasconfiguredintheURLusingOKHTTPlibrary.ItusesaninstanceofOkHttpClientwhichhasbeensettoperformnetworkoperations.Thetimeoutsessionwillbeclosedafteroneunitofdurationi.e.,Seconds.
```
Please provide a concise,</t>
        </is>
      </c>
      <c r="E1140" t="n">
        <v>0</v>
      </c>
      <c r="F1140" t="n">
        <v>0</v>
      </c>
      <c r="G1140" t="n">
        <v>0</v>
      </c>
      <c r="H1140" t="inlineStr">
        <is>
          <t>The provided code is a Kotlin function named `run` that uses OkHttp library to make an HTTP request to "http://httpbin.org/delay/1". This URL serves with a 1 second delay in response time for testing purposes. The client makes the request and waits until it gets a successful response or throws an IOException if there's any network error during execution.</t>
        </is>
      </c>
      <c r="I1140" t="n">
        <v>0.0037</v>
      </c>
      <c r="J1140" t="n">
        <v>0.0563</v>
      </c>
      <c r="K1140" t="n">
        <v>0.1154</v>
      </c>
      <c r="L1140" t="inlineStr">
        <is>
          <t>The provided code is a Kotlin implementation of OkHTTP client which sends HTTP requests to "http://httpbin.org/delay/1". This URL returns a response after 1 second delay due to the query parameter in the request URL. The purpose of this code is to demonstrate how an asynchronous call can be made using OkHTTP library and showcase its usage with a simple example.</t>
        </is>
      </c>
      <c r="M1140" t="n">
        <v>0.0036</v>
      </c>
      <c r="N1140" t="n">
        <v>0.0556</v>
      </c>
      <c r="O1140" t="n">
        <v>0.1515</v>
      </c>
    </row>
    <row r="1141">
      <c r="A1141" t="inlineStr">
        <is>
          <t>okhttp</t>
        </is>
      </c>
      <c r="B1141" t="inlineStr">
        <is>
          <t>samples/guide/src/main/java/okhttp3/recipes/kt/ParseResponseWithMoshi.kt</t>
        </is>
      </c>
      <c r="C1141">
        <f>HYPERLINK("https://github.com/square/okhttp/blob/master/samples/guide/src/main/java/okhttp3/recipes/kt/ParseResponseWithMoshi.kt")</f>
        <v/>
      </c>
      <c r="D1141" t="inlineStr">
        <is>
          <t>The provided code is a Kotlin class that uses OkHttp to make HTTP requests and Moshi for JSON parsing. The purpose of this class seems to be to parse Github's API responses into custom data classes using Moshi's JsonAdapters. 
It does so by creating an instance of OkHttpClient which is used to send the request,</t>
        </is>
      </c>
      <c r="E1141" t="n">
        <v>0.0033</v>
      </c>
      <c r="F1141" t="n">
        <v>0.0308</v>
      </c>
      <c r="G1141" t="n">
        <v>0.1181</v>
      </c>
      <c r="H1141" t="inlineStr">
        <is>
          <t>The code provided is a simple addition function in Kotlin named `add` which takes two parameters and returns their sum. The complexity of this operation is O(1), meaning it always executes the same number of steps regardless of input size.
```kotlin
fun add(a: Int, b: Int): Int {
    return a + b
}
```</t>
        </is>
      </c>
      <c r="I1141" t="n">
        <v>0.0034</v>
      </c>
      <c r="J1141" t="n">
        <v>0.0667</v>
      </c>
      <c r="K1141" t="n">
        <v>0.119</v>
      </c>
      <c r="L1141" t="inlineStr">
        <is>
          <t>The given code is a Kotlin class named `ParseResponseWithMoshi` that uses OkHttp for making HTTP requests and Moshi as the JSON parser to parse responses from Github's API into Java objects (specifically of type `Gist`). The main purpose of this class seems to be to execute an HTTP request using OkHttp client with specific parameters, then use Mos</t>
        </is>
      </c>
      <c r="M1141" t="n">
        <v>0.0031</v>
      </c>
      <c r="N1141" t="n">
        <v>0.0299</v>
      </c>
      <c r="O1141" t="n">
        <v>0.1154</v>
      </c>
    </row>
    <row r="1142">
      <c r="A1142" t="inlineStr">
        <is>
          <t>okhttp</t>
        </is>
      </c>
      <c r="B1142" t="inlineStr">
        <is>
          <t>samples/guide/src/main/java/okhttp3/recipes/kt/WiresharkExample.kt</t>
        </is>
      </c>
      <c r="C1142">
        <f>HYPERLINK("https://github.com/square/okhttp/blob/master/samples/guide/src/main/java/okhttp3/recipes/kt/WiresharkExample.kt")</f>
        <v/>
      </c>
      <c r="D1142" t="inlineStr">
        <is>
          <t>The code you provided is a license header for an Apache 2.0 licensed software component named "OkHttp". It specifies the terms of use and distribution conditions. The file contains comments about its implementation details which are not visible in this snippet but indicate that it's likely to be complex due to its size (1000 lines).
Here's a concise</t>
        </is>
      </c>
      <c r="E1142" t="n">
        <v>0.0037</v>
      </c>
      <c r="F1142" t="n">
        <v>0.058</v>
      </c>
      <c r="G1142" t="n">
        <v>0.2862</v>
      </c>
      <c r="H1142" t="inlineStr">
        <is>
          <t>The code you provided is a simple addition function in Python named `add` that takes two arguments and returns their sum. The time complexity of this operation is O(1), meaning it always executes the same number of steps regardless of input size.
Here's your summary for reference: 
```plaintext
Function Name: add
Input Parameters: a, b</t>
        </is>
      </c>
      <c r="I1142" t="n">
        <v>0.0033</v>
      </c>
      <c r="J1142" t="n">
        <v>0.0615</v>
      </c>
      <c r="K1142" t="n">
        <v>0.1181</v>
      </c>
      <c r="L1142" t="inlineStr">
        <is>
          <t>The code provided is for OkHttp's recipes in Kotlin and it includes various functionalities such as file handling, IO operations, logging, SSL socket connections, cryptography, etc. It also uses the OKHTTP library to handle HTTP requests which are secure, efficient, reliable, simple to use, and more. The main purpose of this code seems to be managing HTTPS traffic with</t>
        </is>
      </c>
      <c r="M1142" t="n">
        <v>0.0031</v>
      </c>
      <c r="N1142" t="n">
        <v>0.0588</v>
      </c>
      <c r="O1142" t="n">
        <v>0.1145</v>
      </c>
    </row>
    <row r="1143">
      <c r="A1143" t="inlineStr">
        <is>
          <t>okhttp</t>
        </is>
      </c>
      <c r="B1143" t="inlineStr">
        <is>
          <t>samples/guide/src/main/java/okhttp3/recipes/kt/Authenticate.kt</t>
        </is>
      </c>
      <c r="C1143">
        <f>HYPERLINK("https://github.com/square/okhttp/blob/master/samples/guide/src/main/java/okhttp3/recipes/kt/Authenticate.kt")</f>
        <v/>
      </c>
      <c r="D1143" t="inlineStr">
        <is>
          <t>```kotlin
// This repository contains backend software components written in Kotlin programming language. 
// The complexity of the code is O(n), which means that it has a linear time complexity due to its sequential nature and lack of recursion or other complex data structures.
// There are no comments explaining individual lines of codes as they follow standard naming convent</t>
        </is>
      </c>
      <c r="E1143" t="n">
        <v>0.004</v>
      </c>
      <c r="F1143" t="n">
        <v>0.09089999999999999</v>
      </c>
      <c r="G1143" t="n">
        <v>0.1136</v>
      </c>
      <c r="H1143" t="inlineStr">
        <is>
          <t>The code provided is a Java implementation of the OkHttp library's Authentication mechanism using Basic Auth. The class `Authenticate` uses an instance of OkHttp client with an authenticator that handles authentication when requests fail due to 4xx or 5xx responses.
The basic idea behind this code is to handle HTTP request failures and retry them if they are due to</t>
        </is>
      </c>
      <c r="I1143" t="n">
        <v>0.003</v>
      </c>
      <c r="J1143" t="n">
        <v>0.058</v>
      </c>
      <c r="K1143" t="n">
        <v>0.1515</v>
      </c>
      <c r="L1143" t="inlineStr">
        <is>
          <t>```kotlin
    /**
     * This Kotlin class implements an Authenticator that uses OkHttp to authenticate with a server using basic authentication. 
     * The client is built in the constructor and set up to use this Authenticator instance for all requests made through it.
     */
    class Authenticate {
        private val client = OkHttp</t>
        </is>
      </c>
      <c r="M1143" t="n">
        <v>0.0047</v>
      </c>
      <c r="N1143" t="n">
        <v>0.1132</v>
      </c>
      <c r="O1143" t="n">
        <v>0.1626</v>
      </c>
    </row>
    <row r="1144">
      <c r="A1144" t="inlineStr">
        <is>
          <t>okhttp</t>
        </is>
      </c>
      <c r="B1144" t="inlineStr">
        <is>
          <t>samples/guide/src/main/java/okhttp3/recipes/kt/SynchronousGet.kt</t>
        </is>
      </c>
      <c r="C1144">
        <f>HYPERLINK("https://github.com/square/okhttp/blob/master/samples/guide/src/main/java/okhttp3/recipes/kt/SynchronousGet.kt")</f>
        <v/>
      </c>
      <c r="D1144" t="inlineStr">
        <is>
          <t>The code provided is a simple implementation of an HTTP GET request using OkHttp library in Kotlin language. It sends a GET request to the URL "https://publicobject.com/helloworld.txt", and if the response status indicates that there was an error (i.e., not successful), it throws IOException which handles network errors or invalid responses from server. The client makes use</t>
        </is>
      </c>
      <c r="E1144" t="n">
        <v>0.0032</v>
      </c>
      <c r="F1144" t="n">
        <v>0.0571</v>
      </c>
      <c r="G1144" t="n">
        <v>0.1163</v>
      </c>
      <c r="H1144" t="inlineStr">
        <is>
          <t>The provided code is a Java implementation of an HTTP GET request using OkHttp library in Kotlin language. The functionality it provides includes making synchronous calls to the specified URL and handling responses accordingly. If there's any error during this process, it throws an exception.
The complexity of this function is O(1), as it performs only one operation (making an HTTP call)</t>
        </is>
      </c>
      <c r="I1144" t="n">
        <v>0.0035</v>
      </c>
      <c r="J1144" t="n">
        <v>0.0833</v>
      </c>
      <c r="K1144" t="n">
        <v>0.1493</v>
      </c>
      <c r="L1144" t="inlineStr">
        <is>
          <t>The provided code is a simple implementation of an HTTP GET request using OkHttp library in Kotlin. It sends a GET request to the URL "https://publicobject.com/helloworld.txt", and then executes it synchronously. If the response status indicates that there was an error (i.e., if `response.isSuccessful` returns false), it throws an</t>
        </is>
      </c>
      <c r="M1144" t="n">
        <v>0.0037</v>
      </c>
      <c r="N1144" t="n">
        <v>0.0635</v>
      </c>
      <c r="O1144" t="n">
        <v>0.124</v>
      </c>
    </row>
    <row r="1145">
      <c r="A1145" t="inlineStr">
        <is>
          <t>okhttp</t>
        </is>
      </c>
      <c r="B1145" t="inlineStr">
        <is>
          <t>samples/guide/src/main/java/okhttp3/recipes/kt/PostPath.kt</t>
        </is>
      </c>
      <c r="C1145">
        <f>HYPERLINK("https://github.com/square/okhttp/blob/master/samples/guide/src/main/java/okhttp3/recipes/kt/PostPath.kt")</f>
        <v/>
      </c>
      <c r="D1145" t="inlineStr">
        <is>
          <t>The code you provided is a Java class that uses OkHttp library for networking operations and an in memory file system (via okio's FakeFileSystem). It appears to be part of the backend software components which handles HTTP requests using OkHttp client. The complexity seems O(N), but without more context it can only be inferred from the given information. This repository contains</t>
        </is>
      </c>
      <c r="E1145" t="n">
        <v>0.0039</v>
      </c>
      <c r="F1145" t="n">
        <v>0.0282</v>
      </c>
      <c r="G1145" t="n">
        <v>0.1504</v>
      </c>
      <c r="H1145" t="inlineStr">
        <is>
          <t>ThegivencodeusesOkHTTPlibrarytorequestdatafromanotherserver.It'susingafaketestenvironmentforunittestingwithoutactuallycommunicatingwithaserver.Hereistheconcisesummary:OkHTTPrequestingalgorithmintestsuites. The code is using OkHTTP library to make requests from one server (possibly a test environment). It uses fake testing environments without</t>
        </is>
      </c>
      <c r="I1145" t="n">
        <v>0</v>
      </c>
      <c r="J1145" t="n">
        <v>0</v>
      </c>
      <c r="K1145" t="n">
        <v>0.0526</v>
      </c>
      <c r="L1145" t="inlineStr">
        <is>
          <t>ThegivensourcecodefileimplementsaBackendcomponentusingOKHTTPfornetworkcommunicationandIOstreamsforlocalstorage.ItusesFakeFileSystemAPItohandlelocalfilesystemlikeinterface. The main purpose of this code is to send HTTP requests and save the responses locally in a fake file system like structure for testing purposes. It takes input from network (URLs) and outputs</t>
        </is>
      </c>
      <c r="M1145" t="n">
        <v>0.0053</v>
      </c>
      <c r="N1145" t="n">
        <v>0.09089999999999999</v>
      </c>
      <c r="O1145" t="n">
        <v>0.0935</v>
      </c>
    </row>
    <row r="1146">
      <c r="A1146" t="inlineStr">
        <is>
          <t>okhttp</t>
        </is>
      </c>
      <c r="B1146" t="inlineStr">
        <is>
          <t>samples/guide/src/test/kotlin/okhttp3/AllMainsTest.kt</t>
        </is>
      </c>
      <c r="C1146">
        <f>HYPERLINK("https://github.com/square/okhttp/blob/master/samples/guide/src/test/kotlin/okhttp3/AllMainsTest.kt")</f>
        <v/>
      </c>
      <c r="D1146" t="inlineStr">
        <is>
          <t>```python
# This repository contains backend software components. 
# The complexity of the code is O(n), as it involves iterating over a list (main Files function). 
# There are comments explaining the implementation of core algorithms used in this project. 
# It's an initial commit on the code base. The size of the code is approximately 1</t>
        </is>
      </c>
      <c r="E1146" t="n">
        <v>0.0042</v>
      </c>
      <c r="F1146" t="n">
        <v>0.127</v>
      </c>
      <c r="G1146" t="n">
        <v>0.1938</v>
      </c>
      <c r="H1146" t="inlineStr">
        <is>
          <t>The provided code is a Java package that uses OkHttp to make HTTP requests and JUnit 5 for testing purposes. It appears to be part of a larger project with other components related to networking and unit tests.
Here's the summary of its functionality:
- The `add` function in this package takes two numbers as arguments and returns their sum. Its complexity is O</t>
        </is>
      </c>
      <c r="I1146" t="n">
        <v>0.0028</v>
      </c>
      <c r="J1146" t="n">
        <v>0.0556</v>
      </c>
      <c r="K1146" t="n">
        <v>0.1103</v>
      </c>
      <c r="L1146" t="inlineStr">
        <is>
          <t>The provided code is a Java program that uses OkHttp library to send HTTP requests and handle responses. The main purpose of the code seems to be reading files from a directory named "samples", if it exists; otherwise, it will navigate back two directories up. If any file in this list matches certain criteria (which are not specified here as they're commented out), then an HTTP POST request</t>
        </is>
      </c>
      <c r="M1146" t="n">
        <v>0.0027</v>
      </c>
      <c r="N1146" t="n">
        <v>0.026</v>
      </c>
      <c r="O1146" t="n">
        <v>0.1071</v>
      </c>
    </row>
    <row r="1147">
      <c r="A1147" t="inlineStr">
        <is>
          <t>okhttp</t>
        </is>
      </c>
      <c r="B1147" t="inlineStr">
        <is>
          <t>samples/unixdomainsockets/src/main/java/okhttp3/unixdomainsockets/UnixDomainServerSocketFactory.java</t>
        </is>
      </c>
      <c r="C1147">
        <f>HYPERLINK("https://github.com/square/okhttp/blob/master/samples/unixdomainsockets/src/main/java/okhttp3/unixdomainsockets/UnixDomainServerSocketFactory.java")</f>
        <v/>
      </c>
      <c r="D1147" t="inlineStr">
        <is>
          <t>The provided code is a Java implementation of Unix domain sockets using the JNR project (Java Native Interface). It creates and manages server socket connections on UNIX systems that do not support TCP/IP natively. The Apache License 2.0 applies to this code, stating it can be used without restrictions except compliance with the license terms.
The main class in the package</t>
        </is>
      </c>
      <c r="E1147" t="n">
        <v>0.003</v>
      </c>
      <c r="F1147" t="n">
        <v>0.0563</v>
      </c>
      <c r="G1147" t="n">
        <v>0.1504</v>
      </c>
      <c r="H1147" t="inlineStr">
        <is>
          <t>The provided code is a Java implementation of the Unix domain socket server using JNR's unixsocket library for Linux systems. The function add() in this context doesn't seem to be related with addition as it does not take two parameters and returns their sum which would typically represent an arithmetic operation. Instead, it seems like part of a larger system that handles network communication over Unix</t>
        </is>
      </c>
      <c r="I1147" t="n">
        <v>0.0028</v>
      </c>
      <c r="J1147" t="n">
        <v>0.0789</v>
      </c>
      <c r="K1147" t="n">
        <v>0.1812</v>
      </c>
      <c r="L1147" t="inlineStr">
        <is>
          <t>The given code is a Java implementation of Unix domain socket communication using JNR's unixsocket library. The main purpose of this code is to create and manage server side sockets for interprocess communication over the same machine. It creates an instance of ServerSocket on top of a UNIX domain datagram socket (a UDS). This allows multiple processes running in different JVMs or</t>
        </is>
      </c>
      <c r="M1147" t="n">
        <v>0.0035</v>
      </c>
      <c r="N1147" t="n">
        <v>0.0563</v>
      </c>
      <c r="O1147" t="n">
        <v>0.1493</v>
      </c>
    </row>
    <row r="1148">
      <c r="A1148" t="inlineStr">
        <is>
          <t>okhttp</t>
        </is>
      </c>
      <c r="B1148" t="inlineStr">
        <is>
          <t>samples/unixdomainsockets/src/main/java/okhttp3/unixdomainsockets/UnixDomainSocketFactory.java</t>
        </is>
      </c>
      <c r="C1148">
        <f>HYPERLINK("https://github.com/square/okhttp/blob/master/samples/unixdomainsockets/src/main/java/okhttp3/unixdomainsockets/UnixDomainSocketFactory.java")</f>
        <v/>
      </c>
      <c r="D1148" t="inlineStr">
        <is>
          <t>```plaintext
The provided code is a Java implementation of an extension to the SocketFactory class that can be used for UNIX domain sockets (UDS). The purpose of this custom socket factory is to mimic TCP style communication over Unix Domain Sockets by extending the SocketFactory abstract class and overriding its methods. 
It's important to</t>
        </is>
      </c>
      <c r="E1148" t="n">
        <v>0.0034</v>
      </c>
      <c r="F1148" t="n">
        <v>0.0635</v>
      </c>
      <c r="G1148" t="n">
        <v>0.1587</v>
      </c>
      <c r="H1148" t="inlineStr">
        <is>
          <t>The code you provided is a Java implementation of an Unix Domain Socket Factory that extends the functionality of the standard SocketFactory class in JDK to support UNIX domain sockets (UDS). The factory impersonates TCP style socket behavior over UDS by creating a channel and connecting it to a server running on localhost at a specific port number. However, this particular piece of code</t>
        </is>
      </c>
      <c r="I1148" t="n">
        <v>0.0034</v>
      </c>
      <c r="J1148" t="n">
        <v>0.0833</v>
      </c>
      <c r="K1148" t="n">
        <v>0.1471</v>
      </c>
      <c r="L1148" t="inlineStr">
        <is>
          <t>The provided code is a Java implementation of an extension to the SocketFactory class that creates sockets over UNIX domain sockets (also known as Unix socket). The purpose of this class seems to be to mimic TCP behavior for communication with remote servers through these types of sockets.
Here's how it works in high level steps: 
1. Analyzing</t>
        </is>
      </c>
      <c r="M1148" t="n">
        <v>0</v>
      </c>
      <c r="N1148" t="n">
        <v>0.0299</v>
      </c>
      <c r="O1148" t="n">
        <v>0.1154</v>
      </c>
    </row>
    <row r="1149">
      <c r="A1149" t="inlineStr">
        <is>
          <t>okhttp</t>
        </is>
      </c>
      <c r="B1149" t="inlineStr">
        <is>
          <t>samples/unixdomainsockets/src/main/java/okhttp3/unixdomainsockets/TunnelingUnixSocket.java</t>
        </is>
      </c>
      <c r="C1149">
        <f>HYPERLINK("https://github.com/square/okhttp/blob/master/samples/unixdomainsockets/src/main/java/okhttp3/unixdomainsockets/TunnelingUnixSocket.java")</f>
        <v/>
      </c>
      <c r="D1149" t="inlineStr">
        <is>
          <t>```plaintext
The provided code is a Java implementation of the OkHttp library's UNIX domain socket functionality using JNR (Java Native Runtime). It provides an abstraction for Unix Domain Socket connections similar to TCP sockets but on a local filesystem instead of over network interfaces. 
It defines a subclass named `UnixDomainSocket` that extends</t>
        </is>
      </c>
      <c r="E1149" t="n">
        <v>0.0035</v>
      </c>
      <c r="F1149" t="n">
        <v>0.06560000000000001</v>
      </c>
      <c r="G1149" t="n">
        <v>0.0806</v>
      </c>
      <c r="H1149" t="inlineStr">
        <is>
          <t>The provided code is a Java implementation of the UNIX domain socket communication using JNR's UnixSocket library for higher fidelity impersonation of TCP sockets. The function `subTypeUNIXSocket` creates an instance of a UNIX socket and connects to it at a specified address.
The complexity of this operation is O(1), as it involves opening a connection</t>
        </is>
      </c>
      <c r="I1149" t="n">
        <v>0.0033</v>
      </c>
      <c r="J1149" t="n">
        <v>0.09229999999999999</v>
      </c>
      <c r="K1149" t="n">
        <v>0.1575</v>
      </c>
      <c r="L1149" t="inlineStr">
        <is>
          <t>The provided code is a Java implementation of the UNIX domain socket communication using OkHttp library and jNR Unix Socket API. The main purpose of this code seems to be to create a subclass named "Tunneling", which extends an existing class called "UnixDomainSocket". This new class appears to provide higher fidelity impersonation of TCP sockets by creating a tunnel for</t>
        </is>
      </c>
      <c r="M1149" t="n">
        <v>0.0036</v>
      </c>
      <c r="N1149" t="n">
        <v>0.0588</v>
      </c>
      <c r="O1149" t="n">
        <v>0.1515</v>
      </c>
    </row>
    <row r="1150">
      <c r="A1150" t="inlineStr">
        <is>
          <t>okhttp</t>
        </is>
      </c>
      <c r="B1150" t="inlineStr">
        <is>
          <t>samples/unixdomainsockets/src/main/java/okhttp3/unixdomainsockets/ClientAndServer.java</t>
        </is>
      </c>
      <c r="C1150">
        <f>HYPERLINK("https://github.com/square/okhttp/blob/master/samples/unixdomainsockets/src/main/java/okhttp3/unixdomainsockets/ClientAndServer.java")</f>
        <v/>
      </c>
      <c r="D1150" t="inlineStr">
        <is>
          <t>ThegivenJava code is for setting up a UNIX domain socket using OkHttp and MockWebServer libraries in Java. The purpose of this setup is to create an environment where HTTP requests can be made over the network without going through traditional IP addresses or ports. This helps increase performance by reducing latency due to network round trips. It also provides mocking capabilities which are useful during unit testing.</t>
        </is>
      </c>
      <c r="E1150" t="n">
        <v>0.0032</v>
      </c>
      <c r="F1150" t="n">
        <v>0.0267</v>
      </c>
      <c r="G1150" t="n">
        <v>0.1079</v>
      </c>
      <c r="H1150" t="inlineStr">
        <is>
          <t>The provided code is a Java implementation of the UNIX domain socket communication using OkHttp and Mock Web Server libraries. The purpose of this setup is to simulate real-world scenarios where network communications are required between different processes running on the same machine (localhost). 
The main classes used in this setup include `MockWebServer` for mocking HTTP server responses, `OkHttpClient`</t>
        </is>
      </c>
      <c r="I1150" t="n">
        <v>0.0031</v>
      </c>
      <c r="J1150" t="n">
        <v>0.0588</v>
      </c>
      <c r="K1150" t="n">
        <v>0.1527</v>
      </c>
      <c r="L1150" t="inlineStr">
        <is>
          <t>ThegivenJavacodeusesOKHTTPlibrarytoundertwoforms:first,creatingaUNIXdomainSocketconnectionusingMockWebServerclassfromsamelibrarysecond,makingrequeststoanotherserviceviacreatedsocketconnectionthroughOkHttpclient.Itdoesn'tcontainanylogicalerrorsorsyntaxissues.However,therearecommentsindicatingthatinitialsetuphasbeencompletedsuccessfully. The</t>
        </is>
      </c>
      <c r="M1150" t="n">
        <v>0</v>
      </c>
      <c r="N1150" t="n">
        <v>0</v>
      </c>
      <c r="O1150" t="n">
        <v>0</v>
      </c>
    </row>
    <row r="1151">
      <c r="A1151" t="inlineStr">
        <is>
          <t>okhttp</t>
        </is>
      </c>
      <c r="B1151" t="inlineStr">
        <is>
          <t>samples/tlssurvey/src/main/kotlin/okhttp3/survey/Iana.kt</t>
        </is>
      </c>
      <c r="C1151">
        <f>HYPERLINK("https://github.com/square/okhttp/blob/master/samples/tlssurvey/src/main/kotlin/okhttp3/survey/Iana.kt")</f>
        <v/>
      </c>
      <c r="D1151" t="inlineStr">
        <is>
          <t>The code you provided appears to be a Kotlin script for making HTTP requests using OkHttp library and it's designed according to the Apache License 2.0. The main functionality of this code involves sending an asynchronous request with OkHttp client and processing responses in a coroutine context. It also contains some constants related to SSL protocols defined by IANA (Intern</t>
        </is>
      </c>
      <c r="E1151" t="n">
        <v>0.0036</v>
      </c>
      <c r="F1151" t="n">
        <v>0.0571</v>
      </c>
      <c r="G1151" t="n">
        <v>0.1136</v>
      </c>
      <c r="H1151" t="inlineStr">
        <is>
          <t>The function provided is a simple addition operation between two numbers 'a' and 'b'. It takes in two parameters (numbers or variables holding integer values), adds them together using the plus operator ('+'), then returns the result. The time complexity of this function is O(1), meaning it performs a constant number of operations regardless of input size.
The Apache License 2.</t>
        </is>
      </c>
      <c r="I1151" t="n">
        <v>0.003</v>
      </c>
      <c r="J1151" t="n">
        <v>0.058</v>
      </c>
      <c r="K1151" t="n">
        <v>0.1128</v>
      </c>
      <c r="L1151" t="inlineStr">
        <is>
          <t>ThegivenJava/KotlinsourcecodeusesOkHttp,apopularnetworkinglibraryforAndroidandserverapplications.ItincludesclasseslikeHttpUrl,OkHttpClient,andRequestwhichareusedtoperformHTTPrequestsonline.Therearealsoexamplesusingasyncawaitstocallasynchronousmethods.Thecodehascommentsindicatingthatit'sbeenrefactoredfromprevious</t>
        </is>
      </c>
      <c r="M1151" t="n">
        <v>0</v>
      </c>
      <c r="N1151" t="n">
        <v>0</v>
      </c>
      <c r="O1151" t="n">
        <v>0</v>
      </c>
    </row>
    <row r="1152">
      <c r="A1152" t="inlineStr">
        <is>
          <t>okhttp</t>
        </is>
      </c>
      <c r="B1152" t="inlineStr">
        <is>
          <t>samples/tlssurvey/src/main/kotlin/okhttp3/survey/RunSurvey.kt</t>
        </is>
      </c>
      <c r="C1152">
        <f>HYPERLINK("https://github.com/square/okhttp/blob/master/samples/tlssurvey/src/main/kotlin/okhttp3/survey/RunSurvey.kt")</f>
        <v/>
      </c>
      <c r="D1152" t="inlineStr">
        <is>
          <t>```plaintext
The provided code is a Kotlin script that includes imports for various libraries and classes used in the project such as OkHttp, Security, Conscrypt etc., but it doesn't provide any functionality or logic to be executed when run directly. 
It also contains comments indicating its purpose (which seems to be implementing core algorithms), commits history</t>
        </is>
      </c>
      <c r="E1152" t="n">
        <v>0.0043</v>
      </c>
      <c r="F1152" t="n">
        <v>0.0615</v>
      </c>
      <c r="G1152" t="n">
        <v>0.2466</v>
      </c>
      <c r="H1152" t="inlineStr">
        <is>
          <t>The provided code is a main function that includes the import statements for various libraries and classes used in an OkHTTP client implementation with Conscrypt support. The @Suppress annotation suppresses linter warnings related to property naming conventions. There's also some commentary about complexity (complexity of O(N)) but it seems not relevant here as this file does not contain any core algorithms</t>
        </is>
      </c>
      <c r="I1152" t="n">
        <v>0.0036</v>
      </c>
      <c r="J1152" t="n">
        <v>0.0563</v>
      </c>
      <c r="K1152" t="n">
        <v>0.188</v>
      </c>
      <c r="L1152" t="inlineStr">
        <is>
          <t>The provided code is a Kotlin script that uses OkHttp client for making HTTP requests and SSL Labs API to analyze the security of an HTTPS server. It includes several packages such as okhttp3, java.security, org.conscrypt (a custom TLS implementation by Square). The main purpose of this code seems to be conducting performance surveys on various servers using OkHttp</t>
        </is>
      </c>
      <c r="M1152" t="n">
        <v>0.0031</v>
      </c>
      <c r="N1152" t="n">
        <v>0.029</v>
      </c>
      <c r="O1152" t="n">
        <v>0.1527</v>
      </c>
    </row>
    <row r="1153">
      <c r="A1153" t="inlineStr">
        <is>
          <t>okhttp</t>
        </is>
      </c>
      <c r="B1153" t="inlineStr">
        <is>
          <t>samples/tlssurvey/src/main/kotlin/okhttp3/survey/Clients.kt</t>
        </is>
      </c>
      <c r="C1153">
        <f>HYPERLINK("https://github.com/square/okhttp/blob/master/samples/tlssurvey/src/main/kotlin/okhttp3/survey/Clients.kt")</f>
        <v/>
      </c>
      <c r="D1153" t="inlineStr">
        <is>
          <t>ThegivenJava code is a part of an OkHttp client implementation using Conscrypt library for SSLSocket creation and connection specification setup with Iana Suites as input parameter. The client has been configured to use specific user agent string "OkHttp". It's licensed under Apache 2.0 License. This repository contains backend software components that implement core algorithms.
It seems like</t>
        </is>
      </c>
      <c r="E1153" t="n">
        <v>0.0045</v>
      </c>
      <c r="F1153" t="n">
        <v>0.1194</v>
      </c>
      <c r="G1153" t="n">
        <v>0.3305</v>
      </c>
      <c r="H1153" t="inlineStr">
        <is>
          <t>The code you provided is a Java class that implements an OkHttp client with SSL socket factory using Conscrypt library for secure connections. The copyright notice at the top of the file indicates it's licensed under Apache 2.0 license which means it can be used and modified freely as long as attribution is given back to its original author (Square Inc.). It also mentions conditions like not</t>
        </is>
      </c>
      <c r="I1153" t="n">
        <v>0.0032</v>
      </c>
      <c r="J1153" t="n">
        <v>0.0519</v>
      </c>
      <c r="K1153" t="n">
        <v>0.1839</v>
      </c>
      <c r="L1153" t="inlineStr">
        <is>
          <t>The code provided is a Java class named `Survey` that uses OkHttp library for making HTTPS requests to collect survey data from an IANA server using the Conscrypt SSLSocket implementation. 
It first creates a client with user agent "OkHttp". Then it makes HTTP GET request by calling get method on this client object and passing URL of the IANA</t>
        </is>
      </c>
      <c r="M1153" t="n">
        <v>0.0031</v>
      </c>
      <c r="N1153" t="n">
        <v>0.0597</v>
      </c>
      <c r="O1153" t="n">
        <v>0.1145</v>
      </c>
    </row>
    <row r="1154">
      <c r="A1154" t="inlineStr">
        <is>
          <t>okhttp</t>
        </is>
      </c>
      <c r="B1154" t="inlineStr">
        <is>
          <t>samples/tlssurvey/src/main/kotlin/okhttp3/survey/CipherSuiteSurvey.kt</t>
        </is>
      </c>
      <c r="C1154">
        <f>HYPERLINK("https://github.com/square/okhttp/blob/master/samples/tlssurvey/src/main/kotlin/okhttp3/survey/CipherSuiteSurvey.kt")</f>
        <v/>
      </c>
      <c r="D1154" t="inlineStr">
        <is>
          <t>```python
The code is a class named CipherSuiteSurvey that organizes information about SSL cipher suite inclusion and precedence for this spreadsheet. It takes in three parameters - clients (a list of Client objects), ianaSuites (an object representing IanaSuites), and orderBy (a list of Suites to be ordered).</t>
        </is>
      </c>
      <c r="E1154" t="n">
        <v>0.0039</v>
      </c>
      <c r="F1154" t="n">
        <v>0.0741</v>
      </c>
      <c r="G1154" t="n">
        <v>0.08400000000000001</v>
      </c>
      <c r="H1154" t="inlineStr">
        <is>
          <t>The code provided is a Java class named `CipherSuiteSurvey` that organizes information on SSL cipher suite inclusion and precedence for this spreadsheet. It takes in three parameters - a list of clients (representing the survey responses), an Iana Suites object which contains details about various cipher suites supported by different cryptographic libraries, and a List of SuiteIds</t>
        </is>
      </c>
      <c r="I1154" t="n">
        <v>0.0032</v>
      </c>
      <c r="J1154" t="n">
        <v>0.0625</v>
      </c>
      <c r="K1154" t="n">
        <v>0.0775</v>
      </c>
      <c r="L1154" t="inlineStr">
        <is>
          <t>The provided code is a Java class named `CipherSuiteSurvey` that organizes information on SSL cipher suite inclusion and precedence for this spreadsheet. It takes three parameters - a list of clients (representing the survey participants), an Iana Suites object containing details about various SSL cipher suites, and a list of orderings to define the precedence of these</t>
        </is>
      </c>
      <c r="M1154" t="n">
        <v>0.0032</v>
      </c>
      <c r="N1154" t="n">
        <v>0.0625</v>
      </c>
      <c r="O1154" t="n">
        <v>0.0775</v>
      </c>
    </row>
    <row r="1155">
      <c r="A1155" t="inlineStr">
        <is>
          <t>okhttp</t>
        </is>
      </c>
      <c r="B1155" t="inlineStr">
        <is>
          <t>samples/tlssurvey/src/main/kotlin/okhttp3/survey/types/Client.kt</t>
        </is>
      </c>
      <c r="C1155">
        <f>HYPERLINK("https://github.com/square/okhttp/blob/master/samples/tlssurvey/src/main/kotlin/okhttp3/survey/types/Client.kt")</f>
        <v/>
      </c>
      <c r="D1155" t="inlineStr">
        <is>
          <t>```python
# This is a data class representing the client information for an HTTP request survey tool. 
# It holds details about user agent, version of software, platform (optional), enabled suites and supported suites.
class Client:
    def __init__(self, user_agent: str, version: str, platform: Optional[str] = None,</t>
        </is>
      </c>
      <c r="E1155" t="n">
        <v>0.0048</v>
      </c>
      <c r="F1155" t="n">
        <v>0.1111</v>
      </c>
      <c r="G1155" t="n">
        <v>0.0847</v>
      </c>
      <c r="H1155" t="inlineStr">
        <is>
          <t>The given code is a data class in Kotlin for creating an HTTP client with various properties such as user agent string, version of the software, platform details (optional), enabled suites list, supported suites list etc., and also provides a method to get name and version combined together. The complexity here would be O(n).
The Apache License 2.0 applies to</t>
        </is>
      </c>
      <c r="I1155" t="n">
        <v>0.003</v>
      </c>
      <c r="J1155" t="n">
        <v>0.0571</v>
      </c>
      <c r="K1155" t="n">
        <v>0.0379</v>
      </c>
      <c r="L1155" t="inlineStr">
        <is>
          <t>The provided code is a data class in Kotlin named `Client` that represents an HTTP client with various properties such as user agent string, version, platform (optional), enabled and supported test suites etc. The purpose of this class seems to be encapsulation of the details related to the client itself along with its capabilities for conducting tests on different test suites. This class has one read</t>
        </is>
      </c>
      <c r="M1155" t="n">
        <v>0.0033</v>
      </c>
      <c r="N1155" t="n">
        <v>0.027</v>
      </c>
      <c r="O1155" t="n">
        <v>0.0725</v>
      </c>
    </row>
    <row r="1156">
      <c r="A1156" t="inlineStr">
        <is>
          <t>okhttp</t>
        </is>
      </c>
      <c r="B1156" t="inlineStr">
        <is>
          <t>samples/tlssurvey/src/main/kotlin/okhttp3/survey/types/SuiteId.kt</t>
        </is>
      </c>
      <c r="C1156">
        <f>HYPERLINK("https://github.com/square/okhttp/blob/master/samples/tlssurvey/src/main/kotlin/okhttp3/survey/types/SuiteId.kt")</f>
        <v/>
      </c>
      <c r="D1156" t="inlineStr">
        <is>
          <t>&lt;!-- This is a summary of the provided code --&gt;
The given Java class `SuiteId` represents an identifier for a suite in OkHttp 3 survey system. It has two properties - id and name which are both ByteStrings. The function matches checks if this SuiteId object's 'id' or its truncated 'name'(starting from index 4 to</t>
        </is>
      </c>
      <c r="E1156" t="n">
        <v>0.004</v>
      </c>
      <c r="F1156" t="n">
        <v>0.0645</v>
      </c>
      <c r="G1156" t="n">
        <v>0.1181</v>
      </c>
      <c r="H1156" t="inlineStr">
        <is>
          <t>The provided code is a Java function that adds two numbers together and returns the result. It's complexity is O(1), meaning it takes constant time to execute regardless of input size. The summary provides an overview of its functionality which includes adding two numbers.
Here is a concise, clear, and direct summary of this functionality: 
```plaintext
Functionality: This</t>
        </is>
      </c>
      <c r="I1156" t="n">
        <v>0.0041</v>
      </c>
      <c r="J1156" t="n">
        <v>0.0588</v>
      </c>
      <c r="K1156" t="n">
        <v>0.1154</v>
      </c>
      <c r="L1156" t="inlineStr">
        <is>
          <t>Thegivencodefileappears to implement a data class named `SuiteId` that represents the suite id of an application. The purpose of this code is to provide functionality for matching two instances of SuiteId based on their unique identifiers or names. If either identifier or name matches exactly (ignoring the first 4 characters as per requirement), then it returns true indicating they are equivalent. This</t>
        </is>
      </c>
      <c r="M1156" t="n">
        <v>0.0035</v>
      </c>
      <c r="N1156" t="n">
        <v>0.0571</v>
      </c>
      <c r="O1156" t="n">
        <v>0.1119</v>
      </c>
    </row>
    <row r="1157">
      <c r="A1157" t="inlineStr">
        <is>
          <t>okhttp</t>
        </is>
      </c>
      <c r="B1157" t="inlineStr">
        <is>
          <t>samples/tlssurvey/src/main/kotlin/okhttp3/survey/ssllabs/SslLabsApi.kt</t>
        </is>
      </c>
      <c r="C1157">
        <f>HYPERLINK("https://github.com/square/okhttp/blob/master/samples/tlssurvey/src/main/kotlin/okhttp3/survey/ssllabs/SslLabsApi.kt")</f>
        <v/>
      </c>
      <c r="D1157" t="inlineStr">
        <is>
          <t>The provided code is a Kotlin implementation of an API client for the SSL Labs Server Test (https://www.ssllabs.com). It uses Retrofit to make HTTP requests and OkHttp as its networking library. The `getClients` function retrieves user agent capabilities from the server using GET request. 
It's licensed under Apache</t>
        </is>
      </c>
      <c r="E1157" t="n">
        <v>0.0038</v>
      </c>
      <c r="F1157" t="n">
        <v>0.0667</v>
      </c>
      <c r="G1157" t="n">
        <v>0.125</v>
      </c>
      <c r="H1157" t="inlineStr">
        <is>
          <t>The provided code is a Kotlin implementation of an API call to the SSL Labs API using Retrofit 2 library for making HTTP requests in Android applications. The function `clients()` retrieves client information from the 'getClients' endpoint and returns it as a list of User Agent Capabilities objects. This operation has complexity O(N), where N represents the number</t>
        </is>
      </c>
      <c r="I1157" t="n">
        <v>0.0037</v>
      </c>
      <c r="J1157" t="n">
        <v>0.0896</v>
      </c>
      <c r="K1157" t="n">
        <v>0.1538</v>
      </c>
      <c r="L1157" t="inlineStr">
        <is>
          <t>The provided code is a Kotlin implementation of an API call to the SSL Labs server using Retrofit library for network communication and OkHttp as its networking layer. The purpose of this code is to fetch client capabilities from the 'getClients' endpoint of the SSL Labs API. This information can be used by applications that need to assess security strength of their servers or connections.</t>
        </is>
      </c>
      <c r="M1157" t="n">
        <v>0.0033</v>
      </c>
      <c r="N1157" t="n">
        <v>0.0548</v>
      </c>
      <c r="O1157" t="n">
        <v>0.146</v>
      </c>
    </row>
    <row r="1158">
      <c r="A1158" t="inlineStr">
        <is>
          <t>okhttp</t>
        </is>
      </c>
      <c r="B1158" t="inlineStr">
        <is>
          <t>samples/tlssurvey/src/main/kotlin/okhttp3/survey/ssllabs/SslLabsClient.kt</t>
        </is>
      </c>
      <c r="C1158">
        <f>HYPERLINK("https://github.com/square/okhttp/blob/master/samples/tlssurvey/src/main/kotlin/okhttp3/survey/ssllabs/SslLabsClient.kt")</f>
        <v/>
      </c>
      <c r="D1158" t="inlineStr">
        <is>
          <t>The code provided is a Java class for an SSL Labs client using OkHttp as the HTTP client and Moshi as JSON parser library with Retrofit to handle REST API calls. The copyright notice at the top indicates that this software is licensed under Apache License 2.0. It's distributed on an "AS IS" basis without any warranties or conditions of any kind implied by</t>
        </is>
      </c>
      <c r="E1158" t="n">
        <v>0.0034</v>
      </c>
      <c r="F1158" t="n">
        <v>0.0541</v>
      </c>
      <c r="G1158" t="n">
        <v>0.2321</v>
      </c>
      <c r="H1158" t="inlineStr">
        <is>
          <t>The code provided is a Java class named `SslLabsClient` which uses OkHttp for making HTTP requests and Moshi as the JSON parser to convert JSON responses into objects in Java. The client has two private fields - one of type Call.Factory (for creating instances of call), another being an instance of Moshi (which provides functionality for converting between Java types and their JSON representations).</t>
        </is>
      </c>
      <c r="I1158" t="n">
        <v>0.0034</v>
      </c>
      <c r="J1158" t="n">
        <v>0.0556</v>
      </c>
      <c r="K1158" t="n">
        <v>0.0735</v>
      </c>
      <c r="L1158" t="inlineStr">
        <is>
          <t>The provided code is a Java class named `SslLabsClient` that interacts with the SSl Labs API to perform SSL certificate analysis and obtain information about various SSL suites supported by different servers.
It uses OkHttp as its HTTP client for making network requests, Retrofit for defining an interface for accessing the RESTful web service, Moshi for JSON serial</t>
        </is>
      </c>
      <c r="M1158" t="n">
        <v>0.0031</v>
      </c>
      <c r="N1158" t="n">
        <v>0.0303</v>
      </c>
      <c r="O1158" t="n">
        <v>0.0769</v>
      </c>
    </row>
    <row r="1159">
      <c r="A1159" t="inlineStr">
        <is>
          <t>okhttp</t>
        </is>
      </c>
      <c r="B1159" t="inlineStr">
        <is>
          <t>samples/tlssurvey/src/main/kotlin/okhttp3/survey/ssllabs/UserAgentCapabilities.kt</t>
        </is>
      </c>
      <c r="C1159">
        <f>HYPERLINK("https://github.com/square/okhttp/blob/master/samples/tlssurvey/src/main/kotlin/okhttp3/survey/ssllabs/UserAgentCapabilities.kt")</f>
        <v/>
      </c>
      <c r="D1159" t="inlineStr">
        <is>
          <t>The provided code is a Java class named UserAgentCapabilities that represents the capabilities of a user agent (like web browser or other software). It's annotated with @JsonClass and has several fields to represent various properties such as whether it aborts on unrecognized names, supported ALPN protocols, elliptic curves used in handshakes, handshake format, hex</t>
        </is>
      </c>
      <c r="E1159" t="n">
        <v>0.0034</v>
      </c>
      <c r="F1159" t="n">
        <v>0.0635</v>
      </c>
      <c r="G1159" t="n">
        <v>0.0794</v>
      </c>
      <c r="H1159" t="inlineStr">
        <is>
          <t>The function `add` in the provided code adds two numbers together and returns their sum. The time complexity of this operation is O(1), meaning it takes a constant amount of time to perform regardless of the input size.
The UserAgentCapabilities class represents capabilities of an HTTP user agent as defined by SSLLabs' SSL Server Rating API. It has several properties such as</t>
        </is>
      </c>
      <c r="I1159" t="n">
        <v>0.0029</v>
      </c>
      <c r="J1159" t="n">
        <v>0.0563</v>
      </c>
      <c r="K1159" t="n">
        <v>0.1119</v>
      </c>
      <c r="L1159" t="inlineStr">
        <is>
          <t>The code provided is a Java class named `UserAgentCapabilities` that holds several properties related to the capabilities of a user agent for various network protocols and security measures such as ALPN (Application Layer Protocol Negotiation) protocols, elliptic curves used in TLS handshakes, hex representation of handshake bytes, highest protocol version supported by both client and server, etc.</t>
        </is>
      </c>
      <c r="M1159" t="n">
        <v>0.0032</v>
      </c>
      <c r="N1159" t="n">
        <v>0.0308</v>
      </c>
      <c r="O1159" t="n">
        <v>0.0775</v>
      </c>
    </row>
    <row r="1160">
      <c r="A1160" t="inlineStr">
        <is>
          <t>okhttp</t>
        </is>
      </c>
      <c r="B1160" t="inlineStr">
        <is>
          <t>samples/crawler/src/main/java/okhttp3/sample/Crawler.java</t>
        </is>
      </c>
      <c r="C1160">
        <f>HYPERLINK("https://github.com/square/okhttp/blob/master/samples/crawler/src/main/java/okhttp3/sample/Crawler.java")</f>
        <v/>
      </c>
      <c r="D1160" t="inlineStr">
        <is>
          <t>The code provided is a sample implementation of OkHttp client in Java language for making HTTP requests to server and handling responses. It uses Apache License 2.0 which allows users to use it without restrictions unless they do not comply with the license terms. The usage complexity is O(N), where N represents number of network calls made by this instance of the OkHttp Client. This software component handles core</t>
        </is>
      </c>
      <c r="E1160" t="n">
        <v>0.0066</v>
      </c>
      <c r="F1160" t="n">
        <v>0.0759</v>
      </c>
      <c r="G1160" t="n">
        <v>0.3024</v>
      </c>
      <c r="H1160" t="inlineStr">
        <is>
          <t>The code provided is a Java package named "okhttp3.sample". It contains several import statements for various packages and classes used in the software component. The license at the top of this file specifies that it's licensed under Apache 2.0, which means you can use or modify the code as long as you comply with its terms.
The main class seems to be `</t>
        </is>
      </c>
      <c r="I1160" t="n">
        <v>0.0034</v>
      </c>
      <c r="J1160" t="n">
        <v>0.0274</v>
      </c>
      <c r="K1160" t="n">
        <v>0.1481</v>
      </c>
      <c r="L1160" t="inlineStr">
        <is>
          <t>The provided code is a sample implementation of OkHttp's networking capabilities in Java. It demonstrates how to perform HTTP requests and handle responses using the OkHttp library.
It uses various core components from OkHttp such as Request (for defining an HTTP request), Call (a call that executes a request and returns a response), Response (which represents an HTTP response), etc. The main</t>
        </is>
      </c>
      <c r="M1160" t="n">
        <v>0.0035</v>
      </c>
      <c r="N1160" t="n">
        <v>0.08450000000000001</v>
      </c>
      <c r="O1160" t="n">
        <v>0.1493</v>
      </c>
    </row>
    <row r="1161">
      <c r="A1161" t="inlineStr">
        <is>
          <t>okhttp</t>
        </is>
      </c>
      <c r="B1161" t="inlineStr">
        <is>
          <t>samples/static-server/src/main/java/okhttp3/sample/SampleServer.java</t>
        </is>
      </c>
      <c r="C1161">
        <f>HYPERLINK("https://github.com/square/okhttp/blob/master/samples/static-server/src/main/java/okhttp3/sample/SampleServer.java")</f>
        <v/>
      </c>
      <c r="D1161" t="inlineStr">
        <is>
          <t>```plaintext
The provided code is a Java implementation of OkHttp client with SSL support using Apache License 2.0. It's designed to handle complex algorithms and implement core functionalities for backend software components. The repository contains various files related to this purpose but the main focus seems to be on implementing security protocols like TLS (Transport Layer Security). This includes initializing</t>
        </is>
      </c>
      <c r="E1161" t="n">
        <v>0.0043</v>
      </c>
      <c r="F1161" t="n">
        <v>0.0857</v>
      </c>
      <c r="G1161" t="n">
        <v>0.323</v>
      </c>
      <c r="H1161" t="inlineStr">
        <is>
          <t>The provided code is a Java implementation of an HTTP client using OkHttp library (https://square.github.io/okhttp/) for making secure and efficient network requests. The license at the top of each file states that it's licensed under Apache 2.0 License which allows you to use this software in any project but must include copyright notice and disclaimers.
The</t>
        </is>
      </c>
      <c r="I1161" t="n">
        <v>0.0039</v>
      </c>
      <c r="J1161" t="n">
        <v>0.0857</v>
      </c>
      <c r="K1161" t="n">
        <v>0.2906</v>
      </c>
      <c r="L1161" t="inlineStr">
        <is>
          <t>ThegivenJavacodeusesOkHttplibrarytosetupaHTTPSconnectionusingclientcertificateauthentication.Itreadsakeystorecontainingtheclient'scertificateandprivatekeyfromafile,generatesSLContextbasedonthiskeystore,thenconfiguresaninstanceofOkHttpClienttocommunicateoverHTTPSprotocolutilizingthesecertificates</t>
        </is>
      </c>
      <c r="M1161" t="n">
        <v>0</v>
      </c>
      <c r="N1161" t="n">
        <v>0</v>
      </c>
      <c r="O1161" t="n">
        <v>0</v>
      </c>
    </row>
    <row r="1162">
      <c r="A1162" t="inlineStr">
        <is>
          <t>okhttp</t>
        </is>
      </c>
      <c r="B1162" t="inlineStr">
        <is>
          <t>samples/compare/src/test/kotlin/okhttp3/compare/JavaHttpClientTest.kt</t>
        </is>
      </c>
      <c r="C1162">
        <f>HYPERLINK("https://github.com/square/okhttp/blob/master/samples/compare/src/test/kotlin/okhttp3/compare/JavaHttpClientTest.kt")</f>
        <v/>
      </c>
      <c r="D1162" t="inlineStr">
        <is>
          <t>ThegivenJava8codeusesOkHTTPformakingHTTPrequestsandtestingresponsesusingAssertKlibrary.Itutilizesfeatureslikeredirectionhandlingandresponsebodyparsing.However,therearenolongerthan5linesofactualcode.
Please note that the code you provided is not included in your question and it seems to be a Java 8 implementation of OkHttp</t>
        </is>
      </c>
      <c r="E1162" t="n">
        <v>0.0076</v>
      </c>
      <c r="F1162" t="n">
        <v>0.0556</v>
      </c>
      <c r="G1162" t="n">
        <v>0.1031</v>
      </c>
      <c r="H1162" t="inlineStr">
        <is>
          <t>The code you provided is a simple function that adds two numbers together using the + operator in Python. The functionality of this function is straightforward - it takes as input parameters 'a' and 'b', performs an addition operation on them, then returns the result. This function has a time complexity of O(1), meaning its execution time does not change with the size of the inputs (i.e</t>
        </is>
      </c>
      <c r="I1162" t="n">
        <v>0.0036</v>
      </c>
      <c r="J1162" t="n">
        <v>0.08</v>
      </c>
      <c r="K1162" t="n">
        <v>0.1079</v>
      </c>
      <c r="L1162" t="inlineStr">
        <is>
          <t>The provided code is a Java implementation using OkHttp for HTTP requests and MockWebServer for mocking server responses. The main purpose of this code seems to be testing the response from an API call against expected values.
Here's a concise summary: This piece of software uses OkHttp library for making HTTP requests and MockWebServer for simulating server responses in unit tests. It</t>
        </is>
      </c>
      <c r="M1162" t="n">
        <v>0.0039</v>
      </c>
      <c r="N1162" t="n">
        <v>0.08450000000000001</v>
      </c>
      <c r="O1162" t="n">
        <v>0.1866</v>
      </c>
    </row>
    <row r="1163">
      <c r="A1163" t="inlineStr">
        <is>
          <t>okhttp</t>
        </is>
      </c>
      <c r="B1163" t="inlineStr">
        <is>
          <t>samples/compare/src/test/kotlin/okhttp3/compare/JettyHttpClientTest.kt</t>
        </is>
      </c>
      <c r="C1163">
        <f>HYPERLINK("https://github.com/square/okhttp/blob/master/samples/compare/src/test/kotlin/okhttp3/compare/JettyHttpClientTest.kt")</f>
        <v/>
      </c>
      <c r="D1163" t="inlineStr">
        <is>
          <t>The code provided is a Java class that contains Apache License 2.0 copyright information and some import statements for OkHttp3 library along with assertk framework used for testing. The license states the conditions under which you may use this file including limitations on usage in compliance with the license terms. There are also JUnit 5 annotations to setup and teardown test environment before each test case runs</t>
        </is>
      </c>
      <c r="E1163" t="n">
        <v>0.0027</v>
      </c>
      <c r="F1163" t="n">
        <v>0.0526</v>
      </c>
      <c r="G1163" t="n">
        <v>0.1079</v>
      </c>
      <c r="H1163" t="inlineStr">
        <is>
          <t>The provided code is a simple function for addition of two numbers in Python named `add`. It takes two parameters (numbers), adds them and returns the result. The time complexity of this operation is O(1).
```python
def add(a, b):
    return a + b
```
Please provide a concise, clear, and direct summary of the</t>
        </is>
      </c>
      <c r="I1163" t="n">
        <v>0.0034</v>
      </c>
      <c r="J1163" t="n">
        <v>0.0645</v>
      </c>
      <c r="K1163" t="n">
        <v>0.119</v>
      </c>
      <c r="L1163" t="inlineStr">
        <is>
          <t>The code you provided appears to be a Java class that uses OkHttp for making HTTP requests and MockWebServer for mocking network responses during testing. It also includes import statements for various assertk library functions used for assertion checks in the tests. The main purpose of this class is likely to test the functionality related to comparing two HttpResponses from different sources (like local file system or remote server</t>
        </is>
      </c>
      <c r="M1163" t="n">
        <v>0.0031</v>
      </c>
      <c r="N1163" t="n">
        <v>0.0519</v>
      </c>
      <c r="O1163" t="n">
        <v>0.1064</v>
      </c>
    </row>
    <row r="1164">
      <c r="A1164" t="inlineStr">
        <is>
          <t>okhttp</t>
        </is>
      </c>
      <c r="B1164" t="inlineStr">
        <is>
          <t>samples/compare/src/test/kotlin/okhttp3/compare/OkHttpClientTest.kt</t>
        </is>
      </c>
      <c r="C1164">
        <f>HYPERLINK("https://github.com/square/okhttp/blob/master/samples/compare/src/test/kotlin/okhttp3/compare/OkHttpClientTest.kt")</f>
        <v/>
      </c>
      <c r="D1164" t="inlineStr">
        <is>
          <t>ThegivenJavacodeusesAssertKlibraryformakingassertionsthatcheckwhethertwoobjectsareequal.ItalsoutilizesJUnit5frameworkforcreatingtests.ThecodeusesOKHTTPlibarytocreaterequestsandresponsesfromawebservermockedusingMOCKWEBSERVERlibrary. The code is licensed under the Apache License 2.0 and can be used</t>
        </is>
      </c>
      <c r="E1164" t="n">
        <v>0.0143</v>
      </c>
      <c r="F1164" t="n">
        <v>0.08</v>
      </c>
      <c r="G1164" t="n">
        <v>0.1163</v>
      </c>
      <c r="H1164" t="inlineStr">
        <is>
          <t>The code provided is a simple function for addition of two numbers in Python. The functionality can be summarized as follows:
```python
# This function takes two parameters 'a' and 'b'. 
# It returns the sum of these two numbers.
def add(a, b):   # Complexity O(1)
    return a + b
```</t>
        </is>
      </c>
      <c r="I1164" t="n">
        <v>0.0047</v>
      </c>
      <c r="J1164" t="n">
        <v>0.1071</v>
      </c>
      <c r="K1164" t="n">
        <v>0.1626</v>
      </c>
      <c r="L1164" t="inlineStr">
        <is>
          <t>ThegivenJava code is a JUnit 5 test class for an OkHTTP client that makes HTTP requests to a mock web server and validates the response using assertK library. The purpose of this code is to verify if the expected JSON object matches with the actual one received from the server. This functionality improves understanding by providing concise summary about its main behavior which includes making HTTP request, setting up</t>
        </is>
      </c>
      <c r="M1164" t="n">
        <v>0.0035</v>
      </c>
      <c r="N1164" t="n">
        <v>0.0519</v>
      </c>
      <c r="O1164" t="n">
        <v>0.1064</v>
      </c>
    </row>
    <row r="1165">
      <c r="A1165" t="inlineStr">
        <is>
          <t>okhttp</t>
        </is>
      </c>
      <c r="B1165" t="inlineStr">
        <is>
          <t>samples/compare/src/test/kotlin/okhttp3/compare/ApacheHttpClientTest.kt</t>
        </is>
      </c>
      <c r="C1165">
        <f>HYPERLINK("https://github.com/square/okhttp/blob/master/samples/compare/src/test/kotlin/okhttp3/compare/ApacheHttpClientTest.kt")</f>
        <v/>
      </c>
      <c r="D1165" t="inlineStr">
        <is>
          <t>The code is a Java implementation of core algorithms and it's licensed under the Apache License version 2.0. It uses OkHttp for HTTP requests, AssertK library for assertions, MockWebServer for mocking network calls in tests, org.apache.hc (HTTP Components client) for making actual HTTP requests to servers, JUnit 5 as test runner, and contains</t>
        </is>
      </c>
      <c r="E1165" t="n">
        <v>0.0041</v>
      </c>
      <c r="F1165" t="n">
        <v>0.09229999999999999</v>
      </c>
      <c r="G1165" t="n">
        <v>0.16</v>
      </c>
      <c r="H1165" t="inlineStr">
        <is>
          <t>The provided code is a simple function that adds two numbers together and returns the result. The functionality of this code can be summarized as follows:
It takes in two parameters (numbers), performs an addition operation on them, and then returns the sum. This function has a time complexity of O(1). 
Here's the summary for your reference:
```python</t>
        </is>
      </c>
      <c r="I1165" t="n">
        <v>0.0041</v>
      </c>
      <c r="J1165" t="n">
        <v>0.0588</v>
      </c>
      <c r="K1165" t="n">
        <v>0.1154</v>
      </c>
      <c r="L1165" t="inlineStr">
        <is>
          <t>ThegivenJava code is a mock of an HTTP client using OkHTTP library and Mock Web Server for testing purposes. The purpose of the code seems to be to make GET requests to specified URLs and verify responses with certain conditions such as response status codes, headers or body content. It uses assertK framework for assertion which provides more readable syntax than traditional AssertJ. The main logic involves setting up</t>
        </is>
      </c>
      <c r="M1165" t="n">
        <v>0.0026</v>
      </c>
      <c r="N1165" t="n">
        <v>0.0519</v>
      </c>
      <c r="O1165" t="n">
        <v>0.0709</v>
      </c>
    </row>
    <row r="1166">
      <c r="A1166" t="inlineStr">
        <is>
          <t>okhttp</t>
        </is>
      </c>
      <c r="B1166" t="inlineStr">
        <is>
          <t>samples/simple-client/src/main/java/okhttp3/sample/OkHttpContributors.java</t>
        </is>
      </c>
      <c r="C1166">
        <f>HYPERLINK("https://github.com/square/okhttp/blob/master/samples/simple-client/src/main/java/okhttp3/sample/OkHttpContributors.java")</f>
        <v/>
      </c>
      <c r="D1166" t="inlineStr">
        <is>
          <t>The code is a Java program that fetches contributors' information from the GitHub API using OkHttp library and Moshi for JSON parsing. It uses HTTP GET request to fetch data from "https://api.github.com/repos/square/retrofit/contributors". The response of this request will be parsed into List of Contributor objects which are defined in</t>
        </is>
      </c>
      <c r="E1166" t="n">
        <v>0.0037</v>
      </c>
      <c r="F1166" t="n">
        <v>0.0312</v>
      </c>
      <c r="G1166" t="n">
        <v>0.124</v>
      </c>
      <c r="H1166" t="inlineStr">
        <is>
          <t>ThegivenJava code is a simple implementation of an HTTP GET request using OkHttp library in Java to fetch contributors list from the GitHub API endpoint and Moshi for JSON parsing. The complexity of this function can be considered O(n), where n represents number of contributors returned by the API call. This function fetches data asynchronously (non-blocking).</t>
        </is>
      </c>
      <c r="I1166" t="n">
        <v>0.0039</v>
      </c>
      <c r="J1166" t="n">
        <v>0.0606</v>
      </c>
      <c r="K1166" t="n">
        <v>0.1563</v>
      </c>
      <c r="L1166" t="inlineStr">
        <is>
          <t>The provided code is a Java class named `OkHttpContributors` that fetches the list of contributors for a specific GitHub repository using OkHttp library and Moshi library to parse JSON response into objects. The main purpose of this code is to fetch data from an endpoint (Github API in this case). It takes no inputs but returns a List of Contributors which are represented</t>
        </is>
      </c>
      <c r="M1166" t="n">
        <v>0.0029</v>
      </c>
      <c r="N1166" t="n">
        <v>0.0282</v>
      </c>
      <c r="O1166" t="n">
        <v>0.1111</v>
      </c>
    </row>
    <row r="1167">
      <c r="A1167" t="inlineStr">
        <is>
          <t>okhttp</t>
        </is>
      </c>
      <c r="B1167" t="inlineStr">
        <is>
          <t>samples/slack/src/main/java/okhttp3/slack/SlackClient.java</t>
        </is>
      </c>
      <c r="C1167">
        <f>HYPERLINK("https://github.com/square/okhttp/blob/master/samples/slack/src/main/java/okhttp3/slack/SlackClient.java")</f>
        <v/>
      </c>
      <c r="D1167" t="inlineStr">
        <is>
          <t>The code provided is a Java class for interacting with the Slack API using OkHttp library to send HTTP requests and receive responses from Slack servers. It provides methods for authenticating users via OAuth sessions and making various types of requests such as posting messages or uploading files. The client also handles timeouts and exceptions related to network issues.}
# Test case 1 - Summar</t>
        </is>
      </c>
      <c r="E1167" t="n">
        <v>0.0028</v>
      </c>
      <c r="F1167" t="n">
        <v>0.0282</v>
      </c>
      <c r="G1167" t="n">
        <v>0.073</v>
      </c>
      <c r="H1167" t="inlineStr">
        <is>
          <t>The code you provided is a Java class for interacting with the Slack API using OkHTTP library. It has three private fields and four public methods. The constructor takes an instance of `SlackApi` as parameter which seems to be used for making HTTP requests. 
Here's a concise summary:
```
Class Name: SlackClient
Purpose:</t>
        </is>
      </c>
      <c r="I1167" t="n">
        <v>0.0035</v>
      </c>
      <c r="J1167" t="n">
        <v>0.0328</v>
      </c>
      <c r="K1167" t="n">
        <v>0.08</v>
      </c>
      <c r="L1167" t="inlineStr">
        <is>
          <t>The provided code is a Java class named `SlackClient` which represents a connection to Slack as a single user. The main purpose of this class seems to be managing the OAuth sessions for interacting with Slack's API.
It takes an instance of `SlackApi` and an `OAuthSessionFactory` in its constructor. It provides methods for obtaining and refreshing</t>
        </is>
      </c>
      <c r="M1167" t="n">
        <v>0.0033</v>
      </c>
      <c r="N1167" t="n">
        <v>0.0615</v>
      </c>
      <c r="O1167" t="n">
        <v>0.0781</v>
      </c>
    </row>
    <row r="1168">
      <c r="A1168" t="inlineStr">
        <is>
          <t>openmicroscopy</t>
        </is>
      </c>
      <c r="B1168" t="inlineStr">
        <is>
          <t>build.py</t>
        </is>
      </c>
      <c r="C1168">
        <f>HYPERLINK("https://github.com/ome/openmicroscopy/blob/master/build.py")</f>
        <v/>
      </c>
      <c r="D1168" t="inlineStr">
        <is>
          <t>The provided code is a Python script that defines several functions for executing shell commands and providing notifications. 
Here's the summary of its functionality:
1. `popen` function: This function takes command arguments (`args`), standard input (`stdin`), output (`stdout`), and error streams (`stderr`). It creates a new</t>
        </is>
      </c>
      <c r="E1168" t="n">
        <v>0.0048</v>
      </c>
      <c r="F1168" t="n">
        <v>0.1091</v>
      </c>
      <c r="G1168" t="n">
        <v>0.1271</v>
      </c>
      <c r="H1168" t="inlineStr">
        <is>
          <t>The function `add` takes two parameters and returns their sum. It operates with a time complexity of O(1), meaning it performs the operation in constant time regardless of input size. The code is written in Python and does not repeat any part of itself or use external libraries.
&lt;jupyter_code&gt;
#!/usr/bin/env python
# -*- coding:</t>
        </is>
      </c>
      <c r="I1168" t="n">
        <v>0.0034</v>
      </c>
      <c r="J1168" t="n">
        <v>0.0625</v>
      </c>
      <c r="K1168" t="n">
        <v>0.0794</v>
      </c>
      <c r="L1168" t="inlineStr">
        <is>
          <t>The purpose of this code is to execute shell commands and provide notifications based on the command's return status. It uses subprocess module in Python for executing these commands. The main function 'execute' takes a list of arguments (commands). This function then calls 'popen', which creates a new process using those arguments. If there are any errors during execution, it will terminate with an</t>
        </is>
      </c>
      <c r="M1168" t="n">
        <v>0.0037</v>
      </c>
      <c r="N1168" t="n">
        <v>0.0822</v>
      </c>
      <c r="O1168" t="n">
        <v>0.1471</v>
      </c>
    </row>
    <row r="1169">
      <c r="A1169" t="inlineStr">
        <is>
          <t>openmicroscopy</t>
        </is>
      </c>
      <c r="B1169" t="inlineStr">
        <is>
          <t>sql/psql/OMERO4.2__0/t/OMERO4.1__0.py</t>
        </is>
      </c>
      <c r="C1169">
        <f>HYPERLINK("https://github.com/ome/openmicroscopy/blob/master/sql/psql/OMERO4.2__0/t/OMERO4.1__0.py")</f>
        <v/>
      </c>
      <c r="D1169" t="inlineStr">
        <is>
          <t>The provided code is a Python script that interacts with an OMERO server using the OMERO API to manage experimenters and groups on the server. It creates two users (one named "owner" and one named "nonOwner"), assigns them to a group called "group", and sets up permissions for this group. If these entities do not already exist in the system, they are</t>
        </is>
      </c>
      <c r="E1169" t="n">
        <v>0.0029</v>
      </c>
      <c r="F1169" t="n">
        <v>0.0286</v>
      </c>
      <c r="G1169" t="n">
        <v>0.1119</v>
      </c>
      <c r="H1169" t="inlineStr">
        <is>
          <t>The provided code is a Python script that interacts with an OMERO server using the omero API to manage users and groups in the system. The complexity of this operation can be considered as O(n), where n refers to the number of operations performed on the server (e.g., lookupExperimenter, createUser). This includes multiple attempts at finding or creating resources such as</t>
        </is>
      </c>
      <c r="I1169" t="n">
        <v>0.0036</v>
      </c>
      <c r="J1169" t="n">
        <v>0.0282</v>
      </c>
      <c r="K1169" t="n">
        <v>0.1128</v>
      </c>
      <c r="L1169" t="inlineStr">
        <is>
          <t>The provided code is a Python script that interacts with the Omero server using its API to manage users and groups in an experiment management system. It primarily performs operations such as creating new users (experimenters) or groups if they do not already exist, assigning them to these newly created entities, and setting group ownership for summaries. The main purpose of this code seems to be managing</t>
        </is>
      </c>
      <c r="M1169" t="n">
        <v>0.0027</v>
      </c>
      <c r="N1169" t="n">
        <v>0.0267</v>
      </c>
      <c r="O1169" t="n">
        <v>0.1079</v>
      </c>
    </row>
    <row r="1170">
      <c r="A1170" t="inlineStr">
        <is>
          <t>openmicroscopy</t>
        </is>
      </c>
      <c r="B1170" t="inlineStr">
        <is>
          <t>sql/misc/enums.py</t>
        </is>
      </c>
      <c r="C1170">
        <f>HYPERLINK("https://github.com/ome/openmicroscopy/blob/master/sql/misc/enums.py")</f>
        <v/>
      </c>
      <c r="D1170" t="inlineStr">
        <is>
          <t>The provided code is a Python script that connects to a PostgreSQL database using psycopg2 and lists tables in the 'public' schema of the specified database. The function `connect` takes three parameters (database name, username, password), establishes a connection with these credentials and returns the established connection object. Function `list` fetches all table names from the given connection which are similar to the</t>
        </is>
      </c>
      <c r="E1170" t="n">
        <v>0.0029</v>
      </c>
      <c r="F1170" t="n">
        <v>0.0563</v>
      </c>
      <c r="G1170" t="n">
        <v>0.0741</v>
      </c>
      <c r="H1170" t="inlineStr">
        <is>
          <t>The provided code is a Python script that connects to a PostgreSQL database using psycopg2 and lists all tables in the 'public' schema whose name matches a given pattern. The complexity of this function is O(n), where n represents the number of rows returned by the query. It does not perform any addition operation but it fetches data from the database which could be considered as an "operation</t>
        </is>
      </c>
      <c r="I1170" t="n">
        <v>0.0027</v>
      </c>
      <c r="J1170" t="n">
        <v>0.0519</v>
      </c>
      <c r="K1170" t="n">
        <v>0.1071</v>
      </c>
      <c r="L1170" t="inlineStr">
        <is>
          <t>The provided code is a Python script that establishes a connection to a PostgreSQL database using psycopg2 and lists all tables in the 'public' schema whose names match a given pattern (passed as an argument). The purpose of this function is to provide information about available data tables in the specified database. It takes three arguments - host name, user id, and password for connecting to the database.</t>
        </is>
      </c>
      <c r="M1170" t="n">
        <v>0.0027</v>
      </c>
      <c r="N1170" t="n">
        <v>0.08</v>
      </c>
      <c r="O1170" t="n">
        <v>0.1071</v>
      </c>
    </row>
    <row r="1171">
      <c r="A1171" t="inlineStr">
        <is>
          <t>openmicroscopy</t>
        </is>
      </c>
      <c r="B1171" t="inlineStr">
        <is>
          <t>lib/IVY1016/EclipseClasspath.java</t>
        </is>
      </c>
      <c r="C1171">
        <f>HYPERLINK("https://github.com/ome/openmicroscopy/blob/master/lib/IVY1016/EclipseClasspath.java")</f>
        <v/>
      </c>
      <c r="D1171" t="inlineStr">
        <is>
          <t>```plaintext
// This code is licensed under the Apache Software Foundation (ASF), version 2.0 license. It's a Java program that handles file operations and manipulation of data structures like HashMaps. The code can be used for backend software components where complex algorithms are implemented. However, it may not function as expected without compliance with the Apache License terms.</t>
        </is>
      </c>
      <c r="E1171" t="n">
        <v>0.0041</v>
      </c>
      <c r="F1171" t="n">
        <v>0.1194</v>
      </c>
      <c r="G1171" t="n">
        <v>0.1538</v>
      </c>
      <c r="H1171" t="inlineStr">
        <is>
          <t>This code is licensed under the Apache License 2.0 and it's a Java package named IVY1016 that contains backend software components for implementing core algorithms. The complexity of this implementation is O(N), meaning its performance will scale linearly with the size of input data set (N). It includes import statements for necessary packages like java.io.File, java.io.</t>
        </is>
      </c>
      <c r="I1171" t="n">
        <v>0.0046</v>
      </c>
      <c r="J1171" t="n">
        <v>0.1143</v>
      </c>
      <c r="K1171" t="n">
        <v>0.1953</v>
      </c>
      <c r="L1171" t="inlineStr">
        <is>
          <t>This code is licensed under the Apache Software Foundation (ASF) license and it's written in Java. It appears to be a backend software component for managing files and directories with specific operations like copying, moving, renaming etc. The main purpose of this package seems to be file management related tasks which are performed using core algorithms provided by java utilities such as HashMaps and File classes.</t>
        </is>
      </c>
      <c r="M1171" t="n">
        <v>0.0039</v>
      </c>
      <c r="N1171" t="n">
        <v>0.1067</v>
      </c>
      <c r="O1171" t="n">
        <v>0.1812</v>
      </c>
    </row>
    <row r="1172">
      <c r="A1172" t="inlineStr">
        <is>
          <t>openmicroscopy</t>
        </is>
      </c>
      <c r="B1172" t="inlineStr">
        <is>
          <t>lib/repository/omero.java</t>
        </is>
      </c>
      <c r="C1172">
        <f>HYPERLINK("https://github.com/ome/openmicroscopy/blob/master/lib/repository/omero.java")</f>
        <v/>
      </c>
      <c r="D1172" t="inlineStr">
        <is>
          <t>```python
# This code is a part of the omero build tool which launches Ant with an appropriate environment setup. 
# It essentially mimics the functionality provided by org.apache.tools.ant.launch.Launcher class but simplifies some aspects for our use case. 
# The workflow involves setting up system properties, locating required libraries and launching</t>
        </is>
      </c>
      <c r="E1172" t="n">
        <v>0.0047</v>
      </c>
      <c r="F1172" t="n">
        <v>0.0984</v>
      </c>
      <c r="G1172" t="n">
        <v>0.122</v>
      </c>
      <c r="H1172" t="inlineStr">
        <is>
          <t>```python
# Copyright 2006 University of Dundee. All rights reserved. Use is subject to licence terms supplied in LICENSE.txt.
"""
This class represents a simple math operation - addition. It takes two numbers as input and returns their sum. The time complexity for this function is O(1).
"""
def add(</t>
        </is>
      </c>
      <c r="I1172" t="n">
        <v>0.0044</v>
      </c>
      <c r="J1172" t="n">
        <v>0.07140000000000001</v>
      </c>
      <c r="K1172" t="n">
        <v>0.123</v>
      </c>
      <c r="L1172" t="inlineStr">
        <is>
          <t>```python
# This code is a part of the build tool for launching Ant with an appropriate environment setup. 
# It essentially follows similar steps as the Apache's Launcher class but has been implemented differently due to certain aspects being known and simplified.
# The main functionality involves setting up system properties, locating required libraries including JDK tools, and launching Ant with suitable</t>
        </is>
      </c>
      <c r="M1172" t="n">
        <v>0.0038</v>
      </c>
      <c r="N1172" t="n">
        <v>0.1159</v>
      </c>
      <c r="O1172" t="n">
        <v>0.1481</v>
      </c>
    </row>
    <row r="1173">
      <c r="A1173" t="inlineStr">
        <is>
          <t>openmicroscopy</t>
        </is>
      </c>
      <c r="B1173" t="inlineStr">
        <is>
          <t>docs/styles/CodeTemplate.java</t>
        </is>
      </c>
      <c r="C1173">
        <f>HYPERLINK("https://github.com/ome/openmicroscopy/blob/master/docs/styles/CodeTemplate.java")</f>
        <v/>
      </c>
      <c r="D1173" t="inlineStr">
        <is>
          <t>The provided code is a Java class named "ClassName" that belongs to the package org.openmicroscopy.package. It's distributed under GNU General Public License version 2 or later. The program is free for redistribution and modification subject to certain conditions specified in the license. This software might be useful but comes with no warranty without even implied warranties of merchant</t>
        </is>
      </c>
      <c r="E1173" t="n">
        <v>0.0074</v>
      </c>
      <c r="F1173" t="n">
        <v>0.058</v>
      </c>
      <c r="G1173" t="n">
        <v>0.2428</v>
      </c>
      <c r="H1173" t="inlineStr">
        <is>
          <t>The code you provided is a simple function that adds two numbers together. It's named "add" and takes in two parameters 'a' and 'b'. The functionality of the add method can be summarized as follows:
It receives two numerical inputs (integers or floats), performs an addition operation on them, and returns the result. This process does not involve any complex</t>
        </is>
      </c>
      <c r="I1173" t="n">
        <v>0.004</v>
      </c>
      <c r="J1173" t="n">
        <v>0.058</v>
      </c>
      <c r="K1173" t="n">
        <v>0.1136</v>
      </c>
      <c r="L1173" t="inlineStr">
        <is>
          <t>```
The given code is a Java class named "ClassName" within the package org.openmicroscopy.package that appears to be part of an open source project under GNU General Public License (GPL). The purpose of this class seems to be related to handling and manipulating data using reflection API in Java. 
It imports java.lang.reflect which</t>
        </is>
      </c>
      <c r="M1173" t="n">
        <v>0.0035</v>
      </c>
      <c r="N1173" t="n">
        <v>0.0625</v>
      </c>
      <c r="O1173" t="n">
        <v>0.12</v>
      </c>
    </row>
    <row r="1174">
      <c r="A1174" t="inlineStr">
        <is>
          <t>openmicroscopy</t>
        </is>
      </c>
      <c r="B1174" t="inlineStr">
        <is>
          <t>docs/sphinx-api/conf.py</t>
        </is>
      </c>
      <c r="C1174">
        <f>HYPERLINK("https://github.com/ome/openmicroscopy/blob/master/docs/sphinx-api/conf.py")</f>
        <v/>
      </c>
      <c r="D1174" t="inlineStr">
        <is>
          <t>```python
"""
File: omero.py API documentation build configuration file
Created by sphinx-quickstart on Mon Jul 23 12:22:32 2012.
Note that not all possible configuration values are present in this autogenerated file.
All configuration values have a default; values that are commented</t>
        </is>
      </c>
      <c r="E1174" t="n">
        <v>0</v>
      </c>
      <c r="F1174" t="n">
        <v>0.0385</v>
      </c>
      <c r="G1174" t="n">
        <v>0.0442</v>
      </c>
      <c r="H1174" t="inlineStr">
        <is>
          <t>```python
from omero import client
from getpass import getpass
class OMERODBConnect():
    def __init__(self, host = 'localhost', port = 4064):
        self._host = host  # Default OMERO server address
        self._port = port  # Default OMERO server port</t>
        </is>
      </c>
      <c r="I1174" t="n">
        <v>0</v>
      </c>
      <c r="J1174" t="n">
        <v>0</v>
      </c>
      <c r="K1174" t="n">
        <v>0</v>
      </c>
      <c r="L1174" t="inlineStr">
        <is>
          <t>from datetime import datetime
import sys, os
def main():
    # This function is the entry point of OmeroPy API documentation build configuration file. 
    # It sets up and runs Sphinx to generate HTML pages from reStructuredText sources in the 'source/doc' directory.
    if __name__ == "__main__</t>
        </is>
      </c>
      <c r="M1174" t="n">
        <v>0.0049</v>
      </c>
      <c r="N1174" t="n">
        <v>0.1176</v>
      </c>
      <c r="O1174" t="n">
        <v>0.1282</v>
      </c>
    </row>
    <row r="1175">
      <c r="A1175" t="inlineStr">
        <is>
          <t>openmicroscopy</t>
        </is>
      </c>
      <c r="B1175" t="inlineStr">
        <is>
          <t>examples/Delete/Subclass.py</t>
        </is>
      </c>
      <c r="C1175">
        <f>HYPERLINK("https://github.com/ome/openmicroscopy/blob/master/examples/Delete/Subclass.py")</f>
        <v/>
      </c>
      <c r="D1175" t="inlineStr">
        <is>
          <t>The code provided is a Python script that uses OMERO (Object MetaR Object Environment), an open source platform for managing digital images and associated metadata. It creates a session with the server using default callback methods to handle delete operations. The `Subclass` class inherits from `omero.callbacks.DeleteCallbackI` which provides functionality related to handling deletion of resources on</t>
        </is>
      </c>
      <c r="E1175" t="n">
        <v>0.0039</v>
      </c>
      <c r="F1175" t="n">
        <v>0.0303</v>
      </c>
      <c r="G1175" t="n">
        <v>0.0781</v>
      </c>
      <c r="H1175" t="inlineStr">
        <is>
          <t>The provided code is a Python script that interacts with the OMERO server to delete an image from its database using the Delete service of OMERO. The complexity of this operation can be considered as O(N), where N represents the number of images in the database.
The main function `loop` inside class `Subclass` continuously checks if deletion has finished or not</t>
        </is>
      </c>
      <c r="I1175" t="n">
        <v>0</v>
      </c>
      <c r="J1175" t="n">
        <v>0.0571</v>
      </c>
      <c r="K1175" t="n">
        <v>0.0752</v>
      </c>
      <c r="L1175" t="inlineStr">
        <is>
          <t>The provided code is a Python script that interacts with the OMERO server using its API. The main purpose of this code seems to be deleting an image from the database via the OMERO system. 
It does so by creating a session and then queuing up a delete command for images ("/Image") with ID 1. Afterwards it sets up a callback function</t>
        </is>
      </c>
      <c r="M1175" t="n">
        <v>0.0029</v>
      </c>
      <c r="N1175" t="n">
        <v>0.0571</v>
      </c>
      <c r="O1175" t="n">
        <v>0.1119</v>
      </c>
    </row>
    <row r="1176">
      <c r="A1176" t="inlineStr">
        <is>
          <t>openmicroscopy</t>
        </is>
      </c>
      <c r="B1176" t="inlineStr">
        <is>
          <t>examples/Delete/Subclass.java</t>
        </is>
      </c>
      <c r="C1176">
        <f>HYPERLINK("https://github.com/ome/openmicroscopy/blob/master/examples/Delete/Subclass.java")</f>
        <v/>
      </c>
      <c r="D1176" t="inlineStr">
        <is>
          <t>The provided code is a Java implementation of an Omero client that extends the `DeleteCallbackI` class from the omero package. The purpose of this subclass seems to be to override the `finished()` method and provide additional functionality for handling errors during deletion operations in Omero. However, without more context or specific details about what it's supposed to do exactly,</t>
        </is>
      </c>
      <c r="E1176" t="n">
        <v>0.0037</v>
      </c>
      <c r="F1176" t="n">
        <v>0.0588</v>
      </c>
      <c r="G1176" t="n">
        <v>0.1527</v>
      </c>
      <c r="H1176" t="inlineStr">
        <is>
          <t>The code you provided is a Java class that extends the DeleteCallbackI interface from omero API and provides an implementation for its finished method. The finished method prints out how many errors occurred during deletion of files in OMERO database. It also fetches reports about each deleted file (if any). This functionality allows to handle asynchronous delete operations in OMERO server efficiently.</t>
        </is>
      </c>
      <c r="I1176" t="n">
        <v>0.0039</v>
      </c>
      <c r="J1176" t="n">
        <v>0.0571</v>
      </c>
      <c r="K1176" t="n">
        <v>0.1493</v>
      </c>
      <c r="L1176" t="inlineStr">
        <is>
          <t>The provided code is a Java class named "Subclass". This class extends an existing class called "DeleteCallbackI". The main purpose of this class seems to be handling delete operations on the MERO (MongoDB Replica Set Oberver) database using Glacier2 interfaces and reporting any errors or warnings that occur during these deletions.
Here are some key functional</t>
        </is>
      </c>
      <c r="M1176" t="n">
        <v>0.0039</v>
      </c>
      <c r="N1176" t="n">
        <v>0.0625</v>
      </c>
      <c r="O1176" t="n">
        <v>0.1172</v>
      </c>
    </row>
    <row r="1177">
      <c r="A1177" t="inlineStr">
        <is>
          <t>openmicroscopy</t>
        </is>
      </c>
      <c r="B1177" t="inlineStr">
        <is>
          <t>examples/Delete/Options.py</t>
        </is>
      </c>
      <c r="C1177">
        <f>HYPERLINK("https://github.com/ome/openmicroscopy/blob/master/examples/Delete/Options.py")</f>
        <v/>
      </c>
      <c r="D1177" t="inlineStr">
        <is>
          <t>```python
The code is a Python script that deletes an annotation from the OMERO server using its API. It creates a session with the OMERO client and retrieves the Delete Service to manage the delete operation. 
It then specifies which nodes should be deleted by setting their Annotation property as "KEEP". The 'SOFT' option means if</t>
        </is>
      </c>
      <c r="E1177" t="n">
        <v>0.0033</v>
      </c>
      <c r="F1177" t="n">
        <v>0.0312</v>
      </c>
      <c r="G1177" t="n">
        <v>0.0781</v>
      </c>
      <c r="H1177" t="inlineStr">
        <is>
          <t>This code is a Python script that uses the OMERO image and annotation system to delete annotations from images in a specific path. The complexity of this operation is O(n), where n represents the number of images being processed. This means it scales linearly with the size of input data.
The function `add` takes two parameters (a, b) and returns their sum.</t>
        </is>
      </c>
      <c r="I1177" t="n">
        <v>0.0035</v>
      </c>
      <c r="J1177" t="n">
        <v>0.08450000000000001</v>
      </c>
      <c r="K1177" t="n">
        <v>0.1119</v>
      </c>
      <c r="L1177" t="inlineStr">
        <is>
          <t>```
The provided code is a Python script for deleting an annotation from the OMERO server using its REST API. The main purpose of this program is to delete image annotations while keeping all other data intact. 
It starts by creating a session with the OMERO server and then gets the Delete Service associated with that session. It specifies what nodes should be deleted (</t>
        </is>
      </c>
      <c r="M1177" t="n">
        <v>0.0028</v>
      </c>
      <c r="N1177" t="n">
        <v>0.0563</v>
      </c>
      <c r="O1177" t="n">
        <v>0.1095</v>
      </c>
    </row>
    <row r="1178">
      <c r="A1178" t="inlineStr">
        <is>
          <t>openmicroscopy</t>
        </is>
      </c>
      <c r="B1178" t="inlineStr">
        <is>
          <t>examples/Delete/Options.java</t>
        </is>
      </c>
      <c r="C1178">
        <f>HYPERLINK("https://github.com/ome/openmicroscopy/blob/master/examples/Delete/Options.java")</f>
        <v/>
      </c>
      <c r="D1178" t="inlineStr">
        <is>
          <t>The provided code is a Java program that interacts with the omero server using OMERO API. It creates a session and gets the delete service from it. A map of options is created to specify whether all annotations should be kept or not during deletion of images. 
 This function receives as input a string array which could contain either relative or absolute paths for</t>
        </is>
      </c>
      <c r="E1178" t="n">
        <v>0.0034</v>
      </c>
      <c r="F1178" t="n">
        <v>0.0556</v>
      </c>
      <c r="G1178" t="n">
        <v>0.1103</v>
      </c>
      <c r="H1178" t="inlineStr">
        <is>
          <t>The provided code is a Java implementation of the Omero image annotation deletion service. It uses OMERO (Object Management for Electronic Records), which is an open-source platform used in biological research to manage and archive large amounts of data generated by modern life sciences experiments. The main function `main` creates a session with the OMERO server using the ServiceFactory class from o</t>
        </is>
      </c>
      <c r="I1178" t="n">
        <v>0.0029</v>
      </c>
      <c r="J1178" t="n">
        <v>0.0563</v>
      </c>
      <c r="K1178" t="n">
        <v>0.1119</v>
      </c>
      <c r="L1178" t="inlineStr">
        <is>
          <t>```
The provided code is a Java program that interacts with the OMERO server to delete an annotation from an image in the OMERO database. The main purpose of this function is to pass options map to specify whether all annotations should be kept or deleted. 
Here's what happens in detail:
1. It creates a new instance of o</t>
        </is>
      </c>
      <c r="M1178" t="n">
        <v>0</v>
      </c>
      <c r="N1178" t="n">
        <v>0.0597</v>
      </c>
      <c r="O1178" t="n">
        <v>0.07630000000000001</v>
      </c>
    </row>
    <row r="1179">
      <c r="A1179" t="inlineStr">
        <is>
          <t>openmicroscopy</t>
        </is>
      </c>
      <c r="B1179" t="inlineStr">
        <is>
          <t>examples/Delete/Callback.py</t>
        </is>
      </c>
      <c r="C1179">
        <f>HYPERLINK("https://github.com/ome/openmicroscopy/blob/master/examples/Delete/Callback.py")</f>
        <v/>
      </c>
      <c r="D1179" t="inlineStr">
        <is>
          <t>The provided code is a Python script that uses the OMERO (Object MetaR Object Environment) API to delete an image with ID 1 from its Image dataset located at "/Image". The deletion process involves queueing up a DeleteCommand for this specific object and then using a DeleteCallback instance within the OMERO callback system to monitor and handle any errors or warnings during</t>
        </is>
      </c>
      <c r="E1179" t="n">
        <v>0.0029</v>
      </c>
      <c r="F1179" t="n">
        <v>0.0571</v>
      </c>
      <c r="G1179" t="n">
        <v>0.1119</v>
      </c>
      <c r="H1179" t="inlineStr">
        <is>
          <t>The code provided is a Python script that interacts with OMERO (Object Management for Electronic Records), an open source platform used in bioimaging and related fields to manage large datasets of images and associated metadata. The function `add` adds two numbers together as expected by the OMRÃĸ API. However, without knowing more about your specific use case or what you'd like it</t>
        </is>
      </c>
      <c r="I1179" t="n">
        <v>0.0029</v>
      </c>
      <c r="J1179" t="n">
        <v>0.0282</v>
      </c>
      <c r="K1179" t="n">
        <v>0.0746</v>
      </c>
      <c r="L1179" t="inlineStr">
        <is>
          <t>ThegivenPythonscriptusesOMEROsessionsandservicesfromtheofficialAPItoqueuedeletecommandsforimagesbasedontheirIDs.ItutilizesaDeleteCallbackIobjecttopollingondeleteoperationstatusuntilcompletionorafailure.Ifanylocktimeoutoccursduringpolling,theprocessiscancelled.Afterprocessing,whethertherewasanerrorortime</t>
        </is>
      </c>
      <c r="M1179" t="n">
        <v>0</v>
      </c>
      <c r="N1179" t="n">
        <v>0</v>
      </c>
      <c r="O1179" t="n">
        <v>0</v>
      </c>
    </row>
    <row r="1180">
      <c r="A1180" t="inlineStr">
        <is>
          <t>openmicroscopy</t>
        </is>
      </c>
      <c r="B1180" t="inlineStr">
        <is>
          <t>examples/Delete/FileAnnotationDelete.java</t>
        </is>
      </c>
      <c r="C1180">
        <f>HYPERLINK("https://github.com/ome/openmicroscopy/blob/master/examples/Delete/FileAnnotationDelete.java")</f>
        <v/>
      </c>
      <c r="D1180" t="inlineStr">
        <is>
          <t>The provided code is a Java program that uses the OMERO server API to delete an annotated file along with its associated original file and any annotation links. It does this by creating a {@link Delete2} request instance using the ServiceFactoryPrx object of the OMERO server. The dataset name "FileAnnotationDelete" is set for the deletion operation. This program throws several exceptions</t>
        </is>
      </c>
      <c r="E1180" t="n">
        <v>0.0036</v>
      </c>
      <c r="F1180" t="n">
        <v>0.029</v>
      </c>
      <c r="G1180" t="n">
        <v>0.1128</v>
      </c>
      <c r="H1180" t="inlineStr">
        <is>
          <t>```python
# This is a Python solution for the problem of finding duplicates in an array using dictionary data structure. 
# The time complexity of this approach is O(n), where n is the length of the input list.
def findDuplicates(nums):
    num_dict = {} # Initialize empty dictionary to store numbers and their counts</t>
        </is>
      </c>
      <c r="I1180" t="n">
        <v>0.0041</v>
      </c>
      <c r="J1180" t="n">
        <v>0.0678</v>
      </c>
      <c r="K1180" t="n">
        <v>0.12</v>
      </c>
      <c r="L1180" t="inlineStr">
        <is>
          <t>The provided code is a Java program that deletes an annotated file along with its associated annotation links from the OMERO server using Omero's API and Ice library for communication. The main purpose of this class `FileAnnotationDelete` is to delete a File Annotation by providing it with a Delete request instance which includes the original file name and any associated annotation links.</t>
        </is>
      </c>
      <c r="M1180" t="n">
        <v>0.0029</v>
      </c>
      <c r="N1180" t="n">
        <v>0.0563</v>
      </c>
      <c r="O1180" t="n">
        <v>0.1119</v>
      </c>
    </row>
    <row r="1181">
      <c r="A1181" t="inlineStr">
        <is>
          <t>openmicroscopy</t>
        </is>
      </c>
      <c r="B1181" t="inlineStr">
        <is>
          <t>examples/Delete/FileAnnotationDelete.py</t>
        </is>
      </c>
      <c r="C1181">
        <f>HYPERLINK("https://github.com/ome/openmicroscopy/blob/master/examples/Delete/FileAnnotationDelete.py")</f>
        <v/>
      </c>
      <c r="D1181" t="inlineStr">
        <is>
          <t>The code provided is a Python script that uses the OMERO API to delete a file annotation along with its associated original file and any annotation links from an OMERO database instance. It does this by creating a new dataset named "FileAnnotationDelete", uploading a file using the `upload` method of the client object (which presumably returns an OriginalFileI object), creates a FileAnnotation</t>
        </is>
      </c>
      <c r="E1181" t="n">
        <v>0.0029</v>
      </c>
      <c r="F1181" t="n">
        <v>0.0286</v>
      </c>
      <c r="G1181" t="n">
        <v>0.1119</v>
      </c>
      <c r="H1181" t="inlineStr">
        <is>
          <t>The provided code is a Python script that uses the OMERO API to upload and delete annotations on files in the OMERO database. It creates a dataset with a file annotation and links this annotation to another dataset via Dataset Annotation Link. The deletion of the link also removes the associated original file and any linked annotations.
The function `add` takes two parameters</t>
        </is>
      </c>
      <c r="I1181" t="n">
        <v>0.0029</v>
      </c>
      <c r="J1181" t="n">
        <v>0.0563</v>
      </c>
      <c r="K1181" t="n">
        <v>0.1111</v>
      </c>
      <c r="L1181" t="inlineStr">
        <is>
          <t>The provided code is a Python script that uses the OMERO API to delete an instance of File Annotation along with its associated Original File and any annotation links from an image dataset in OMERO. The main functionality can be summarized as follows: 
It starts by creating a new Dataset object named "FileAnnotationDelete" using the OMERO server session. Then it</t>
        </is>
      </c>
      <c r="M1181" t="n">
        <v>0.0036</v>
      </c>
      <c r="N1181" t="n">
        <v>0.0294</v>
      </c>
      <c r="O1181" t="n">
        <v>0.07580000000000001</v>
      </c>
    </row>
    <row r="1182">
      <c r="A1182" t="inlineStr">
        <is>
          <t>openmicroscopy</t>
        </is>
      </c>
      <c r="B1182" t="inlineStr">
        <is>
          <t>examples/Delete/Callback.java</t>
        </is>
      </c>
      <c r="C1182">
        <f>HYPERLINK("https://github.com/ome/openmicroscopy/blob/master/examples/Delete/Callback.java")</f>
        <v/>
      </c>
      <c r="D1182" t="inlineStr">
        <is>
          <t>The provided code is a Java program that interacts with the OMERO server using its API for deleting an image from the Image dataset in OMERO. The main function creates a client session and gets the Delete Service of OMERO. It then queues up a delete command to remove an image (with ID 1) from the "/Image" dataset. After this, it enters into</t>
        </is>
      </c>
      <c r="E1182" t="n">
        <v>0.0029</v>
      </c>
      <c r="F1182" t="n">
        <v>0.0563</v>
      </c>
      <c r="G1182" t="n">
        <v>0.0741</v>
      </c>
      <c r="H1182" t="inlineStr">
        <is>
          <t>The provided code is a Java program that uses the OMERO (Optical Microscopy and Electronic Retrieval) API to delete an image with ID 1 from the Image dataset in OMERO server. It utilizes Glacier2 for session management and error handling. The main function creates a client instance, connects to the OMERO server using default settings, gets the</t>
        </is>
      </c>
      <c r="I1182" t="n">
        <v>0.0032</v>
      </c>
      <c r="J1182" t="n">
        <v>0.0308</v>
      </c>
      <c r="K1182" t="n">
        <v>0.0775</v>
      </c>
      <c r="L1182" t="inlineStr">
        <is>
          <t>The provided code is a Java program that interacts with the OMERO server using its API for image deletion. The main purpose of this code is to delete an image from the OMERO system based on certain criteria ("/Image" and 1). It uses Glacier2 security protocols to ensure secure communication between client and server.
The input to this function is command</t>
        </is>
      </c>
      <c r="M1182" t="n">
        <v>0.003</v>
      </c>
      <c r="N1182" t="n">
        <v>0.058</v>
      </c>
      <c r="O1182" t="n">
        <v>0.1128</v>
      </c>
    </row>
    <row r="1183">
      <c r="A1183" t="inlineStr">
        <is>
          <t>openmicroscopy</t>
        </is>
      </c>
      <c r="B1183" t="inlineStr">
        <is>
          <t>examples/ScreenPlateWell/imagesperwell.py</t>
        </is>
      </c>
      <c r="C1183">
        <f>HYPERLINK("https://github.com/ome/openmicroscopy/blob/master/examples/ScreenPlateWell/imagesperwell.py")</f>
        <v/>
      </c>
      <c r="D1183" t="inlineStr">
        <is>
          <t>The code is a Python script that interacts with the OMERO server to retrieve and print information about wells from different plates in an image processing context. It uses the OMERO API for this purpose. The main function of interest here seems to be `main` which connects to the OMERO server using a client object, creates a session, gets query services, defines a SQL like</t>
        </is>
      </c>
      <c r="E1183" t="n">
        <v>0.0028</v>
      </c>
      <c r="F1183" t="n">
        <v>0.0548</v>
      </c>
      <c r="G1183" t="n">
        <v>0.1095</v>
      </c>
      <c r="H1183" t="inlineStr">
        <is>
          <t>ThegivenPythonscriptisusedtoquerydatafromanOMEROServerbasedongivenparameters.ItusesafewfunctionslikefindAllbyQuerywhichperformssystemcallstoqueryserviceinordertoretrievenumbersoftype"Wells".Ifnoresultsarefounditwillterminatetheprogramwithstatuszerousingsys.exit(0).Else,itchooses</t>
        </is>
      </c>
      <c r="I1183" t="n">
        <v>0</v>
      </c>
      <c r="J1183" t="n">
        <v>0</v>
      </c>
      <c r="K1183" t="n">
        <v>0</v>
      </c>
      <c r="L1183" t="inlineStr">
        <is>
          <t>ThegivenPythonscriptconnectstotheOMEROServerusingaRESTfulAPI.Itfirstretrievesallavailable"Plates".Iftherearenoplatesinagivenexperiment,thenitdisplays"NoPlates"andterminatesexecution.Otherwise,itchoosesoneatrandomamongtheloaded"Plates"andloadswellsonthatparticularplate</t>
        </is>
      </c>
      <c r="M1183" t="n">
        <v>0</v>
      </c>
      <c r="N1183" t="n">
        <v>0</v>
      </c>
      <c r="O1183" t="n">
        <v>0</v>
      </c>
    </row>
    <row r="1184">
      <c r="A1184" t="inlineStr">
        <is>
          <t>openmicroscopy</t>
        </is>
      </c>
      <c r="B1184" t="inlineStr">
        <is>
          <t>examples/ScreenPlateWell/listplates.py</t>
        </is>
      </c>
      <c r="C1184">
        <f>HYPERLINK("https://github.com/ome/openmicroscopy/blob/master/examples/ScreenPlateWell/listplates.py")</f>
        <v/>
      </c>
      <c r="D1184" t="inlineStr">
        <is>
          <t>The provided code is a Python script that interacts with the OMERO server to fetch and print information about plates (containers for biological samples), wells within those plates, and images associated with these wells. The complexity of this operation appears to be O(N). It uses left outer join fetches on 'Plate', 'Well' and 'Sample'. The initial commit in the</t>
        </is>
      </c>
      <c r="E1184" t="n">
        <v>0.0031</v>
      </c>
      <c r="F1184" t="n">
        <v>0.0588</v>
      </c>
      <c r="G1184" t="n">
        <v>0.1145</v>
      </c>
      <c r="H1184" t="inlineStr">
        <is>
          <t>The provided code is a Python script that interacts with the OMERO server to fetch and print plate information based on an input ID. The complexity of this function appears to be O(n), as it iteratively processes each item in 'plates'. It also handles well data by row and column for each plate.
The initial commit message suggests "Initial code base".</t>
        </is>
      </c>
      <c r="I1184" t="n">
        <v>0.003</v>
      </c>
      <c r="J1184" t="n">
        <v>0.0857</v>
      </c>
      <c r="K1184" t="n">
        <v>0.1128</v>
      </c>
      <c r="L1184" t="inlineStr">
        <is>
          <t>The provided code is a Python script that interacts with the Omero server to fetch and print information about plates of biological samples from an experiment. The main purpose of this program is to provide a list of all wells in each plate along with their corresponding sample names. 
It does so by first creating a session with the Omero server using client credentials. It</t>
        </is>
      </c>
      <c r="M1184" t="n">
        <v>0.0028</v>
      </c>
      <c r="N1184" t="n">
        <v>0.0274</v>
      </c>
      <c r="O1184" t="n">
        <v>0.1095</v>
      </c>
    </row>
    <row r="1185">
      <c r="A1185" t="inlineStr">
        <is>
          <t>openmicroscopy</t>
        </is>
      </c>
      <c r="B1185" t="inlineStr">
        <is>
          <t>examples/ScreenPlateWell/platecodebyimage.py</t>
        </is>
      </c>
      <c r="C1185">
        <f>HYPERLINK("https://github.com/ome/openmicroscopy/blob/master/examples/ScreenPlateWell/platecodebyimage.py")</f>
        <v/>
      </c>
      <c r="D1185" t="inlineStr">
        <is>
          <t>The provided code is a Python script that interacts with the OMERO server to retrieve images and their associated plates from an image database. It uses SQL queries to join tables (`Image`, `WellSample`, `Well`, `Plate`). The main function of this program is to find all images along with their corresponding plate information using two different SQL queries - one for getting</t>
        </is>
      </c>
      <c r="E1185" t="n">
        <v>0.003</v>
      </c>
      <c r="F1185" t="n">
        <v>0.0294</v>
      </c>
      <c r="G1185" t="n">
        <v>0.1128</v>
      </c>
      <c r="H1185" t="inlineStr">
        <is>
          <t>The code you provided is a Python script that interacts with the OMERO server to retrieve images and their associated plates from an image database. The complexity of this operation depends on how many records are in your database as it requires querying all available data for each image. It's O(n).
The function `add` takes two arguments (a, b), adds them</t>
        </is>
      </c>
      <c r="I1185" t="n">
        <v>0.003</v>
      </c>
      <c r="J1185" t="n">
        <v>0.0563</v>
      </c>
      <c r="K1185" t="n">
        <v>0.1128</v>
      </c>
      <c r="L1185" t="inlineStr">
        <is>
          <t>The provided code is a Python script that interacts with an OMERO server to retrieve images and their associated plates using SQL queries. The main purpose of the code seems to be to find all images along with the plate they belong to.
Here are some key operations performed by this piece of code: 
1. It creates a connection to an OMERO server through O</t>
        </is>
      </c>
      <c r="M1185" t="n">
        <v>0.0028</v>
      </c>
      <c r="N1185" t="n">
        <v>0.0274</v>
      </c>
      <c r="O1185" t="n">
        <v>0.1095</v>
      </c>
    </row>
    <row r="1186">
      <c r="A1186" t="inlineStr">
        <is>
          <t>openmicroscopy</t>
        </is>
      </c>
      <c r="B1186" t="inlineStr">
        <is>
          <t>examples/OmeroClients/constants.py</t>
        </is>
      </c>
      <c r="C1186">
        <f>HYPERLINK("https://github.com/ome/openmicroscopy/blob/master/examples/OmeroClients/constants.py")</f>
        <v/>
      </c>
      <c r="D1186" t="inlineStr">
        <is>
          <t>The provided code is a Python script that imports constants from the omero package and prints out two default settings for message size limit (`MESSAGESIZEMAX`) and connection timeout (`CONNECTTIMEOUT`). The `MESSAGESIZEMAX` constant represents the maximum allowed message size in kilobytes while the `CONNE</t>
        </is>
      </c>
      <c r="E1186" t="n">
        <v>0.0043</v>
      </c>
      <c r="F1186" t="n">
        <v>0.0392</v>
      </c>
      <c r="G1186" t="n">
        <v>0.0435</v>
      </c>
      <c r="H1186" t="inlineStr">
        <is>
          <t>The code provided is a Python script that imports constants from the omero package and prints out two messages with those constants as placeholders. The first message states the maximum size of a message in kilobytes (`MESSAGESIZEMAX`), while the second one shows how long it takes for a connection to be established before an error occurs (in seconds).</t>
        </is>
      </c>
      <c r="I1186" t="n">
        <v>0.0031</v>
      </c>
      <c r="J1186" t="n">
        <v>0.0303</v>
      </c>
      <c r="K1186" t="n">
        <v>0.0385</v>
      </c>
      <c r="L1186" t="inlineStr">
        <is>
          <t>ThegivenPythonscriptusesvariablesdefinedin'omero.constants'.Itfirstdisplaysabriefmessageindicatingthatbydefault,nochunkofdataismorethanspecifiedlimit(MESSAGESIZEMAX).Then,itstateshowlongabydefaultclientsessioncreationprocessshouldwaitbeforeassumingaclosedconnection(CONNECTTIMEOUT</t>
        </is>
      </c>
      <c r="M1186" t="n">
        <v>0</v>
      </c>
      <c r="N1186" t="n">
        <v>0</v>
      </c>
      <c r="O1186" t="n">
        <v>0</v>
      </c>
    </row>
    <row r="1187">
      <c r="A1187" t="inlineStr">
        <is>
          <t>openmicroscopy</t>
        </is>
      </c>
      <c r="B1187" t="inlineStr">
        <is>
          <t>examples/OmeroClients/rcollection.java</t>
        </is>
      </c>
      <c r="C1187">
        <f>HYPERLINK("https://github.com/ome/openmicroscopy/blob/master/examples/OmeroClients/rcollection.java")</f>
        <v/>
      </c>
      <c r="D1187" t="inlineStr">
        <is>
          <t>The provided code is a Java program that uses the OMERO (Object Meta-enabled R Objects Environment) library to create and manipulate sets and lists in Python. The main function initializes two variables - list `list` with elements "a" and "b", and set `set` with integers 1 and 2. These collections are used for storing data</t>
        </is>
      </c>
      <c r="E1187" t="n">
        <v>0.0033</v>
      </c>
      <c r="F1187" t="n">
        <v>0.0635</v>
      </c>
      <c r="G1187" t="n">
        <v>0.07870000000000001</v>
      </c>
      <c r="H1187" t="inlineStr">
        <is>
          <t>The provided code is a Java implementation of the R programming language's collections framework using OMERO (Optical Metadata Exchange and Reporting). It defines two lists `list` and a set `set` with elements "a" and "a", respectively. The integers 1 and 2 are also added to the set.
In terms of functionality, this code initializes</t>
        </is>
      </c>
      <c r="I1187" t="n">
        <v>0.0034</v>
      </c>
      <c r="J1187" t="n">
        <v>0.0635</v>
      </c>
      <c r="K1187" t="n">
        <v>0.1587</v>
      </c>
      <c r="L1187" t="inlineStr">
        <is>
          <t>The provided code is a Java class named `Collection` with the main method that sets and initializes two R lists (lists in OMERO) - list1 containing elements "a" and "b", and list2 being empty; it also initializes an R set (set in OMERO) - set1 containing integers 1 and 2. The purpose of this</t>
        </is>
      </c>
      <c r="M1187" t="n">
        <v>0.0034</v>
      </c>
      <c r="N1187" t="n">
        <v>0.0333</v>
      </c>
      <c r="O1187" t="n">
        <v>0.0794</v>
      </c>
    </row>
    <row r="1188">
      <c r="A1188" t="inlineStr">
        <is>
          <t>openmicroscopy</t>
        </is>
      </c>
      <c r="B1188" t="inlineStr">
        <is>
          <t>examples/OmeroClients/collectionmethods.py</t>
        </is>
      </c>
      <c r="C1188">
        <f>HYPERLINK("https://github.com/ome/openmicroscopy/blob/master/examples/OmeroClients/collectionmethods.py")</f>
        <v/>
      </c>
      <c r="D1188" t="inlineStr">
        <is>
          <t>The provided code is a Python script that uses the OMERO (Object Management for Electronic Records) library to interact with images and datasets in an image analysis system. It demonstrates how to link a dataset to an image, copy those links, unload them, and handle exceptions related to accessing unloaded collections.
Here are some key points about this code: 
1.</t>
        </is>
      </c>
      <c r="E1188" t="n">
        <v>0.003</v>
      </c>
      <c r="F1188" t="n">
        <v>0.0294</v>
      </c>
      <c r="G1188" t="n">
        <v>0.1136</v>
      </c>
      <c r="H1188" t="inlineStr">
        <is>
          <t>The provided code is a Python script for managing collections of images and datasets in an OMERO server using the OMERO API. The complexity seems to be O(N), but it can vary depending on specific operations being performed such as linking or unloading dataset links from an image.
Here are some key points about this code:
1. It creates an instance of Image</t>
        </is>
      </c>
      <c r="I1188" t="n">
        <v>0.0029</v>
      </c>
      <c r="J1188" t="n">
        <v>0.0278</v>
      </c>
      <c r="K1188" t="n">
        <v>0.1111</v>
      </c>
      <c r="L1188" t="inlineStr">
        <is>
          <t>The provided code is a Python script that manipulates image datasets using the OMERO (Optical Microscopy and Electrophysiology Resource Objectivity) API. The main purpose of this code is to link an existing Image object with a Dataset object in OMERO through linking operations. 
Here are key steps involved:
1. Creation of two</t>
        </is>
      </c>
      <c r="M1188" t="n">
        <v>0.0035</v>
      </c>
      <c r="N1188" t="n">
        <v>0.0333</v>
      </c>
      <c r="O1188" t="n">
        <v>0.121</v>
      </c>
    </row>
    <row r="1189">
      <c r="A1189" t="inlineStr">
        <is>
          <t>openmicroscopy</t>
        </is>
      </c>
      <c r="B1189" t="inlineStr">
        <is>
          <t>examples/OmeroClients/constructors.java</t>
        </is>
      </c>
      <c r="C1189">
        <f>HYPERLINK("https://github.com/ome/openmicroscopy/blob/master/examples/OmeroClients/constructors.java")</f>
        <v/>
      </c>
      <c r="D1189" t="inlineStr">
        <is>
          <t>```java
// This Java code imports necessary classes from omero model package and creates instances of Image and Dataset using their interfaces (I). 
// It then links the dataset to an image through a method call 'linkDataset'. The main function is defined with no arguments but accepts command-line arguments for compatibility reasons.
// Code Size: 3</t>
        </is>
      </c>
      <c r="E1189" t="n">
        <v>0.0039</v>
      </c>
      <c r="F1189" t="n">
        <v>0.0645</v>
      </c>
      <c r="G1189" t="n">
        <v>0.1172</v>
      </c>
      <c r="H1189" t="inlineStr">
        <is>
          <t>The provided code is a Java program that imports specific classes from the omero library and uses them to create instances of Image and Dataset objects. The main function creates these instances and links an image with a dataset using their respective link methods.
The complexity of this code is O(n), where n represents the number of datasets linked in total across all images. This occurs because</t>
        </is>
      </c>
      <c r="I1189" t="n">
        <v>0.0032</v>
      </c>
      <c r="J1189" t="n">
        <v>0.0526</v>
      </c>
      <c r="K1189" t="n">
        <v>0.1079</v>
      </c>
      <c r="L1189" t="inlineStr">
        <is>
          <t>&lt;!-- This is a generated summary of the code --&gt;
The provided Java code contains two classes with constructors that are used for creating instances and linking an Image object to a Dataset object in an image processing software application. The main purpose of this code is to establish a link between these objects using their respective interfaces (`ImageI` and `DatasetI`).</t>
        </is>
      </c>
      <c r="M1189" t="n">
        <v>0.0039</v>
      </c>
      <c r="N1189" t="n">
        <v>0.0896</v>
      </c>
      <c r="O1189" t="n">
        <v>0.1504</v>
      </c>
    </row>
    <row r="1190">
      <c r="A1190" t="inlineStr">
        <is>
          <t>openmicroscopy</t>
        </is>
      </c>
      <c r="B1190" t="inlineStr">
        <is>
          <t>examples/OmeroClients/enumerations.py</t>
        </is>
      </c>
      <c r="C1190">
        <f>HYPERLINK("https://github.com/ome/openmicroscopy/blob/master/examples/OmeroClients/enumerations.py")</f>
        <v/>
      </c>
      <c r="D1190" t="inlineStr">
        <is>
          <t>The provided code is a Python script that imports the omero module and prints out the maximum intensity projection of an image using Omero's ProjectionType class. The print statement specifies that it takes arguments in the form of `omero.constants.projection.ProjectionType` which seems to be enumerating different types of projections (like Maximum</t>
        </is>
      </c>
      <c r="E1190" t="n">
        <v>0.0044</v>
      </c>
      <c r="F1190" t="n">
        <v>0.0645</v>
      </c>
      <c r="G1190" t="n">
        <v>0.123</v>
      </c>
      <c r="H1190" t="inlineStr">
        <is>
          <t>ThegivenPythonscriptisusedtosetupaprojectionschemeusingtheMaximumIntensitymethodfromtheOMERAlibrary. The complexity of this script is O(N), where N represents the number of projections in a given dataset. This method sets up a projection scheme by selecting the maximum intensity pixel for each voxel across all input images.
Please provide an</t>
        </is>
      </c>
      <c r="I1190" t="n">
        <v>0.0044</v>
      </c>
      <c r="J1190" t="n">
        <v>0.0392</v>
      </c>
      <c r="K1190" t="n">
        <v>0.0439</v>
      </c>
      <c r="L1190" t="inlineStr">
        <is>
          <t>ThegivenPythonscriptusesOMEROimageprocessinglibrarytocreateamaximumintensityprojectionfrominputimages.Itprintsthatshowmaximalpixelvaluesinallchannelsforanygivenimage. Code complexity is O(N). ExistingcommentsindirectlyimplmentacorealgorithmsinOMEROlibray. Initialcommitsmessagesrefersinitialcodelinecommit. The</t>
        </is>
      </c>
      <c r="M1190" t="n">
        <v>0</v>
      </c>
      <c r="N1190" t="n">
        <v>0</v>
      </c>
      <c r="O1190" t="n">
        <v>0</v>
      </c>
    </row>
    <row r="1191">
      <c r="A1191" t="inlineStr">
        <is>
          <t>openmicroscopy</t>
        </is>
      </c>
      <c r="B1191" t="inlineStr">
        <is>
          <t>examples/OmeroClients/interfaces.java</t>
        </is>
      </c>
      <c r="C1191">
        <f>HYPERLINK("https://github.com/ome/openmicroscopy/blob/master/examples/OmeroClients/interfaces.java")</f>
        <v/>
      </c>
      <c r="D1191" t="inlineStr">
        <is>
          <t>The provided code is a Java program that uses the Omero API to manipulate objects of different types - EventI, ExperimenterI and GroupExperimenterMapI. It performs various checks on these objects using their methods like `isMutable`, `isGlobal` and `isAnnotated` which are presumably part of an interface called IObject.</t>
        </is>
      </c>
      <c r="E1191" t="n">
        <v>0.0039</v>
      </c>
      <c r="F1191" t="n">
        <v>0.037</v>
      </c>
      <c r="G1191" t="n">
        <v>0.08400000000000001</v>
      </c>
      <c r="H1191" t="inlineStr">
        <is>
          <t>The provided code is a Java program that uses the Omero API to manipulate objects in an image analysis system. It includes several assertions and checks on different conditions of these objects (like mutability, annotation status etc.). The main function also contains comments explaining what each part does. 
In this context, it seems like you are looking for a summary of some specific parts of</t>
        </is>
      </c>
      <c r="I1191" t="n">
        <v>0.0028</v>
      </c>
      <c r="J1191" t="n">
        <v>0.0274</v>
      </c>
      <c r="K1191" t="n">
        <v>0.1095</v>
      </c>
      <c r="L1191" t="inlineStr">
        <is>
          <t>The provided code is a Java program that implements interfaces for various objects in an experiment management system. The main purpose of the code seems to be managing mutable and annotatable Experimenters, as well as mapping between Groups and Experimenters. 
Here's what it does step by step:
1) It creates instances of EventI, Experimenter</t>
        </is>
      </c>
      <c r="M1191" t="n">
        <v>0.004</v>
      </c>
      <c r="N1191" t="n">
        <v>0.0635</v>
      </c>
      <c r="O1191" t="n">
        <v>0.119</v>
      </c>
    </row>
    <row r="1192">
      <c r="A1192" t="inlineStr">
        <is>
          <t>openmicroscopy</t>
        </is>
      </c>
      <c r="B1192" t="inlineStr">
        <is>
          <t>examples/OmeroClients/primitives.py</t>
        </is>
      </c>
      <c r="C1192">
        <f>HYPERLINK("https://github.com/ome/openmicroscopy/blob/master/examples/OmeroClients/primitives.py")</f>
        <v/>
      </c>
      <c r="D1192" t="inlineStr">
        <is>
          <t>The provided code is a Python script that imports specific types from the omero.rtypes module and assigns them some values. The imported types are rstring (a string type), rbool (a boolean type with value True), rlong (a long integer type with value 1), and rint (an integer type with value 1).
Here's what</t>
        </is>
      </c>
      <c r="E1192" t="n">
        <v>0.0041</v>
      </c>
      <c r="F1192" t="n">
        <v>0.0635</v>
      </c>
      <c r="G1192" t="n">
        <v>0.08</v>
      </c>
      <c r="H1192" t="inlineStr">
        <is>
          <t>ThegivenPythonscriptisusedtoperformadditionoperationbetweentwonumbers.ItusesRtypesmodulefordatatypeimplementationswhichincludesstrings,booleans,longsandsints.Thevaluesforthesamenamesinasnextlineshownasexamples.
```python
#!/usr/bin/env python
# -*- coding: utf-8</t>
        </is>
      </c>
      <c r="I1192" t="n">
        <v>0</v>
      </c>
      <c r="J1192" t="n">
        <v>0</v>
      </c>
      <c r="K1192" t="n">
        <v>0</v>
      </c>
      <c r="L1192" t="inlineStr">
        <is>
          <t>The provided code is a Python script that defines four variables with different types from the Omero library (a data management platform). The purpose of this code seems to be to provide examples or test values for these types. Here's an overview of what it does in 23 words: Defines and initializes several variables using various R-type objects from the Omero library.</t>
        </is>
      </c>
      <c r="M1192" t="n">
        <v>0.0029</v>
      </c>
      <c r="N1192" t="n">
        <v>0.0556</v>
      </c>
      <c r="O1192" t="n">
        <v>0.1119</v>
      </c>
    </row>
    <row r="1193">
      <c r="A1193" t="inlineStr">
        <is>
          <t>openmicroscopy</t>
        </is>
      </c>
      <c r="B1193" t="inlineStr">
        <is>
          <t>examples/OmeroClients/details.py</t>
        </is>
      </c>
      <c r="C1193">
        <f>HYPERLINK("https://github.com/ome/openmicroscopy/blob/master/examples/OmeroClients/details.py")</f>
        <v/>
      </c>
      <c r="D1193" t="inlineStr">
        <is>
          <t>ThegivenPythonscriptusesomeropythonsdktoaccessandmanipulateimagesinanOMEROServer.Itfirstcreatesaninstanceofa`omero.model.Image`objectthenretrievesit'sdetailsinformationsusing`getDetails()`method.Thenitinstantiateasanother`omero.model.Permission`objectsetsuserreadpermission</t>
        </is>
      </c>
      <c r="E1193" t="n">
        <v>0</v>
      </c>
      <c r="F1193" t="n">
        <v>0</v>
      </c>
      <c r="G1193" t="n">
        <v>0</v>
      </c>
      <c r="H1193" t="inlineStr">
        <is>
          <t>ThegivenPythonscriptusesomeroclienttoaccessdatafromanimagestoredinaserver.Itsetspermissionsforauserreadpermissiononthisimage.AftersettingthesepermissionsitchecksiftheyreappliedcorrectlyusingassertequalstoTrue.Thenitgetsownerdetailsofaimagewhichmaybesentbackbytheserverserverresponsebutcannotbechangedloc</t>
        </is>
      </c>
      <c r="I1193" t="n">
        <v>0</v>
      </c>
      <c r="J1193" t="n">
        <v>0</v>
      </c>
      <c r="K1193" t="n">
        <v>0</v>
      </c>
      <c r="L1193" t="inlineStr">
        <is>
          <t>The provided code is for setting the permissions of an image in OMERO (a data management system). It first creates a new Image object and then retrieves its details using `getDetails()` method. The retrieved details are modified to set user read permission with `setUserRead(True)` on Permission object p. Finally, it asserts if this change has been correctly implemented</t>
        </is>
      </c>
      <c r="M1193" t="n">
        <v>0.0031</v>
      </c>
      <c r="N1193" t="n">
        <v>0.0597</v>
      </c>
      <c r="O1193" t="n">
        <v>0.1538</v>
      </c>
    </row>
    <row r="1194">
      <c r="A1194" t="inlineStr">
        <is>
          <t>openmicroscopy</t>
        </is>
      </c>
      <c r="B1194" t="inlineStr">
        <is>
          <t>examples/OmeroClients/unloaded.py</t>
        </is>
      </c>
      <c r="C1194">
        <f>HYPERLINK("https://github.com/ome/openmicroscopy/blob/master/examples/OmeroClients/unloaded.py")</f>
        <v/>
      </c>
      <c r="D1194" t="inlineStr">
        <is>
          <t>&lt;!-- This is a summary of the provided code --&gt;
The given Python script imports omero and its clients module from `omero` package. It then creates an unloaded image object using default constructor (without any arguments). The assertion checks if this loaded state of the image returns False which means it's not loaded yet. 
Next, it tries to un</t>
        </is>
      </c>
      <c r="E1194" t="n">
        <v>0.0041</v>
      </c>
      <c r="F1194" t="n">
        <v>0.0606</v>
      </c>
      <c r="G1194" t="n">
        <v>0.1527</v>
      </c>
      <c r="H1194" t="inlineStr">
        <is>
          <t>The provided code is a Python script that uses the OMERO library to interact with an image object in OMERO (an open-source platform for managing digital images). The function `add` takes two parameters and returns their sum.
Here's a concise summary of its functionality: 
```python
#!/usr/bin/env python
# -*-</t>
        </is>
      </c>
      <c r="I1194" t="n">
        <v>0.0037</v>
      </c>
      <c r="J1194" t="n">
        <v>0.0678</v>
      </c>
      <c r="K1194" t="n">
        <v>0.08260000000000001</v>
      </c>
      <c r="L1194" t="inlineStr">
        <is>
          <t>The provided code is a Python script that interacts with the OMERO server using its API to manipulate images. The main purpose of this code seems to be creating and managing unloaded image proxies on an OMERO server. 
Here's what it does in detail:
1. It imports necessary modules from omero.
2. Creat</t>
        </is>
      </c>
      <c r="M1194" t="n">
        <v>0.0035</v>
      </c>
      <c r="N1194" t="n">
        <v>0.0645</v>
      </c>
      <c r="O1194" t="n">
        <v>0.16</v>
      </c>
    </row>
    <row r="1195">
      <c r="A1195" t="inlineStr">
        <is>
          <t>openmicroscopy</t>
        </is>
      </c>
      <c r="B1195" t="inlineStr">
        <is>
          <t>examples/OmeroClients/lists.java</t>
        </is>
      </c>
      <c r="C1195">
        <f>HYPERLINK("https://github.com/ome/openmicroscopy/blob/master/examples/OmeroClients/lists.java")</f>
        <v/>
      </c>
      <c r="D1195" t="inlineStr">
        <is>
          <t>The provided code is a Java program that creates instances of two objects `ImageI` and `PixelsI` using the Omero library's model classes (not shown in this snippet). The ImageI object has methods to add PixelsI objects and get/set primary pixels. 
It initializes these objects with new values then calls their</t>
        </is>
      </c>
      <c r="E1195" t="n">
        <v>0.0037</v>
      </c>
      <c r="F1195" t="n">
        <v>0.0667</v>
      </c>
      <c r="G1195" t="n">
        <v>0.123</v>
      </c>
      <c r="H1195" t="inlineStr">
        <is>
          <t>The provided code is a Java program that uses the Omero library to manipulate images and pixels. The main function creates two Pixel objects (`pixels1` and `pixels2`), adds them to an Image object (`image`), retrieves some pixel data from the image using its index with `getPixels()` method, then sets one of</t>
        </is>
      </c>
      <c r="I1195" t="n">
        <v>0.0036</v>
      </c>
      <c r="J1195" t="n">
        <v>0.0678</v>
      </c>
      <c r="K1195" t="n">
        <v>0.0813</v>
      </c>
      <c r="L1195" t="inlineStr">
        <is>
          <t>&lt;!-- The code provided is a Java program that creates instances of Image and Pixels classes from the omero package, adds two pixels objects to an image object using addPixels method, retrieves pixel data at index 0 with getPixels method, and sets primary pixels object for the image with setPrimaryPixels method. --&gt;
The main purpose</t>
        </is>
      </c>
      <c r="M1195" t="n">
        <v>0.0033</v>
      </c>
      <c r="N1195" t="n">
        <v>0.0328</v>
      </c>
      <c r="O1195" t="n">
        <v>0.07870000000000001</v>
      </c>
    </row>
    <row r="1196">
      <c r="A1196" t="inlineStr">
        <is>
          <t>openmicroscopy</t>
        </is>
      </c>
      <c r="B1196" t="inlineStr">
        <is>
          <t>examples/OmeroClients/queries.java</t>
        </is>
      </c>
      <c r="C1196">
        <f>HYPERLINK("https://github.com/ome/openmicroscopy/blob/master/examples/OmeroClients/queries.java")</f>
        <v/>
      </c>
      <c r="D1196" t="inlineStr">
        <is>
          <t>The provided code is a Java program that interacts with the OMERO server using its API to execute SQL-like queries on data stored in an image table of the database. The query selects images where the id matches a given parameter and name contains another specified string (both as parameters). 
It sets up a connection to the OMERO server through `omeroc</t>
        </is>
      </c>
      <c r="E1196" t="n">
        <v>0.003</v>
      </c>
      <c r="F1196" t="n">
        <v>0.0286</v>
      </c>
      <c r="G1196" t="n">
        <v>0.0752</v>
      </c>
      <c r="H1196" t="inlineStr">
        <is>
          <t>The provided code is a Java program that interacts with an OMERO server to execute a query and retrieve results based on a specific criteria (image id equals 1 and name contains "cell"). The function `main` creates a client session with the OMERO server using command line arguments for connection details. It then executes a query string against this service using parameters defined in another object.</t>
        </is>
      </c>
      <c r="I1196" t="n">
        <v>0.0028</v>
      </c>
      <c r="J1196" t="n">
        <v>0.027</v>
      </c>
      <c r="K1196" t="n">
        <v>0.1087</v>
      </c>
      <c r="L1196" t="inlineStr">
        <is>
          <t>The provided code is a Java program that interacts with an OMERO server using the omero API. The main purpose of this code is to execute a query on the OMERO database and retrieve all objects from the Image table where the image id matches a certain value (here it's 1) and name contains a specific string ("cell"). This information is then</t>
        </is>
      </c>
      <c r="M1196" t="n">
        <v>0.0035</v>
      </c>
      <c r="N1196" t="n">
        <v>0.0563</v>
      </c>
      <c r="O1196" t="n">
        <v>0.1119</v>
      </c>
    </row>
    <row r="1197">
      <c r="A1197" t="inlineStr">
        <is>
          <t>openmicroscopy</t>
        </is>
      </c>
      <c r="B1197" t="inlineStr">
        <is>
          <t>examples/OmeroClients/constants.java</t>
        </is>
      </c>
      <c r="C1197">
        <f>HYPERLINK("https://github.com/ome/openmicroscopy/blob/master/examples/OmeroClients/constants.java")</f>
        <v/>
      </c>
      <c r="D1197" t="inlineStr">
        <is>
          <t>The provided code is a Java program that prints two default values related to the constants defined in OMERO (a software for managing digital images). The first constant represents the maximum size of messages that can be passed between methods without passing more than 5kb. The second one specifies how long client.createSession() should wait before establishing a connection with the server if no response has been</t>
        </is>
      </c>
      <c r="E1197" t="n">
        <v>0.0028</v>
      </c>
      <c r="F1197" t="n">
        <v>0.0267</v>
      </c>
      <c r="G1197" t="n">
        <v>0.0362</v>
      </c>
      <c r="H1197" t="inlineStr">
        <is>
          <t>The code provided is a Java class named `constants` that contains two constants and their default values for the OMERO image management system. The first constant MESSAGESIZEMAX has a value of 512kb by default while CONNECTTIMEOUT defaults to waiting up to 60 seconds before establishing a connection.
In summary, this program defines two</t>
        </is>
      </c>
      <c r="I1197" t="n">
        <v>0.0035</v>
      </c>
      <c r="J1197" t="n">
        <v>0.0328</v>
      </c>
      <c r="K1197" t="n">
        <v>0.08</v>
      </c>
      <c r="L1197" t="inlineStr">
        <is>
          <t>The provided code is a Java program that sets default values for two constants in the omero package's constants class: MESSAGESIZEMAX and CONNECTTIMEOUT. The purpose of this code is to provide some context about these defaults when they are used elsewhere in the application. 
It first prints out the maximum message size allowed by default which is</t>
        </is>
      </c>
      <c r="M1197" t="n">
        <v>0.0032</v>
      </c>
      <c r="N1197" t="n">
        <v>0.0303</v>
      </c>
      <c r="O1197" t="n">
        <v>0.1163</v>
      </c>
    </row>
    <row r="1198">
      <c r="A1198" t="inlineStr">
        <is>
          <t>openmicroscopy</t>
        </is>
      </c>
      <c r="B1198" t="inlineStr">
        <is>
          <t>examples/OmeroClients/iterators.java</t>
        </is>
      </c>
      <c r="C1198">
        <f>HYPERLINK("https://github.com/ome/openmicroscopy/blob/master/examples/OmeroClients/iterators.java")</f>
        <v/>
      </c>
      <c r="D1198" t="inlineStr">
        <is>
          <t>The provided code is a Java program that uses the Omero API to link an image with a dataset and iterates through all linked datasets of an image using an Iterator. The functionality includes creating instances of ImageI and Dataset classes, linking them together via the `linkImage` method from the Dataset class, then retrieving each linked dataset's name by calling the</t>
        </is>
      </c>
      <c r="E1198" t="n">
        <v>0.0036</v>
      </c>
      <c r="F1198" t="n">
        <v>0.0571</v>
      </c>
      <c r="G1198" t="n">
        <v>0.0752</v>
      </c>
      <c r="H1198" t="inlineStr">
        <is>
          <t>The provided code is a Java program that imports necessary classes from the omero library and uses them to iterate over dataset links associated with an image in the OMERO database system. The complexity of this operation can be considered as O(n), where n represents the number of Dataset Image Links (DILs).
```python
from omero.gateway</t>
        </is>
      </c>
      <c r="I1198" t="n">
        <v>0.0033</v>
      </c>
      <c r="J1198" t="n">
        <v>0.0308</v>
      </c>
      <c r="K1198" t="n">
        <v>0.1181</v>
      </c>
      <c r="L1198" t="inlineStr">
        <is>
          <t>The provided code is a Java program that manipulates data from the Omero platform using its model classes and interfaces. The main purpose of this code seems to be iterating over dataset links associated with an image object in the Omero system. 
It begins by creating instances of ImageI (likely representing an image) and DatasetI (representing a dataset).</t>
        </is>
      </c>
      <c r="M1198" t="n">
        <v>0.0031</v>
      </c>
      <c r="N1198" t="n">
        <v>0.0606</v>
      </c>
      <c r="O1198" t="n">
        <v>0.1154</v>
      </c>
    </row>
    <row r="1199">
      <c r="A1199" t="inlineStr">
        <is>
          <t>openmicroscopy</t>
        </is>
      </c>
      <c r="B1199" t="inlineStr">
        <is>
          <t>examples/OmeroClients/getsetattr.py</t>
        </is>
      </c>
      <c r="C1199">
        <f>HYPERLINK("https://github.com/ome/openmicroscopy/blob/master/examples/OmeroClients/getsetattr.py")</f>
        <v/>
      </c>
      <c r="D1199" t="inlineStr">
        <is>
          <t>ThegivenPythoncodeisforworkingwithaDataManagementSystemcalledOMERO.ItusesclasseslikeImagewhichhaveattributesorpropertiesnamely'name'.ThereareTWOmainsectionsinthecode.InFIRSTsectionwithoutusing__getattr__and__setattr__,itmanuallysetsandgetsattributenameonimageobject.AndinSECONDsectionwithusings</t>
        </is>
      </c>
      <c r="E1199" t="n">
        <v>0</v>
      </c>
      <c r="F1199" t="n">
        <v>0.1111</v>
      </c>
      <c r="G1199" t="n">
        <v>0</v>
      </c>
      <c r="H1199" t="inlineStr">
        <is>
          <t>The provided code is a Python script that uses the OMERO database to manage images and their metadata. The main functionality of this code revolves around setting and getting image names using either `__getattr__` and `__setattr__` or direct attribute assignment (e.g., i.name). However, it also demonstrates how collections cannot be accessed directly due to potential dangers outlined above</t>
        </is>
      </c>
      <c r="I1199" t="n">
        <v>0.0037</v>
      </c>
      <c r="J1199" t="n">
        <v>0.0588</v>
      </c>
      <c r="K1199" t="n">
        <v>0.1154</v>
      </c>
      <c r="L1199" t="inlineStr">
        <is>
          <t>The provided code is a part of the OMERO (Object Management for Environmental Research Object) project's backend software component. It demonstrates two different ways to set and get an image name in OMERO using Python programming language. The first method uses direct attribute access without `__getattr__` or `__setattr__` methods while the second one does use these special methods. This</t>
        </is>
      </c>
      <c r="M1199" t="n">
        <v>0.0041</v>
      </c>
      <c r="N1199" t="n">
        <v>0.0588</v>
      </c>
      <c r="O1199" t="n">
        <v>0.1527</v>
      </c>
    </row>
    <row r="1200">
      <c r="A1200" t="inlineStr">
        <is>
          <t>openmicroscopy</t>
        </is>
      </c>
      <c r="B1200" t="inlineStr">
        <is>
          <t>examples/OmeroClients/sudo.java</t>
        </is>
      </c>
      <c r="C1200">
        <f>HYPERLINK("https://github.com/ome/openmicroscopy/blob/master/examples/OmeroClients/sudo.java")</f>
        <v/>
      </c>
      <c r="D1200" t="inlineStr">
        <is>
          <t>The provided code is a Java program that interacts with the OMERO server using its API. It creates two clients (one for normal user and one for sudo), connects to an OMERO server as root user, gets admin service from the session, then prints out the username of the current event context. The timeout for the session is set to 3 minutes. This indicates</t>
        </is>
      </c>
      <c r="E1200" t="n">
        <v>0.0034</v>
      </c>
      <c r="F1200" t="n">
        <v>0.0278</v>
      </c>
      <c r="G1200" t="n">
        <v>0.1103</v>
      </c>
      <c r="H1200" t="inlineStr">
        <is>
          <t>The provided code is a Java implementation of sudo functionality in the OMERO (Object Management for Electronic Research Objects) system using its API. The main function creates an admin session with root user and prints out the username associated with this session. It also sets up a timeout on the session which lasts 3 minutes before it expires.
Please provide a concise, clear</t>
        </is>
      </c>
      <c r="I1200" t="n">
        <v>0.0034</v>
      </c>
      <c r="J1200" t="n">
        <v>0.08450000000000001</v>
      </c>
      <c r="K1200" t="n">
        <v>0.1481</v>
      </c>
      <c r="L1200" t="inlineStr">
        <is>
          <t>The provided code is a Java implementation of the sudo command in Omero, an open source bioinformatics platform. It establishes a session with the server using root credentials and then creates a new admin service instance within this session for administrative tasks such as getting event context details related to the user named "root". The main purpose of the code seems to be managing permissions or access control on a</t>
        </is>
      </c>
      <c r="M1200" t="n">
        <v>0.0026</v>
      </c>
      <c r="N1200" t="n">
        <v>0.0513</v>
      </c>
      <c r="O1200" t="n">
        <v>0.1408</v>
      </c>
    </row>
    <row r="1201">
      <c r="A1201" t="inlineStr">
        <is>
          <t>openmicroscopy</t>
        </is>
      </c>
      <c r="B1201" t="inlineStr">
        <is>
          <t>examples/OmeroClients/enumerations.java</t>
        </is>
      </c>
      <c r="C1201">
        <f>HYPERLINK("https://github.com/ome/openmicroscopy/blob/master/examples/OmeroClients/enumerations.java")</f>
        <v/>
      </c>
      <c r="D1201" t="inlineStr">
        <is>
          <t>The provided code is a Java program that prints out the name of one specific projection type from Omero's constants package to the console. The output will be "IProjection takes arguments of the form: ProjectionType.MAXIMUM_INTENSITY". 
It does this by using the String format method in conjunction with an enumeration value from the '</t>
        </is>
      </c>
      <c r="E1201" t="n">
        <v>0</v>
      </c>
      <c r="F1201" t="n">
        <v>0.0317</v>
      </c>
      <c r="G1201" t="n">
        <v>0.08</v>
      </c>
      <c r="H1201" t="inlineStr">
        <is>
          <t>The provided code is a Java program that prints out the maximum intensity projection of an image using Omero's constants and projection types. The complexity of this operation is determined by its input size (number of pixels in the image), hence it has a time complexity of O(n).
In summary, this piece of code takes as input arguments the form of projections to be used</t>
        </is>
      </c>
      <c r="I1201" t="n">
        <v>0.0028</v>
      </c>
      <c r="J1201" t="n">
        <v>0.0267</v>
      </c>
      <c r="K1201" t="n">
        <v>0.1095</v>
      </c>
      <c r="L1201" t="inlineStr">
        <is>
          <t>The provided code is a Java program that prints the projection type as "maximum intensity" to the console using an enumerated value from Omero's constants package. The purpose of this code snippet appears to be for debugging or logging purposes. 
It does not perform any complex operations and has a time complexity of O(1). There are no comments</t>
        </is>
      </c>
      <c r="M1201" t="n">
        <v>0.0031</v>
      </c>
      <c r="N1201" t="n">
        <v>0.0588</v>
      </c>
      <c r="O1201" t="n">
        <v>0.1154</v>
      </c>
    </row>
    <row r="1202">
      <c r="A1202" t="inlineStr">
        <is>
          <t>openmicroscopy</t>
        </is>
      </c>
      <c r="B1202" t="inlineStr">
        <is>
          <t>examples/OmeroClients/timeout.py</t>
        </is>
      </c>
      <c r="C1202">
        <f>HYPERLINK("https://github.com/ome/openmicroscopy/blob/master/examples/OmeroClients/timeout.py")</f>
        <v/>
      </c>
      <c r="D1202" t="inlineStr">
        <is>
          <t>&lt;!-- You can start writing your summary here --&gt;
The provided code is a Python script that uses the Omero API to manage rendering engines and keep them alive in an infinite loop with a sleep interval of 5 seconds between each iteration. The purpose seems to be for managing or maintaining services related to image processing tasks such as data storage and retrieval from databases. It creates a</t>
        </is>
      </c>
      <c r="E1202" t="n">
        <v>0.0026</v>
      </c>
      <c r="F1202" t="n">
        <v>0.0267</v>
      </c>
      <c r="G1202" t="n">
        <v>0.0709</v>
      </c>
      <c r="H1202" t="inlineStr">
        <is>
          <t>The provided code is a Python script that uses the OMERO library to manage rendering engines and keep them alive in an infinite loop until it's stopped manually. The complexity of this function is O(n), where n represents time. It creates a session with OMERO, starts a rendering engine, then continuously keeps all services alive by calling `s.keepAllAlive([re])</t>
        </is>
      </c>
      <c r="I1202" t="n">
        <v>0.0031</v>
      </c>
      <c r="J1202" t="n">
        <v>0.0571</v>
      </c>
      <c r="K1202" t="n">
        <v>0.1154</v>
      </c>
      <c r="L1202" t="inlineStr">
        <is>
          <t>The provided code is a Python script that uses the Omero library for creating and managing sessions with rendering engines in an image processing context. The main purpose of this code is to keep all services alive by calling the `keepAllAlive` method from the session object every 5 seconds until it's stopped manually. This ensures continuous operation even if no other operations are performed on these services.</t>
        </is>
      </c>
      <c r="M1202" t="n">
        <v>0.0032</v>
      </c>
      <c r="N1202" t="n">
        <v>0.0263</v>
      </c>
      <c r="O1202" t="n">
        <v>0.1079</v>
      </c>
    </row>
    <row r="1203">
      <c r="A1203" t="inlineStr">
        <is>
          <t>openmicroscopy</t>
        </is>
      </c>
      <c r="B1203" t="inlineStr">
        <is>
          <t>examples/OmeroClients/configuration.java</t>
        </is>
      </c>
      <c r="C1203">
        <f>HYPERLINK("https://github.com/ome/openmicroscopy/blob/master/examples/OmeroClients/configuration.java")</f>
        <v/>
      </c>
      <c r="D1203" t="inlineStr">
        <is>
          <t>The provided code is a Java program that establishes connections to OMERO servers using the omero-java library. It provides different configurations for connecting to an OMERO server based on user input and default settings. The main function creates three instances of `omero.client` with varying parameters (IP address, port number, username, password), attempts to create sessions with</t>
        </is>
      </c>
      <c r="E1203" t="n">
        <v>0.0033</v>
      </c>
      <c r="F1203" t="n">
        <v>0.0303</v>
      </c>
      <c r="G1203" t="n">
        <v>0.0781</v>
      </c>
      <c r="H1203" t="inlineStr">
        <is>
          <t>The provided code is a Java class named "configuration" that uses OMERO (Optical Microscopy and Electronic Retrieval) client to establish sessions with different configurations such as username/password or port number specified in the configuration file pointed by --Ice.Config parameter. The main method contains three examples of creating session using default settings, specific port information, and custom credentials for localhost</t>
        </is>
      </c>
      <c r="I1203" t="n">
        <v>0.0031</v>
      </c>
      <c r="J1203" t="n">
        <v>0.029</v>
      </c>
      <c r="K1203" t="n">
        <v>0.07630000000000001</v>
      </c>
      <c r="L1203" t="inlineStr">
        <is>
          <t>The provided code is a Java program that interacts with OMERO (a software platform for managing digital images and data). It establishes sessions with an OMERO server using different configurations including default port 4064 or custom ports like 24064. The username and password are used to authenticate the session. If there's any connection issue such as bad address</t>
        </is>
      </c>
      <c r="M1203" t="n">
        <v>0.0037</v>
      </c>
      <c r="N1203" t="n">
        <v>0.0597</v>
      </c>
      <c r="O1203" t="n">
        <v>0.1154</v>
      </c>
    </row>
    <row r="1204">
      <c r="A1204" t="inlineStr">
        <is>
          <t>openmicroscopy</t>
        </is>
      </c>
      <c r="B1204" t="inlineStr">
        <is>
          <t>examples/OmeroClients/staticfields.py</t>
        </is>
      </c>
      <c r="C1204">
        <f>HYPERLINK("https://github.com/ome/openmicroscopy/blob/master/examples/OmeroClients/staticfields.py")</f>
        <v/>
      </c>
      <c r="D1204" t="inlineStr">
        <is>
          <t>The provided code is a Python script that imports the Image class from omero_model and prints out its name and dataset links using print statements. The complexity of this operation is O(N), where N represents the number of images in the model's database. It also includes comments explaining the implementation details and commits detailing initial base code changes. The size of the code file</t>
        </is>
      </c>
      <c r="E1204" t="n">
        <v>0.0028</v>
      </c>
      <c r="F1204" t="n">
        <v>0.08</v>
      </c>
      <c r="G1204" t="n">
        <v>0.1471</v>
      </c>
      <c r="H1204" t="inlineStr">
        <is>
          <t>The provided code is a Python script that imports the Image class from `omeroro_model` module and prints out its name and dataset links using the print function. The complexity of this operation can be considered as O(1), meaning it takes constant time to execute regardless of input size.
Here's the summary in one line: Importing an image class named 'ImageI</t>
        </is>
      </c>
      <c r="I1204" t="n">
        <v>0.0036</v>
      </c>
      <c r="J1204" t="n">
        <v>0.0563</v>
      </c>
      <c r="K1204" t="n">
        <v>0.1515</v>
      </c>
      <c r="L1204" t="inlineStr">
        <is>
          <t>The given source code file is a Python script that imports the Image class from omero_model and prints out its name (which should be 'Image') along with dataset links. The main purpose of this code seems to be for debugging or information retrieval purposes. It doesn't seem to contain any complex logic but rather it simply calls methods on an object instantiated by the imported</t>
        </is>
      </c>
      <c r="M1204" t="n">
        <v>0.0028</v>
      </c>
      <c r="N1204" t="n">
        <v>0.0533</v>
      </c>
      <c r="O1204" t="n">
        <v>0.073</v>
      </c>
    </row>
    <row r="1205">
      <c r="A1205" t="inlineStr">
        <is>
          <t>openmicroscopy</t>
        </is>
      </c>
      <c r="B1205" t="inlineStr">
        <is>
          <t>examples/OmeroClients/staticfields.java</t>
        </is>
      </c>
      <c r="C1205">
        <f>HYPERLINK("https://github.com/ome/openmicroscopy/blob/master/examples/OmeroClients/staticfields.java")</f>
        <v/>
      </c>
      <c r="D1205" t="inlineStr">
        <is>
          <t>The provided code is a simple Java program that prints the names and dataset links of an image using Omero's Image model class (assumed to be `org.openmicroscopy.schemas.ome.xmlns._2016_06.generated.Image`). The complexity of this operation is constant time, denoted by Big-O notation as O</t>
        </is>
      </c>
      <c r="E1205" t="n">
        <v>0.0045</v>
      </c>
      <c r="F1205" t="n">
        <v>0.0339</v>
      </c>
      <c r="G1205" t="n">
        <v>0.1327</v>
      </c>
      <c r="H1205" t="inlineStr">
        <is>
          <t>The provided code is a Java program that imports the ImageI class from the omero model package and prints out its NAME and DATASETLINKS fields using System.out.println(). The complexity of this operation can be considered O(1), as it involves accessing static variables directly without any loops or recursion.
In summary, this repository contains backend software components implementing core</t>
        </is>
      </c>
      <c r="I1205" t="n">
        <v>0.0041</v>
      </c>
      <c r="J1205" t="n">
        <v>0.1159</v>
      </c>
      <c r="K1205" t="n">
        <v>0.328</v>
      </c>
      <c r="L1205" t="inlineStr">
        <is>
          <t>The provided code is a Java program that prints the name and dataset links of an image using Omero's Image model class (`ImageI`). The main purpose of this code is to display information about the image stored in the system. 
It takes no inputs but outputs two pieces of information - the name of the image and its associated dataset links. This function</t>
        </is>
      </c>
      <c r="M1205" t="n">
        <v>0.0034</v>
      </c>
      <c r="N1205" t="n">
        <v>0.0563</v>
      </c>
      <c r="O1205" t="n">
        <v>0.1111</v>
      </c>
    </row>
    <row r="1206">
      <c r="A1206" t="inlineStr">
        <is>
          <t>openmicroscopy</t>
        </is>
      </c>
      <c r="B1206" t="inlineStr">
        <is>
          <t>examples/OmeroClients/sudo.py</t>
        </is>
      </c>
      <c r="C1206">
        <f>HYPERLINK("https://github.com/ome/openmicroscopy/blob/master/examples/OmeroClients/sudo.py")</f>
        <v/>
      </c>
      <c r="D1206" t="inlineStr">
        <is>
          <t>&lt;!-- This is a summary of the provided code --&gt;
The given Python script connects to an OMERO server using root credentials and creates a session with 3 minutes timeout. It then joins this session as admin and prints out the username associated with it. The client sessions are closed at the end regardless if any exceptions were raised during execution.</t>
        </is>
      </c>
      <c r="E1206" t="n">
        <v>0.0036</v>
      </c>
      <c r="F1206" t="n">
        <v>0.0597</v>
      </c>
      <c r="G1206" t="n">
        <v>0.1128</v>
      </c>
      <c r="H1206" t="inlineStr">
        <is>
          <t>ThegivenPythonscriptusesomeroclienttologinasrootuserwithtimeoutsetto3minutes.Italsojoinsessionsusingadminprivileges.Finallyitclosesbothsessions. ThecomplexityisO(n),where'n'representsnumberofargumentspassedduringexecution.
&lt;jupyter_code&gt;
#!/usr/bin/env python</t>
        </is>
      </c>
      <c r="I1206" t="n">
        <v>0</v>
      </c>
      <c r="J1206" t="n">
        <v>0</v>
      </c>
      <c r="K1206" t="n">
        <v>0</v>
      </c>
      <c r="L1206" t="inlineStr">
        <is>
          <t>The provided code is a Python script that interacts with an OMERO server using the omero python library to create and manage sessions as root user. The purpose of this script is to authenticate into the OMERO system via the 'root' account for 3 minutes before timing out. After successful authentication, it retrieves the username associated with the current session context from the OMER</t>
        </is>
      </c>
      <c r="M1206" t="n">
        <v>0.0028</v>
      </c>
      <c r="N1206" t="n">
        <v>0.0278</v>
      </c>
      <c r="O1206" t="n">
        <v>0.1103</v>
      </c>
    </row>
    <row r="1207">
      <c r="A1207" t="inlineStr">
        <is>
          <t>openmicroscopy</t>
        </is>
      </c>
      <c r="B1207" t="inlineStr">
        <is>
          <t>examples/OmeroClients/configuration.py</t>
        </is>
      </c>
      <c r="C1207">
        <f>HYPERLINK("https://github.com/ome/openmicroscopy/blob/master/examples/OmeroClients/configuration.py")</f>
        <v/>
      </c>
      <c r="D1207" t="inlineStr">
        <is>
          <t>The provided code is a Python script that establishes connections to an OMERO server using the omero library. It uses three different configurations for creating sessions with the OMERO server and handles exceptions related to connection refusals or bad addresses or ports. The default port used by the OMERO server is 4064 but can be changed in the configuration file</t>
        </is>
      </c>
      <c r="E1207" t="n">
        <v>0.003</v>
      </c>
      <c r="F1207" t="n">
        <v>0.0294</v>
      </c>
      <c r="G1207" t="n">
        <v>0.07580000000000001</v>
      </c>
      <c r="H1207" t="inlineStr">
        <is>
          <t>The provided code is a Python script that uses the OMERO API to connect and interact with an OMERO server. It demonstrates several different ways of configuring a connection to the server depending on whether you provide specific address information (hostname and port), username and password for authentication, or both. The complexity here would be O(N).
In summary, this repository contains backend</t>
        </is>
      </c>
      <c r="I1207" t="n">
        <v>0.0029</v>
      </c>
      <c r="J1207" t="n">
        <v>0.0282</v>
      </c>
      <c r="K1207" t="n">
        <v>0.1119</v>
      </c>
      <c r="L1207" t="inlineStr">
        <is>
          <t>The provided code is a Python script that interacts with an OMERO server using the omero python library (`from omero import client`). The main purpose of this code seems to be establishing and managing sessions with the OMERO server. 
It does so by creating instances of `omeroclient` objects which can connect to different servers based on configuration parameters</t>
        </is>
      </c>
      <c r="M1207" t="n">
        <v>0.0031</v>
      </c>
      <c r="N1207" t="n">
        <v>0.0606</v>
      </c>
      <c r="O1207" t="n">
        <v>0.1154</v>
      </c>
    </row>
    <row r="1208">
      <c r="A1208" t="inlineStr">
        <is>
          <t>openmicroscopy</t>
        </is>
      </c>
      <c r="B1208" t="inlineStr">
        <is>
          <t>examples/OmeroClients/iterators.py</t>
        </is>
      </c>
      <c r="C1208">
        <f>HYPERLINK("https://github.com/ome/openmicroscopy/blob/master/examples/OmeroClients/iterators.py")</f>
        <v/>
      </c>
      <c r="D1208" t="inlineStr">
        <is>
          <t>```plaintext
The code is a Python script that uses the Omero model to manipulate images and datasets in an image processing system (presumably based on OMERO). 
It starts by creating instances of Image and Dataset classes from omero_model module. Then it links these two objects together using the link method provided by the dataset object.</t>
        </is>
      </c>
      <c r="E1208" t="n">
        <v>0.0033</v>
      </c>
      <c r="F1208" t="n">
        <v>0.0312</v>
      </c>
      <c r="G1208" t="n">
        <v>0.07870000000000001</v>
      </c>
      <c r="H1208" t="inlineStr">
        <is>
          <t>The provided code is a Python script that imports two classes from the omero_model module - Image and Dataset. It then creates instances of these classes (i.e., image = Image(), dataset = Dataset()). The 'link' variable binds an instance of Dataset to an instance of Image using the method "linkImage". Then it iterates over all links in the</t>
        </is>
      </c>
      <c r="I1208" t="n">
        <v>0.0037</v>
      </c>
      <c r="J1208" t="n">
        <v>0.0615</v>
      </c>
      <c r="K1208" t="n">
        <v>0.1154</v>
      </c>
      <c r="L1208" t="inlineStr">
        <is>
          <t>The code provided is a Python script that uses the Omero model to handle images and datasets from an image repository. The main purpose of this code can be summarized as follows:
It first creates instances of Image and Dataset classes using import statements at the beginning. Then it assigns these class objects to variables 'image' and 'dataset'. It proceeds with linking the dataset object</t>
        </is>
      </c>
      <c r="M1208" t="n">
        <v>0.0028</v>
      </c>
      <c r="N1208" t="n">
        <v>0.0548</v>
      </c>
      <c r="O1208" t="n">
        <v>0.1095</v>
      </c>
    </row>
    <row r="1209">
      <c r="A1209" t="inlineStr">
        <is>
          <t>openmicroscopy</t>
        </is>
      </c>
      <c r="B1209" t="inlineStr">
        <is>
          <t>examples/OmeroClients/collectionmethods.java</t>
        </is>
      </c>
      <c r="C1209">
        <f>HYPERLINK("https://github.com/ome/openmicroscopy/blob/master/examples/OmeroClients/collectionmethods.java")</f>
        <v/>
      </c>
      <c r="D1209" t="inlineStr">
        <is>
          <t>The provided code is a Java class named `CollectionMethods` that utilizes the Omero model classes for image and dataset manipulation. The main method creates an instance of ImageI (a subclass of Image), sets its update event using EventI object, then links this image to DatasetI via linkDataset method. After these operations, it asserts the size of the collection of</t>
        </is>
      </c>
      <c r="E1209" t="n">
        <v>0.0031</v>
      </c>
      <c r="F1209" t="n">
        <v>0.0299</v>
      </c>
      <c r="G1209" t="n">
        <v>0.1145</v>
      </c>
      <c r="H1209" t="inlineStr">
        <is>
          <t>The provided code is a Java class named `collectionMethods` with a main method that demonstrates the usage of Omero image and dataset model classes from an image processing library to manage collections (lists in this case). The complexity here is O(N), where N represents the number of elements in the collection.
In summary, it creates an Image object, sets its update event, links</t>
        </is>
      </c>
      <c r="I1209" t="n">
        <v>0.0029</v>
      </c>
      <c r="J1209" t="n">
        <v>0.0278</v>
      </c>
      <c r="K1209" t="n">
        <v>0.0741</v>
      </c>
      <c r="L1209" t="inlineStr">
        <is>
          <t>The provided code is a Java implementation of the Image class and its related classes (e.g., Dataset, Event). The main purpose of this code is to manage image details including their datasets and events. 
It creates an instance of the Image class with some initial attributes such as id and status. It then sets up update events for the image using the setUpdateEvent method from</t>
        </is>
      </c>
      <c r="M1209" t="n">
        <v>0.0028</v>
      </c>
      <c r="N1209" t="n">
        <v>0.0541</v>
      </c>
      <c r="O1209" t="n">
        <v>0.146</v>
      </c>
    </row>
    <row r="1210">
      <c r="A1210" t="inlineStr">
        <is>
          <t>openmicroscopy</t>
        </is>
      </c>
      <c r="B1210" t="inlineStr">
        <is>
          <t>examples/OmeroClients/updates.java</t>
        </is>
      </c>
      <c r="C1210">
        <f>HYPERLINK("https://github.com/ome/openmicroscopy/blob/master/examples/OmeroClients/updates.java")</f>
        <v/>
      </c>
      <c r="D1210" t="inlineStr">
        <is>
          <t>```java
The provided code is a Java program that interacts with the OMERO server using its API to perform an update operation on an image object. The main function creates an instance of Image and sets its name attribute before saving it back into the database through the OMERO's Update service. Finally, it closes the session after all operations are done.</t>
        </is>
      </c>
      <c r="E1210" t="n">
        <v>0.003</v>
      </c>
      <c r="F1210" t="n">
        <v>0.0571</v>
      </c>
      <c r="G1210" t="n">
        <v>0.0752</v>
      </c>
      <c r="H1210" t="inlineStr">
        <is>
          <t>The provided code is a Java implementation of the Omero image upload service using OMERO's API for saving an Image object with a specific name to the database. The functionality includes creating a session, getting update service from the factory and then saving (uploading) this image into the database.
In terms of complexity, it appears to be linear as there are only three steps</t>
        </is>
      </c>
      <c r="I1210" t="n">
        <v>0.0034</v>
      </c>
      <c r="J1210" t="n">
        <v>0.0822</v>
      </c>
      <c r="K1210" t="n">
        <v>0.1471</v>
      </c>
      <c r="L1210" t="inlineStr">
        <is>
          <t>&lt;!-- This is a concise and clear summary of the functionality provided by the code --&gt;
The given source code represents an implementation in Java for updating images using Omero API (a data management platform). The main purpose of this code is to create an image object with a specified name, establish a session with the server via Service Factory, retrieve Update service from that session, save</t>
        </is>
      </c>
      <c r="M1210" t="n">
        <v>0.0036</v>
      </c>
      <c r="N1210" t="n">
        <v>0.0548</v>
      </c>
      <c r="O1210" t="n">
        <v>0.1439</v>
      </c>
    </row>
    <row r="1211">
      <c r="A1211" t="inlineStr">
        <is>
          <t>openmicroscopy</t>
        </is>
      </c>
      <c r="B1211" t="inlineStr">
        <is>
          <t>examples/OmeroClients/rcollection.py</t>
        </is>
      </c>
      <c r="C1211">
        <f>HYPERLINK("https://github.com/ome/openmicroscopy/blob/master/examples/OmeroClients/rcollection.py")</f>
        <v/>
      </c>
      <c r="D1211" t="inlineStr">
        <is>
          <t>The provided code is a Python script that imports specific types from the omero.rtypes module and uses them to define lists (`list`) and sets (`set`). The elements of these collections are strings ("a", "b") and integers (1, 2). It also includes comments explaining what this code does along with some metadata about its complexity and size</t>
        </is>
      </c>
      <c r="E1211" t="n">
        <v>0.0039</v>
      </c>
      <c r="F1211" t="n">
        <v>0.0615</v>
      </c>
      <c r="G1211" t="n">
        <v>0.1563</v>
      </c>
      <c r="H1211" t="inlineStr">
        <is>
          <t>The provided code is a Python function for addition of two numbers `a` and `b` using the omero library from an R type environment. The complexity of this operation is O(1). It's also part of a larger repository that contains backend software components implementing core algorithms.
Here are some key points about it:
- This script uses the rtypes module</t>
        </is>
      </c>
      <c r="I1211" t="n">
        <v>0.0045</v>
      </c>
      <c r="J1211" t="n">
        <v>0.1159</v>
      </c>
      <c r="K1211" t="n">
        <v>0.3633</v>
      </c>
      <c r="L1211" t="inlineStr">
        <is>
          <t>The given source code file is a Python script that imports from the omero library and uses rtype objects such as string (rstring) and integer (rint). The purpose of this code seems to be related to data manipulation or processing using these types. There are two variables defined - 'list' which appears to contain strings "a" and "b", and 'set'</t>
        </is>
      </c>
      <c r="M1211" t="n">
        <v>0.003</v>
      </c>
      <c r="N1211" t="n">
        <v>0.0597</v>
      </c>
      <c r="O1211" t="n">
        <v>0.1136</v>
      </c>
    </row>
    <row r="1212">
      <c r="A1212" t="inlineStr">
        <is>
          <t>openmicroscopy</t>
        </is>
      </c>
      <c r="B1212" t="inlineStr">
        <is>
          <t>examples/OmeroClients/constructors.py</t>
        </is>
      </c>
      <c r="C1212">
        <f>HYPERLINK("https://github.com/ome/openmicroscopy/blob/master/examples/OmeroClients/constructors.py")</f>
        <v/>
      </c>
      <c r="D1212" t="inlineStr">
        <is>
          <t>```python
#!/usr/bin/env python
# -*- coding: utf-8 -*-
from omero import models
client = omero.clients.get_default()
image = models.ImageI()
dataset = models.DatasetI(1, False)  # dataset ID is hard coded here for example purposes</t>
        </is>
      </c>
      <c r="E1212" t="n">
        <v>0</v>
      </c>
      <c r="F1212" t="n">
        <v>0</v>
      </c>
      <c r="G1212" t="n">
        <v>0</v>
      </c>
      <c r="H1212" t="inlineStr">
        <is>
          <t>The provided code is a Python script that uses the OMERO library to link an image with a dataset in an OMERO database. The complexity of this operation is O(N), where N represents the number of images and datasets in the system.
Here's a concise summary of its functionality: 
- This script creates instances of Image and Dataset classes from</t>
        </is>
      </c>
      <c r="I1212" t="n">
        <v>0.0036</v>
      </c>
      <c r="J1212" t="n">
        <v>0.08699999999999999</v>
      </c>
      <c r="K1212" t="n">
        <v>0.1136</v>
      </c>
      <c r="L1212" t="inlineStr">
        <is>
          <t>The provided code is for linking an image with a dataset in the OMERO database system using Python and its omero library. The main purpose of this script is to create an instance of Image model from omero's models module, then link it with a Dataset by calling 'linkDataset' method on the image object. This operation represents one of the core functionalities offered</t>
        </is>
      </c>
      <c r="M1212" t="n">
        <v>0.0038</v>
      </c>
      <c r="N1212" t="n">
        <v>0.1111</v>
      </c>
      <c r="O1212" t="n">
        <v>0.2338</v>
      </c>
    </row>
    <row r="1213">
      <c r="A1213" t="inlineStr">
        <is>
          <t>openmicroscopy</t>
        </is>
      </c>
      <c r="B1213" t="inlineStr">
        <is>
          <t>examples/OmeroClients/updates.py</t>
        </is>
      </c>
      <c r="C1213">
        <f>HYPERLINK("https://github.com/ome/openmicroscopy/blob/master/examples/OmeroClients/updates.py")</f>
        <v/>
      </c>
      <c r="D1213" t="inlineStr">
        <is>
          <t>The provided code is a Python script that interacts with the OMERO server using its API to create an image object and assign it some properties such as name and acquisition date. The client session is created, then used to get the update service from this session which allows saving of objects (in this case images). After setting up these attributes for the new Image instance 'i', the</t>
        </is>
      </c>
      <c r="E1213" t="n">
        <v>0.0027</v>
      </c>
      <c r="F1213" t="n">
        <v>0.0263</v>
      </c>
      <c r="G1213" t="n">
        <v>0.1071</v>
      </c>
      <c r="H1213" t="inlineStr">
        <is>
          <t>ThegivenPythonscriptusesOMEROtouploadanimagewithatimestampnamed"name".Itconnectsusingcommandlineargumentsascredentialsforauthentication.Thenitcreatesessionandsavesaimageobjectinmemory.Finally,itclosessessionsafely.
```python
#!/usr/bin/env python
# -*- coding: utf-8 -</t>
        </is>
      </c>
      <c r="I1213" t="n">
        <v>0</v>
      </c>
      <c r="J1213" t="n">
        <v>0</v>
      </c>
      <c r="K1213" t="n">
        <v>0</v>
      </c>
      <c r="L1213" t="inlineStr">
        <is>
          <t>The provided code is a Python script that interacts with the OMERO server using its API to create an image object and assign it some attributes such as name and acquisition date. The main purpose of this script is to establish a connection to the OMERO server via client.connect(), then use the update service from this session (obtained by getUpdateService()) to save the</t>
        </is>
      </c>
      <c r="M1213" t="n">
        <v>0.0029</v>
      </c>
      <c r="N1213" t="n">
        <v>0.0278</v>
      </c>
      <c r="O1213" t="n">
        <v>0.1111</v>
      </c>
    </row>
    <row r="1214">
      <c r="A1214" t="inlineStr">
        <is>
          <t>openmicroscopy</t>
        </is>
      </c>
      <c r="B1214" t="inlineStr">
        <is>
          <t>examples/OmeroClients/primitives.java</t>
        </is>
      </c>
      <c r="C1214">
        <f>HYPERLINK("https://github.com/ome/openmicroscopy/blob/master/examples/OmeroClients/primitives.java")</f>
        <v/>
      </c>
      <c r="D1214" t="inlineStr">
        <is>
          <t>The provided code is a Java class named "Primitives" that demonstrates the usage of Omero's R types for handling different primitive data types in Java. 
In this class, we are creating instances (objects) of each type of primitve datatype using Omero's r-type classes and assigning them values as per their respective construct</t>
        </is>
      </c>
      <c r="E1214" t="n">
        <v>0.0035</v>
      </c>
      <c r="F1214" t="n">
        <v>0.0635</v>
      </c>
      <c r="G1214" t="n">
        <v>0.121</v>
      </c>
      <c r="H1214" t="inlineStr">
        <is>
          <t>The provided code is a Java implementation of core algorithms in the context of backend software components. The main function `main` contains several lines of R-type variables assignments with different values including string "value", boolean true and long integer 1L.
Here's an overview of what this code does:
It defines a public class named 'primitives'. Inside it there is</t>
        </is>
      </c>
      <c r="I1214" t="n">
        <v>0.0041</v>
      </c>
      <c r="J1214" t="n">
        <v>0.1159</v>
      </c>
      <c r="K1214" t="n">
        <v>0.229</v>
      </c>
      <c r="L1214" t="inlineStr">
        <is>
          <t>The provided code is a Java class named "Primitives". This class contains four static methods which assign values to different types of variables (RString, RBool, RLong and RInt). The purpose of this class seems to be the initialization or assignment of these primitive data type objects with specific initial values. 
However, without more context about what each variable represents in relation</t>
        </is>
      </c>
      <c r="M1214" t="n">
        <v>0.0036</v>
      </c>
      <c r="N1214" t="n">
        <v>0.058</v>
      </c>
      <c r="O1214" t="n">
        <v>0.0752</v>
      </c>
    </row>
    <row r="1215">
      <c r="A1215" t="inlineStr">
        <is>
          <t>openmicroscopy</t>
        </is>
      </c>
      <c r="B1215" t="inlineStr">
        <is>
          <t>examples/OmeroClients/timeout.java</t>
        </is>
      </c>
      <c r="C1215">
        <f>HYPERLINK("https://github.com/ome/openmicroscopy/blob/master/examples/OmeroClients/timeout.java")</f>
        <v/>
      </c>
      <c r="D1215" t="inlineStr">
        <is>
          <t>The provided code is a Java program that sets up an idle time for the client to maintain connection with Omero server and creates a rendering engine service using the session created by the client. The main function takes command line arguments which are used as parameters for setting the idle time or default value if no argument is given. After creating the rendering engine, it enters into an infinite loop where</t>
        </is>
      </c>
      <c r="E1215" t="n">
        <v>0.0025</v>
      </c>
      <c r="F1215" t="n">
        <v>0.025</v>
      </c>
      <c r="G1215" t="n">
        <v>0.0694</v>
      </c>
      <c r="H1215" t="inlineStr">
        <is>
          <t>The provided code is a Java implementation of an idle timeout feature for the Omero image server. The main function creates a client session with the server and starts a keep alive thread to maintain the connection active. If no activity occurs within a specified time (`idle_time`), it will print out a message indicating that calling the keep alive method. This class extends `Thread`, overr</t>
        </is>
      </c>
      <c r="I1215" t="n">
        <v>0.0033</v>
      </c>
      <c r="J1215" t="n">
        <v>0.08110000000000001</v>
      </c>
      <c r="K1215" t="n">
        <v>0.146</v>
      </c>
      <c r="L1215" t="inlineStr">
        <is>
          <t>The provided code is a Java program that implements an idle timeout functionality in the OMERO (Optical Microscopy and Electrophysiology Research Object) system. The main purpose of this class `timeout` is to keep track of user inactivity by creating a session with the OMERO server and sending requests at regular intervals until the specified idle time has elapsed or the connection drops.</t>
        </is>
      </c>
      <c r="M1215" t="n">
        <v>0.0039</v>
      </c>
      <c r="N1215" t="n">
        <v>0.0857</v>
      </c>
      <c r="O1215" t="n">
        <v>0.1493</v>
      </c>
    </row>
    <row r="1216">
      <c r="A1216" t="inlineStr">
        <is>
          <t>openmicroscopy</t>
        </is>
      </c>
      <c r="B1216" t="inlineStr">
        <is>
          <t>examples/OmeroClients/queries.py</t>
        </is>
      </c>
      <c r="C1216">
        <f>HYPERLINK("https://github.com/ome/openmicroscopy/blob/master/examples/OmeroClients/queries.py")</f>
        <v/>
      </c>
      <c r="D1216" t="inlineStr">
        <is>
          <t>ThegivenPythonscriptconnectstotheOMEROServerusingaClientobject.ItthenusesafindAllByQuerymethodtoexecuteasQLqueryontheserver.TheSQLqueryisselectedallimageswithanIDmatching'1',andwholike:'cell'.Finallyitclosesessionsaftercompletion.
```
## AI Model Response (Apologies for the</t>
        </is>
      </c>
      <c r="E1216" t="n">
        <v>0</v>
      </c>
      <c r="F1216" t="n">
        <v>0</v>
      </c>
      <c r="G1216" t="n">
        <v>0</v>
      </c>
      <c r="H1216" t="inlineStr">
        <is>
          <t>ThegivenPythonscriptconnects toanOMEROServerusingtheomeroAPI.Itperformsasessionwiththeservertoexecuteasearchforimagesbasedonyourcriteria.ThesearchisconductedbyrunningaSQLtype2querythatlooksfortheimage'sinformationwhichmatchsyourconditions.Finally,itclosesessionsafelyaftercompletingalloperations.</t>
        </is>
      </c>
      <c r="I1216" t="n">
        <v>0</v>
      </c>
      <c r="J1216" t="n">
        <v>0</v>
      </c>
      <c r="K1216" t="n">
        <v>0</v>
      </c>
      <c r="L1216" t="inlineStr">
        <is>
          <t>The provided code is a Python script for interacting with an OMERO server using the OMERO API. The main purpose of this script appears to be querying all images from the database that have names containing "cell" and are linked to image id 1. This information will then be returned by the script. Code complexity seems low (O(N)), as it only involves basic operations on</t>
        </is>
      </c>
      <c r="M1216" t="n">
        <v>0.0033</v>
      </c>
      <c r="N1216" t="n">
        <v>0.0541</v>
      </c>
      <c r="O1216" t="n">
        <v>0.1095</v>
      </c>
    </row>
    <row r="1217">
      <c r="A1217" t="inlineStr">
        <is>
          <t>openmicroscopy</t>
        </is>
      </c>
      <c r="B1217" t="inlineStr">
        <is>
          <t>examples/OmeroClients/interfaces.py</t>
        </is>
      </c>
      <c r="C1217">
        <f>HYPERLINK("https://github.com/ome/openmicroscopy/blob/master/examples/OmeroClients/interfaces.py")</f>
        <v/>
      </c>
      <c r="D1217" t="inlineStr">
        <is>
          <t>&lt;!-- You can put your summary here --&gt;
The provided code is a Python script that imports specific classes from the omero_model module and asserts certain properties about them. The imported classes are EventI (which represents an event), ExperimenterI (a representation of an experimenter), GroupExperimenterMapI (representing a grouped map for experimenters</t>
        </is>
      </c>
      <c r="E1217" t="n">
        <v>0.0043</v>
      </c>
      <c r="F1217" t="n">
        <v>0.06900000000000001</v>
      </c>
      <c r="G1217" t="n">
        <v>0.122</v>
      </c>
      <c r="H1217" t="inlineStr">
        <is>
          <t>The provided code is a Python script that imports specific classes from the omero_model module and asserts certain conditions about them. The purpose of this code seems to be part of an application's backend software component for handling data related to events, experiments, experimenters, groups, etc., possibly in relation to bioinformatics or similar fields.
Here are some key</t>
        </is>
      </c>
      <c r="I1217" t="n">
        <v>0.0041</v>
      </c>
      <c r="J1217" t="n">
        <v>0.0588</v>
      </c>
      <c r="K1217" t="n">
        <v>0.1923</v>
      </c>
      <c r="L1217" t="inlineStr">
        <is>
          <t>The provided code is a Python script that imports several classes from the omero_model module and performs assertions on their properties to ensure they meet certain conditions. The main purpose of this code seems to be validation or verification of these class objects' mutable state, global status, annotation capability, and linkage property. This information can help in understanding how these classes are used within an application</t>
        </is>
      </c>
      <c r="M1217" t="n">
        <v>0.0036</v>
      </c>
      <c r="N1217" t="n">
        <v>0.0533</v>
      </c>
      <c r="O1217" t="n">
        <v>0.1449</v>
      </c>
    </row>
    <row r="1218">
      <c r="A1218" t="inlineStr">
        <is>
          <t>openmicroscopy</t>
        </is>
      </c>
      <c r="B1218" t="inlineStr">
        <is>
          <t>examples/OmeroClients/details.java</t>
        </is>
      </c>
      <c r="C1218">
        <f>HYPERLINK("https://github.com/ome/openmicroscopy/blob/master/examples/OmeroClients/details.java")</f>
        <v/>
      </c>
      <c r="D1218" t="inlineStr">
        <is>
          <t>The provided code is a Java program that interacts with the Omero model classes for image manipulation and permission setting in an imaging system. 
It begins by creating instances of ImageI class (which extends Image), PermissionsI class (extends Permissions). It then retrieves details from these images using `image.getDetails()` method which returns Details object</t>
        </is>
      </c>
      <c r="E1218" t="n">
        <v>0.0035</v>
      </c>
      <c r="F1218" t="n">
        <v>0.0323</v>
      </c>
      <c r="G1218" t="n">
        <v>0.08</v>
      </c>
      <c r="H1218" t="inlineStr">
        <is>
          <t>The provided code is a Java program that interacts with the Omero server to manage image details and permissions. The complexity of this code seems to be linear (O(n)) as it iterates over an array-like structure but without explicit looping constructs like for or while. It also involves network communication which could add additional complexity depending on how efficient these operations are implemented in the underlying</t>
        </is>
      </c>
      <c r="I1218" t="n">
        <v>0.0028</v>
      </c>
      <c r="J1218" t="n">
        <v>0.0526</v>
      </c>
      <c r="K1218" t="n">
        <v>0.1087</v>
      </c>
      <c r="L1218" t="inlineStr">
        <is>
          <t>The provided code is a Java program that manipulates image details and permissions in an application using the Omero API. The main purpose of this code is to set user read permissions for an image and update its group information when returned from the server. It also retrieves some metadata about the image such as owner, creation event, and update event. However, these operations are performed on</t>
        </is>
      </c>
      <c r="M1218" t="n">
        <v>0.0027</v>
      </c>
      <c r="N1218" t="n">
        <v>0.0533</v>
      </c>
      <c r="O1218" t="n">
        <v>0.1079</v>
      </c>
    </row>
    <row r="1219">
      <c r="A1219" t="inlineStr">
        <is>
          <t>openmicroscopy</t>
        </is>
      </c>
      <c r="B1219" t="inlineStr">
        <is>
          <t>examples/OmeroClients/unloaded.java</t>
        </is>
      </c>
      <c r="C1219">
        <f>HYPERLINK("https://github.com/ome/openmicroscopy/blob/master/examples/OmeroClients/unloaded.java")</f>
        <v/>
      </c>
      <c r="D1219" t="inlineStr">
        <is>
          <t>The provided code is a Java program that uses the Omero API to load and unload an image object from memory. Here's a summary of its functionality:
- The main method starts by creating an ImageI instance (a proxy for an actual loaded image in memory). 
- It then checks if this image has been loaded using `assert image.isLoad</t>
        </is>
      </c>
      <c r="E1219" t="n">
        <v>0.0031</v>
      </c>
      <c r="F1219" t="n">
        <v>0.0299</v>
      </c>
      <c r="G1219" t="n">
        <v>0.1145</v>
      </c>
      <c r="H1219" t="inlineStr">
        <is>
          <t>The provided code is written in Java and it's a simple implementation of an unloading feature from the model used by Omero (an open-source image analysis platform). The functionality involves creating instances of Image class, loading them into memory, then unloading or deleting them to free up resources.
In this case, there are three main steps involved: 
1.</t>
        </is>
      </c>
      <c r="I1219" t="n">
        <v>0.0037</v>
      </c>
      <c r="J1219" t="n">
        <v>0.0588</v>
      </c>
      <c r="K1219" t="n">
        <v>0.1538</v>
      </c>
      <c r="L1219" t="inlineStr">
        <is>
          <t>The provided code is a Java program that deals with the unloading of an image object in a software application using Omero's Image model. The main purpose of this function is to test whether it's possible to create and manipulate an 'unloaded' proxy for an image without actually loading the full data into memory. 
It starts by creating an instance of</t>
        </is>
      </c>
      <c r="M1219" t="n">
        <v>0.0036</v>
      </c>
      <c r="N1219" t="n">
        <v>0.08450000000000001</v>
      </c>
      <c r="O1219" t="n">
        <v>0.1504</v>
      </c>
    </row>
    <row r="1220">
      <c r="A1220" t="inlineStr">
        <is>
          <t>openmicroscopy</t>
        </is>
      </c>
      <c r="B1220" t="inlineStr">
        <is>
          <t>examples/Training/markup.py</t>
        </is>
      </c>
      <c r="C1220">
        <f>HYPERLINK("https://github.com/ome/openmicroscopy/blob/master/examples/Training/markup.py")</f>
        <v/>
      </c>
      <c r="D1220" t="inlineStr">
        <is>
          <t>The provided code is a Python script that parses a list of text files and generates Wiki output. The script takes in the name of a file (either .py, .m or .java), reads it line by line to generate wiki markup language for documentation purposes. It skips any lines starting with '#=', '%=', '//='. If an END_MARKER</t>
        </is>
      </c>
      <c r="E1220" t="n">
        <v>0.0032</v>
      </c>
      <c r="F1220" t="n">
        <v>0.0317</v>
      </c>
      <c r="G1220" t="n">
        <v>0.0388</v>
      </c>
      <c r="H1220" t="inlineStr">
        <is>
          <t>The function `add` takes two parameters (numbers), adds them together and returns the result. It operates with a time complexity of O(1).
&lt;jupyter_code&gt;
def add(a, b):
    return a + b
&lt;jupyter_output&gt;
&lt;empty_output&gt;
&lt;jupyter_text&gt;</t>
        </is>
      </c>
      <c r="I1220" t="n">
        <v>0.0056</v>
      </c>
      <c r="J1220" t="n">
        <v>0.08699999999999999</v>
      </c>
      <c r="K1220" t="n">
        <v>0.09520000000000001</v>
      </c>
      <c r="L1220" t="inlineStr">
        <is>
          <t>The provided code is a Python script that parses a list of text files and generates Wiki output. The main purpose of this code is to convert plain text into formatted Wiki markup language. It does so by skipping certain lines based on specific conditions (such as if the line ends with '.py', '.m', or '.java'). This functionality can be improved by adding more checks for</t>
        </is>
      </c>
      <c r="M1220" t="n">
        <v>0.0036</v>
      </c>
      <c r="N1220" t="n">
        <v>0.0541</v>
      </c>
      <c r="O1220" t="n">
        <v>0.1087</v>
      </c>
    </row>
    <row r="1221">
      <c r="A1221" t="inlineStr">
        <is>
          <t>openmicroscopy</t>
        </is>
      </c>
      <c r="B1221" t="inlineStr">
        <is>
          <t>examples/Training/python/__main__.py</t>
        </is>
      </c>
      <c r="C1221">
        <f>HYPERLINK("https://github.com/ome/openmicroscopy/blob/master/examples/Training/python/__main__.py")</f>
        <v/>
      </c>
      <c r="D1221" t="inlineStr">
        <is>
          <t>```python
The provided code is a Python script that runs various training suites for the Open Microscopy Environment (OME), including Bulk Shapes, Connect To OMERO, Create Image, Delete, Filesets, Groups and Permissions, Metadata, Raw Data Access, and Read Data. The complexity of this code seems to be O(n), where n represents</t>
        </is>
      </c>
      <c r="E1221" t="n">
        <v>0.0036</v>
      </c>
      <c r="F1221" t="n">
        <v>0.0333</v>
      </c>
      <c r="G1221" t="n">
        <v>0.122</v>
      </c>
      <c r="H1221" t="inlineStr">
        <is>
          <t>The code you provided is a Python script that imports and executes several other scripts from the same directory (`training_dir`), each of which likely contain specific functionalities related to interacting with an OMERO server or performing various tasks in relation to image processing. The complexity seems to be O(N), as it depends on how many files are being imported and executed.</t>
        </is>
      </c>
      <c r="I1221" t="n">
        <v>0.003</v>
      </c>
      <c r="J1221" t="n">
        <v>0.0563</v>
      </c>
      <c r="K1221" t="n">
        <v>0.0752</v>
      </c>
      <c r="L1221" t="inlineStr">
        <is>
          <t>The provided code is a Python script that runs several training suites for an application named OMERO (Object Meta-data and Electronic Records Ontology). The main purpose of this code is to execute various scripts related to the management of image data in OMERO. 
It does so by executing different python files located within its directory via `exec()` function</t>
        </is>
      </c>
      <c r="M1221" t="n">
        <v>0.0031</v>
      </c>
      <c r="N1221" t="n">
        <v>0.0597</v>
      </c>
      <c r="O1221" t="n">
        <v>0.1154</v>
      </c>
    </row>
    <row r="1222">
      <c r="A1222" t="inlineStr">
        <is>
          <t>openmicroscopy</t>
        </is>
      </c>
      <c r="B1222" t="inlineStr">
        <is>
          <t>examples/Training/python/Write_Data.py</t>
        </is>
      </c>
      <c r="C1222">
        <f>HYPERLINK("https://github.com/ome/openmicroscopy/blob/master/examples/Training/python/Write_Data.py")</f>
        <v/>
      </c>
      <c r="D1222" t="inlineStr">
        <is>
          <t>The provided code is for creating a new dataset in OMERO and linking it to an existing project using the Blitz Gateway from Parse OMERO Properties module. It connects to the OMERO server with given credentials (username, password, hostname, port), creates a new Dataset object named "NewDataset" and saves this on the OMERO server. The ID</t>
        </is>
      </c>
      <c r="E1222" t="n">
        <v>0.0033</v>
      </c>
      <c r="F1222" t="n">
        <v>0.0625</v>
      </c>
      <c r="G1222" t="n">
        <v>0.1172</v>
      </c>
      <c r="H1222" t="inlineStr">
        <is>
          <t>The code provided is a Python script for connecting to an OMERO server and creating a new dataset linked to a specific project using the Parse_OMERO_Properties file which contains credentials and other properties of the OMERO server such as username, password, hostname, port number etc., and also has some comments explaining what each part does. The function add doesn't seem to</t>
        </is>
      </c>
      <c r="I1222" t="n">
        <v>0.003</v>
      </c>
      <c r="J1222" t="n">
        <v>0.0278</v>
      </c>
      <c r="K1222" t="n">
        <v>0.0752</v>
      </c>
      <c r="L1222" t="inlineStr">
        <is>
          <t>The provided code is a Python script that connects to an OMERO server using the Blitz Gateway and creates a new dataset in it. The main functionality of this code revolves around creating a connection with the OMERO server, creating a new Dataset object, setting its name, saving it on the server, retrieving its ID, and finally linking it to a project specified by `</t>
        </is>
      </c>
      <c r="M1222" t="n">
        <v>0.0033</v>
      </c>
      <c r="N1222" t="n">
        <v>0.0556</v>
      </c>
      <c r="O1222" t="n">
        <v>0.1095</v>
      </c>
    </row>
    <row r="1223">
      <c r="A1223" t="inlineStr">
        <is>
          <t>openmicroscopy</t>
        </is>
      </c>
      <c r="B1223" t="inlineStr">
        <is>
          <t>examples/Training/python/ROIs.py</t>
        </is>
      </c>
      <c r="C1223">
        <f>HYPERLINK("https://github.com/ome/openmicroscopy/blob/master/examples/Training/python/ROIs.py")</f>
        <v/>
      </c>
      <c r="D1223" t="inlineStr">
        <is>
          <t>&lt;!-- This is a comment --&gt;
The provided code is for training purposes only and should not be used in production without modification. It connects to an OMERO server using the credentials defined in `Parse_OMERO_Properties` module. 
It then creates a connection with the server and retrieves the Update Service from it. The image ID passed as input (con</t>
        </is>
      </c>
      <c r="E1223" t="n">
        <v>0.0037</v>
      </c>
      <c r="F1223" t="n">
        <v>0.09089999999999999</v>
      </c>
      <c r="G1223" t="n">
        <v>0.1154</v>
      </c>
      <c r="H1223" t="inlineStr">
        <is>
          <t>The provided code is a Python script that connects to an OMERO server using the Blitz Gateway from omero.gateway and performs operations on images stored in it such as loading them into memory and creating regions of interest (ROIs). The function 'add' takes two numbers as input parameters and returns their sum. It has a time complexity of O(1), meaning its execution</t>
        </is>
      </c>
      <c r="I1223" t="n">
        <v>0.0029</v>
      </c>
      <c r="J1223" t="n">
        <v>0.0556</v>
      </c>
      <c r="K1223" t="n">
        <v>0.0746</v>
      </c>
      <c r="L1223" t="inlineStr">
        <is>
          <t>ThegivencodefilerepresentsaPythonscriptthatinteractswiththeopenmicroscopyenvironmentviaOMEROsrestfulapi.Itusesvariousmodulesincludingnumpy,struct,math,omerorospatialdatamodel,andfunctionsfromtheOMEROrESTAPIGATEWAYlibrary.Theprimarygoalsofthedocumentedcodeismaintainingconnectionto</t>
        </is>
      </c>
      <c r="M1223" t="n">
        <v>0</v>
      </c>
      <c r="N1223" t="n">
        <v>0</v>
      </c>
      <c r="O1223" t="n">
        <v>0</v>
      </c>
    </row>
    <row r="1224">
      <c r="A1224" t="inlineStr">
        <is>
          <t>openmicroscopy</t>
        </is>
      </c>
      <c r="B1224" t="inlineStr">
        <is>
          <t>examples/Training/python/Metadata.py</t>
        </is>
      </c>
      <c r="C1224">
        <f>HYPERLINK("https://github.com/ome/openmicroscopy/blob/master/examples/Training/python/Metadata.py")</f>
        <v/>
      </c>
      <c r="D1224" t="inlineStr">
        <is>
          <t>The provided code is a Python script that connects to an OMERO server using the Blitz Gateway and retrieves information about an instrument used in image processing. The connection details are stored in separate variables from 'Parse_OMERO_Properties'. It then loads an image by its ID, fetches the associated instrument object, checks if it's not None, and prints out some properties</t>
        </is>
      </c>
      <c r="E1224" t="n">
        <v>0.003</v>
      </c>
      <c r="F1224" t="n">
        <v>0.0282</v>
      </c>
      <c r="G1224" t="n">
        <v>0.07580000000000001</v>
      </c>
      <c r="H1224" t="inlineStr">
        <is>
          <t>The provided code is a Python script for connecting to an OMERO server and retrieving instrument details from an image using the Blitz Gateway of omero5 library. The complexity of this operation is O(N), where N represents the number of objects in the database. This includes loading the object, getting the instrument information, checking if it's not None, then accessing microscope</t>
        </is>
      </c>
      <c r="I1224" t="n">
        <v>0.0036</v>
      </c>
      <c r="J1224" t="n">
        <v>0.0282</v>
      </c>
      <c r="K1224" t="n">
        <v>0.1128</v>
      </c>
      <c r="L1224" t="inlineStr">
        <is>
          <t>The provided code is a Python script that connects to an OMERO server using the omero.gateway module from the openmicroscopy library and retrieves information about an image's instrument used for microscopy experiments. The main purpose of this code is to print out details about the microscope model and type associated with the image being analyzed. 
It</t>
        </is>
      </c>
      <c r="M1224" t="n">
        <v>0.0039</v>
      </c>
      <c r="N1224" t="n">
        <v>0.0606</v>
      </c>
      <c r="O1224" t="n">
        <v>0.1563</v>
      </c>
    </row>
    <row r="1225">
      <c r="A1225" t="inlineStr">
        <is>
          <t>openmicroscopy</t>
        </is>
      </c>
      <c r="B1225" t="inlineStr">
        <is>
          <t>examples/Training/python/Bulk_Shapes.py</t>
        </is>
      </c>
      <c r="C1225">
        <f>HYPERLINK("https://github.com/ome/openmicroscopy/blob/master/examples/Training/python/Bulk_Shapes.py")</f>
        <v/>
      </c>
      <c r="D1225" t="inlineStr">
        <is>
          <t>The code is a Python script that connects to an OMERO server using the Blitz Gateway and creates ROIs (Regions of Interest) with shapes in it. The total number of shapes created is 20. Each shape is defined by a point at coordinates (2, 3). The ROI objects are then saved back into the database via the update service provided by the connection</t>
        </is>
      </c>
      <c r="E1225" t="n">
        <v>0.0029</v>
      </c>
      <c r="F1225" t="n">
        <v>0.0282</v>
      </c>
      <c r="G1225" t="n">
        <v>0.0741</v>
      </c>
      <c r="H1225" t="inlineStr">
        <is>
          <t>The provided code is a Python script that connects to an OMERO server using the Blitz Gateway and creates ROIs (Regions of Interest) with shapes in it. The total number of shapes created can be modified by changing the 'total_shape_count' variable. Each shape is defined as a point at coordinates X = 2 and Y = 3. After creating each new shape,</t>
        </is>
      </c>
      <c r="I1225" t="n">
        <v>0.0029</v>
      </c>
      <c r="J1225" t="n">
        <v>0.0286</v>
      </c>
      <c r="K1225" t="n">
        <v>0.0746</v>
      </c>
      <c r="L1225" t="inlineStr">
        <is>
          <t>&lt;jupyter_text&gt;
The provided code is a Python script that connects to an OMERO server and creates ROIs (Regions of Interest). The purpose of the program is to create 20 shapes in different positions within a given image or dataset on the server using OMERO's API. This functionality can be useful for tasks such as object detection or segmentation</t>
        </is>
      </c>
      <c r="M1225" t="n">
        <v>0.0041</v>
      </c>
      <c r="N1225" t="n">
        <v>0.0588</v>
      </c>
      <c r="O1225" t="n">
        <v>0.1154</v>
      </c>
    </row>
    <row r="1226">
      <c r="A1226" t="inlineStr">
        <is>
          <t>openmicroscopy</t>
        </is>
      </c>
      <c r="B1226" t="inlineStr">
        <is>
          <t>examples/Training/python/Raw_Data_Access.py</t>
        </is>
      </c>
      <c r="C1226">
        <f>HYPERLINK("https://github.com/ome/openmicroscopy/blob/master/examples/Training/python/Raw_Data_Access.py")</f>
        <v/>
      </c>
      <c r="D1226" t="inlineStr">
        <is>
          <t>The provided code is a Python script for connecting to an OMERO server using the Blitz Gateway from Omero's python library and retrieving a given 3D image plane as a numpy array. The connection details are fetched from properties stored in 'parse_OMERO_properties'. It uses the getObject method of BlitzGateway class to retrieve the</t>
        </is>
      </c>
      <c r="E1226" t="n">
        <v>0.0035</v>
      </c>
      <c r="F1226" t="n">
        <v>0.0312</v>
      </c>
      <c r="G1226" t="n">
        <v>0.08</v>
      </c>
      <c r="H1226" t="inlineStr">
        <is>
          <t>The provided code is a Python script that connects to an OMERO server using the BlitzGateway from Parse OMERO Properties and retrieves a given image plane as a 2D numpy array for further analysis routines. The complexity of this operation can be considered O(N), where N represents the total number of pixels in all planes (size_z * size_</t>
        </is>
      </c>
      <c r="I1226" t="n">
        <v>0.0031</v>
      </c>
      <c r="J1226" t="n">
        <v>0.0299</v>
      </c>
      <c r="K1226" t="n">
        <v>0.1154</v>
      </c>
      <c r="L1226" t="inlineStr">
        <is>
          <t>The provided code is a Python script that connects to an OMERO server using the BlitzGateway from Parse OMERO Properties and retrieves a given image plane as a 2D numpy array for further analysis routines. The main purpose of this code is to retrieve a specific plane (or z-slice in 3D images) of an image stored on an OM</t>
        </is>
      </c>
      <c r="M1226" t="n">
        <v>0.0031</v>
      </c>
      <c r="N1226" t="n">
        <v>0.0294</v>
      </c>
      <c r="O1226" t="n">
        <v>0.1145</v>
      </c>
    </row>
    <row r="1227">
      <c r="A1227" t="inlineStr">
        <is>
          <t>openmicroscopy</t>
        </is>
      </c>
      <c r="B1227" t="inlineStr">
        <is>
          <t>examples/Training/python/Delete.py</t>
        </is>
      </c>
      <c r="C1227">
        <f>HYPERLINK("https://github.com/ome/openmicroscopy/blob/master/examples/Training/python/Delete.py")</f>
        <v/>
      </c>
      <c r="D1227" t="inlineStr">
        <is>
          <t>&lt;BLANKLINE&gt;
The provided code is a Python script for managing projects in OMERO (a platform used to manage microscopy images). It uses the OMERO REST API through omero.py library which provides access to an OMERO server from python scripts and applications. The main functionality of this code includes creating new project objects with unique names using the</t>
        </is>
      </c>
      <c r="E1227" t="n">
        <v>0.0038</v>
      </c>
      <c r="F1227" t="n">
        <v>0.0303</v>
      </c>
      <c r="G1227" t="n">
        <v>0.1163</v>
      </c>
      <c r="H1227" t="inlineStr">
        <is>
          <t>The provided code is a Python script that uses the OMERO (Optical Microscopy and Electronic Recording) library to connect to an OMERO server, create new projects, and delete them. The function `create_project` creates a project with a name "NewProject" on the connected OMERO server. It returns the ID of the created project which can be used</t>
        </is>
      </c>
      <c r="I1227" t="n">
        <v>0.0033</v>
      </c>
      <c r="J1227" t="n">
        <v>0.0308</v>
      </c>
      <c r="K1227" t="n">
        <v>0.0781</v>
      </c>
      <c r="L1227" t="inlineStr">
        <is>
          <t>The provided code is a Python script that connects to an OMERO server using the Blitz Gateway and creates two new projects on it. It also provides functionality for deleting objects of the same type at the same time. The main purpose of this code seems to be managing project creation and deletion in an image analysis environment like OMERO.
The input parameters are defined as US</t>
        </is>
      </c>
      <c r="M1227" t="n">
        <v>0.0032</v>
      </c>
      <c r="N1227" t="n">
        <v>0.0533</v>
      </c>
      <c r="O1227" t="n">
        <v>0.1079</v>
      </c>
    </row>
    <row r="1228">
      <c r="A1228" t="inlineStr">
        <is>
          <t>openmicroscopy</t>
        </is>
      </c>
      <c r="B1228" t="inlineStr">
        <is>
          <t>examples/Training/python/Scripting_Service_Example.py</t>
        </is>
      </c>
      <c r="C1228">
        <f>HYPERLINK("https://github.com/ome/openmicroscopy/blob/master/examples/Training/python/Scripting_Service_Example.py")</f>
        <v/>
      </c>
      <c r="D1228" t="inlineStr">
        <is>
          <t>The provided code is a Python script template that can be used to convert from a simple client-side Python script into an executable script run by the server on OMERO (Object Management for Electronic Records), using OMERO's scripting service. The purpose of this script is primarily for training purposes and should not be used in real world scenarios without further modification as it lack</t>
        </is>
      </c>
      <c r="E1228" t="n">
        <v>0.0028</v>
      </c>
      <c r="F1228" t="n">
        <v>0.0541</v>
      </c>
      <c r="G1228" t="n">
        <v>0.1103</v>
      </c>
      <c r="H1228" t="inlineStr">
        <is>
          <t>The function `add` takes two parameters (numbers), adds them together and returns the result. It has a time complexity of O(1). The code is written in Python and it performs addition operation on two numbers provided as arguments to the function.
&lt;jupyter_code&gt;
#!/usr/bin/env python
# -*- coding: utf-8 -</t>
        </is>
      </c>
      <c r="I1228" t="n">
        <v>0.0037</v>
      </c>
      <c r="J1228" t="n">
        <v>0.0678</v>
      </c>
      <c r="K1228" t="n">
        <v>0.08260000000000001</v>
      </c>
      <c r="L1228" t="inlineStr">
        <is>
          <t>&lt;!-- This is a code summary --&gt;
The provided Python script serves as a template for OMERO server scripts. It allows easy conversion from client-side Python to an executable script on the OMERO scripting service. The script takes an Image ID as input parameter and interacts with OMERO through its Blitz Gateway module. 
It uses rTypes,</t>
        </is>
      </c>
      <c r="M1228" t="n">
        <v>0.0039</v>
      </c>
      <c r="N1228" t="n">
        <v>0.0635</v>
      </c>
      <c r="O1228" t="n">
        <v>0.1172</v>
      </c>
    </row>
    <row r="1229">
      <c r="A1229" t="inlineStr">
        <is>
          <t>openmicroscopy</t>
        </is>
      </c>
      <c r="B1229" t="inlineStr">
        <is>
          <t>examples/Training/python/Filesets.py</t>
        </is>
      </c>
      <c r="C1229">
        <f>HYPERLINK("https://github.com/ome/openmicroscopy/blob/master/examples/Training/python/Filesets.py")</f>
        <v/>
      </c>
      <c r="D1229" t="inlineStr">
        <is>
          <t>The provided code is for training purposes only and should not be used in a production environment. It connects to an OMERO server using the Blitz Gateway from Pyomexruns as per credentials defined in Parse_OMERO_Properties module. The connection object 'conn' establishes the connection with the OMERO server. From this connection, it fetches the fileset of</t>
        </is>
      </c>
      <c r="E1229" t="n">
        <v>0.0033</v>
      </c>
      <c r="F1229" t="n">
        <v>0.0308</v>
      </c>
      <c r="G1229" t="n">
        <v>0.1181</v>
      </c>
      <c r="H1229" t="inlineStr">
        <is>
          <t>The provided code is a Python script for connecting to an OMERO server and retrieving information about images in its filesets using the OMERO API (Blitz Gateway). The functionality of this code includes creating a connection with the specified credentials, getting the 'FileSet' object associated with an image, listing all images that are part of the same file set, and printing their IDs</t>
        </is>
      </c>
      <c r="I1229" t="n">
        <v>0.0034</v>
      </c>
      <c r="J1229" t="n">
        <v>0.0563</v>
      </c>
      <c r="K1229" t="n">
        <v>0.1111</v>
      </c>
      <c r="L1229" t="inlineStr">
        <is>
          <t>The provided code is a Python script that connects to an OMERO server using the Blitz Gateway from omero gateway module and retrieves all images in a specific fileset of an image on the server. The main purpose of this code is to list down all the images present within a given fileset by their IDs and names.
The inputs are username, password,</t>
        </is>
      </c>
      <c r="M1229" t="n">
        <v>0.0034</v>
      </c>
      <c r="N1229" t="n">
        <v>0.0563</v>
      </c>
      <c r="O1229" t="n">
        <v>0.1481</v>
      </c>
    </row>
    <row r="1230">
      <c r="A1230" t="inlineStr">
        <is>
          <t>openmicroscopy</t>
        </is>
      </c>
      <c r="B1230" t="inlineStr">
        <is>
          <t>examples/Training/python/Render_Images.py</t>
        </is>
      </c>
      <c r="C1230">
        <f>HYPERLINK("https://github.com/ome/openmicroscopy/blob/master/examples/Training/python/Render_Images.py")</f>
        <v/>
      </c>
      <c r="D1230" t="inlineStr">
        <is>
          <t>The provided code is for training purposes only and should not be used in a production environment. It connects to an OMERO server using the Blitz Gateway from the omero Python library, gets a thumbnail of an image with specified ID, saves it as "thumbnail.jpg" and prints some information about the current rendering settings on the image. The complexity of this operation is O</t>
        </is>
      </c>
      <c r="E1230" t="n">
        <v>0.0028</v>
      </c>
      <c r="F1230" t="n">
        <v>0.0274</v>
      </c>
      <c r="G1230" t="n">
        <v>0.1103</v>
      </c>
      <c r="H1230" t="inlineStr">
        <is>
          <t>The function provided is a Python script that connects to an OMERO server using the Blitz Gateway and retrieves thumbnails of images from it. The complexity of this code snippet is O(N), where N represents the number of pixels in the image. It uses PIL (Python Imaging Library) for handling the image data retrieved from the OMERO server.</t>
        </is>
      </c>
      <c r="I1230" t="n">
        <v>0.0031</v>
      </c>
      <c r="J1230" t="n">
        <v>0.0597</v>
      </c>
      <c r="K1230" t="n">
        <v>0.1154</v>
      </c>
      <c r="L1230" t="inlineStr">
        <is>
          <t>The code provided is a Python script that interacts with an OMERO server using the omero.gateway module from Open Microscopy Environment (OME). The main purpose of this code seems to be creating a connection to an OMERO server and retrieving thumbnails for images stored on it. It does so by connecting to the server, getting an image object based on its</t>
        </is>
      </c>
      <c r="M1230" t="n">
        <v>0.0036</v>
      </c>
      <c r="N1230" t="n">
        <v>0.0571</v>
      </c>
      <c r="O1230" t="n">
        <v>0.1504</v>
      </c>
    </row>
    <row r="1231">
      <c r="A1231" t="inlineStr">
        <is>
          <t>openmicroscopy</t>
        </is>
      </c>
      <c r="B1231" t="inlineStr">
        <is>
          <t>examples/Training/python/Tables.py</t>
        </is>
      </c>
      <c r="C1231">
        <f>HYPERLINK("https://github.com/ome/openmicroscopy/blob/master/examples/Training/python/Tables.py")</f>
        <v/>
      </c>
      <c r="D1231" t="inlineStr">
        <is>
          <t>The provided code is for training purposes only and should not be used in production without modification. It connects to an OMERO server using the BlitzGateway from omero.grid module with a username, password, host, and port specified by constants defined in Parse_OMERO_Properties. The connection creates a new table named 'TablesDemo' with two columns</t>
        </is>
      </c>
      <c r="E1231" t="n">
        <v>0.0041</v>
      </c>
      <c r="F1231" t="n">
        <v>0.0625</v>
      </c>
      <c r="G1231" t="n">
        <v>0.12</v>
      </c>
      <c r="H1231" t="inlineStr">
        <is>
          <t>The code provided is a Python script that connects to an OMERO server using the Blitz Gateway and creates tables in it for training purposes only. The complexity of this function is O(1), as it performs constant operations regardless of input size. It uses OMERO's grid system to create two columns (one for long integers and one for strings). The initial commit size of this</t>
        </is>
      </c>
      <c r="I1231" t="n">
        <v>0.0028</v>
      </c>
      <c r="J1231" t="n">
        <v>0.08</v>
      </c>
      <c r="K1231" t="n">
        <v>0.1095</v>
      </c>
      <c r="L1231" t="inlineStr">
        <is>
          <t>The provided code is a Python script that interacts with the OMERO database using its API to create tables in it and populates them with data. The main purpose of this code is to demonstrate how to use OMERO's grid functionality for storing large amounts of metadata efficiently.
Here are some key operations performed by the code: 
1. It establishes a</t>
        </is>
      </c>
      <c r="M1231" t="n">
        <v>0.0036</v>
      </c>
      <c r="N1231" t="n">
        <v>0.0571</v>
      </c>
      <c r="O1231" t="n">
        <v>0.1128</v>
      </c>
    </row>
    <row r="1232">
      <c r="A1232" t="inlineStr">
        <is>
          <t>openmicroscopy</t>
        </is>
      </c>
      <c r="B1232" t="inlineStr">
        <is>
          <t>examples/Training/python/Parse_OMERO_Properties.py</t>
        </is>
      </c>
      <c r="C1232">
        <f>HYPERLINK("https://github.com/ome/openmicroscopy/blob/master/examples/Training/python/Parse_OMERO_Properties.py")</f>
        <v/>
      </c>
      <c r="D1232" t="inlineStr">
        <is>
          <t>The provided code is a Python script that sets up the configuration for an OMERO client by importing properties from omero.properties file and assigns them to variables such as HOST, PORT, USERNAME, PASSWORD etc., which are used in other training scripts. It also defines project, dataset, image IDs and plate IDs. The complexity of this function</t>
        </is>
      </c>
      <c r="E1232" t="n">
        <v>0.0033</v>
      </c>
      <c r="F1232" t="n">
        <v>0.0615</v>
      </c>
      <c r="G1232" t="n">
        <v>0.1172</v>
      </c>
      <c r="H1232" t="inlineStr">
        <is>
          <t>The function provided is a simple addition operation that takes two numbers as input and returns their sum. The complexity of this function is O(1), meaning it performs the same number of operations regardless of the size of the inputs.
```python
#!/usr/bin/env python
# -*- coding: utf-8 -*-
# Copyright (C) 20</t>
        </is>
      </c>
      <c r="I1232" t="n">
        <v>0.0035</v>
      </c>
      <c r="J1232" t="n">
        <v>0.0667</v>
      </c>
      <c r="K1232" t="n">
        <v>0.121</v>
      </c>
      <c r="L1232" t="inlineStr">
        <is>
          <t>The provided code is a Python script that configures the connection parameters for an OMERO server using omero client library. The purpose of this script is to establish a connection with the OMERO server and retrieve properties related to it such as host name, port number, username, password etc. These configurations will be used by other training scripts in order to interact with the OMERO server</t>
        </is>
      </c>
      <c r="M1232" t="n">
        <v>0.0028</v>
      </c>
      <c r="N1232" t="n">
        <v>0.0541</v>
      </c>
      <c r="O1232" t="n">
        <v>0.1087</v>
      </c>
    </row>
    <row r="1233">
      <c r="A1233" t="inlineStr">
        <is>
          <t>openmicroscopy</t>
        </is>
      </c>
      <c r="B1233" t="inlineStr">
        <is>
          <t>examples/Training/python/Connect_To_OMERO.py</t>
        </is>
      </c>
      <c r="C1233">
        <f>HYPERLINK("https://github.com/ome/openmicroscopy/blob/master/examples/Training/python/Connect_To_OMERO.py")</f>
        <v/>
      </c>
      <c r="D1233" t="inlineStr">
        <is>
          <t>The provided code is a Python script that connects to an OMERO server using the Blitz Gateway from omero.gateway module. The connection details are stored in separate variables (USERNAME, PASSWORD, HOST and PORT). If there is no error during the connection process, it prints out some information about the connected status. This block of code can be run directly</t>
        </is>
      </c>
      <c r="E1233" t="n">
        <v>0.0037</v>
      </c>
      <c r="F1233" t="n">
        <v>0.0588</v>
      </c>
      <c r="G1233" t="n">
        <v>0.1145</v>
      </c>
      <c r="H1233" t="inlineStr">
        <is>
          <t>The function `add` takes two parameters (numbers), adds them together and returns the result. The time complexity is O(1). This means that it performs a constant number of operations regardless of the size of the input data.
```python
def add(a, b):
    return a + b
```
In this code snippet, we define a</t>
        </is>
      </c>
      <c r="I1233" t="n">
        <v>0.0041</v>
      </c>
      <c r="J1233" t="n">
        <v>0.06560000000000001</v>
      </c>
      <c r="K1233" t="n">
        <v>0.12</v>
      </c>
      <c r="L1233" t="inlineStr">
        <is>
          <t>The provided code is a Python script for connecting to an OMERO server using the Blitz Gateway from Omero Py library. The main purpose of this code is to establish a connection with the OMERO server and check if it has been successfully established or not. If unsuccessful, it prints out an error message indicating that the connection was not successful. This functionality can be summar</t>
        </is>
      </c>
      <c r="M1233" t="n">
        <v>0.0036</v>
      </c>
      <c r="N1233" t="n">
        <v>0.0541</v>
      </c>
      <c r="O1233" t="n">
        <v>0.1087</v>
      </c>
    </row>
    <row r="1234">
      <c r="A1234" t="inlineStr">
        <is>
          <t>openmicroscopy</t>
        </is>
      </c>
      <c r="B1234" t="inlineStr">
        <is>
          <t>examples/Training/python/Groups_Permissions.py</t>
        </is>
      </c>
      <c r="C1234">
        <f>HYPERLINK("https://github.com/ome/openmicroscopy/blob/master/examples/Training/python/Groups_Permissions.py")</f>
        <v/>
      </c>
      <c r="D1234" t="inlineStr">
        <is>
          <t>The provided code is a Python script that connects to an OMERO server using the Blitz Gateway from PyPI and retrieves information about the current group permissions of the logged in user. It prints out the name of the current group and its permission set as strings ('rw----', 'rwr---', etc.). The complexity of this operation is O(N), where N represents the number</t>
        </is>
      </c>
      <c r="E1234" t="n">
        <v>0.0029</v>
      </c>
      <c r="F1234" t="n">
        <v>0.0282</v>
      </c>
      <c r="G1234" t="n">
        <v>0.1119</v>
      </c>
      <c r="H1234" t="inlineStr">
        <is>
          <t>The provided code is a Python script that connects to an OMERO server using the Blitz Gateway from omero.gateway and imports credentials for connection details from Parse_OMERO_Properties module. The purpose of this script seems to be training purposes only as it contains sensitive information about connecting to an OMERO server. It also appears to have some placeholder comments which</t>
        </is>
      </c>
      <c r="I1234" t="n">
        <v>0.0031</v>
      </c>
      <c r="J1234" t="n">
        <v>0.0286</v>
      </c>
      <c r="K1234" t="n">
        <v>0.1145</v>
      </c>
      <c r="L1234" t="inlineStr">
        <is>
          <t>The provided code is for connecting to an OMERO server using the Blitz Gateway from omero python library. The main purpose of this code is to establish a connection with the OMERO server and retrieve details about the current group that it has been logged into. It then prints out the name of the currently active group and retrieves its defined permissions set. These permission names are {'</t>
        </is>
      </c>
      <c r="M1234" t="n">
        <v>0.0027</v>
      </c>
      <c r="N1234" t="n">
        <v>0.0533</v>
      </c>
      <c r="O1234" t="n">
        <v>0.1071</v>
      </c>
    </row>
    <row r="1235">
      <c r="A1235" t="inlineStr">
        <is>
          <t>openmicroscopy</t>
        </is>
      </c>
      <c r="B1235" t="inlineStr">
        <is>
          <t>examples/Training/python/Create_Image.py</t>
        </is>
      </c>
      <c r="C1235">
        <f>HYPERLINK("https://github.com/ome/openmicroscopy/blob/master/examples/Training/python/Create_Image.py")</f>
        <v/>
      </c>
      <c r="D1235" t="inlineStr">
        <is>
          <t>```python
#!/usr/bin/env python
# -*- coding: utf-8 -*-
# Copyright (C) 2014 University of Dundee &amp; Open Microscopy Environment.
# All Rights Reserved. Use is subject to license terms supplied in LICENSE.txt.
# FOR TRAINING PURPO</t>
        </is>
      </c>
      <c r="E1235" t="n">
        <v>0</v>
      </c>
      <c r="F1235" t="n">
        <v>0</v>
      </c>
      <c r="G1235" t="n">
        <v>0.0463</v>
      </c>
      <c r="H1235" t="inlineStr">
        <is>
          <t>The code provided is a Python script for connecting to an OMERO server using the Blitz Gateway from Omero's python library and creating an image from numpy array data. The function add() takes two parameters (a &amp; b), adds them together and returns the result.
The complexity of this operation is linear or O(1). This means that as input size</t>
        </is>
      </c>
      <c r="I1235" t="n">
        <v>0.0036</v>
      </c>
      <c r="J1235" t="n">
        <v>0.058</v>
      </c>
      <c r="K1235" t="n">
        <v>0.1136</v>
      </c>
      <c r="L1235" t="inlineStr">
        <is>
          <t>The code provided is a Python script for interacting with the Omero server using OMERO's Blitz Gateway API and creating an image from scratch. The main purpose of this code is to create multi-dimensional images from hard-coded data arrays.
It connects to the Omero server by providing username, password, hostname, and port details stored in separate</t>
        </is>
      </c>
      <c r="M1235" t="n">
        <v>0.0033</v>
      </c>
      <c r="N1235" t="n">
        <v>0.0597</v>
      </c>
      <c r="O1235" t="n">
        <v>0.1172</v>
      </c>
    </row>
    <row r="1236">
      <c r="A1236" t="inlineStr">
        <is>
          <t>openmicroscopy</t>
        </is>
      </c>
      <c r="B1236" t="inlineStr">
        <is>
          <t>examples/Training/python/Read_Data.py</t>
        </is>
      </c>
      <c r="C1236">
        <f>HYPERLINK("https://github.com/ome/openmicroscopy/blob/master/examples/Training/python/Read_Data.py")</f>
        <v/>
      </c>
      <c r="D1236" t="inlineStr">
        <is>
          <t>The provided code is a Python script that connects to an OMERO server using the Blitz Gateway from Parse OMERO Properties and prints information about objects in the OMERO dataset. The connection details are stored in variables defined in 'Parse_OMERO_Properties'. It also defines a helper function `print_obj` which displays info about OMERO objects. This repository</t>
        </is>
      </c>
      <c r="E1236" t="n">
        <v>0.004</v>
      </c>
      <c r="F1236" t="n">
        <v>0.0303</v>
      </c>
      <c r="G1236" t="n">
        <v>0.1181</v>
      </c>
      <c r="H1236" t="inlineStr">
        <is>
          <t>The provided code is a Python script that uses the OMERO API to connect to an OMERO server and retrieve information about datasets owned by a specific user. The function `print_obj` is used as a helper method to display details of any given OMERO object such as its class name, ID, name (if available), and owner's username. This functionality could be summar</t>
        </is>
      </c>
      <c r="I1236" t="n">
        <v>0.0039</v>
      </c>
      <c r="J1236" t="n">
        <v>0.0556</v>
      </c>
      <c r="K1236" t="n">
        <v>0.1119</v>
      </c>
      <c r="L1236" t="inlineStr">
        <is>
          <t>The provided code is a Python script that connects to an OMERO server using the Blitz Gateway from Parse OMERO Properties and performs operations on datasets in OMERO. The main purpose of this code seems to be fetching information about specific objects (datasets, images, plates) owned by a user currently logged into OMERO's system.</t>
        </is>
      </c>
      <c r="M1236" t="n">
        <v>0.0034</v>
      </c>
      <c r="N1236" t="n">
        <v>0.0317</v>
      </c>
      <c r="O1236" t="n">
        <v>0.119</v>
      </c>
    </row>
    <row r="1237">
      <c r="A1237" t="inlineStr">
        <is>
          <t>openmicroscopy</t>
        </is>
      </c>
      <c r="B1237" t="inlineStr">
        <is>
          <t>examples/Training/python/Task_Scripts/ROIs_To_Table.py</t>
        </is>
      </c>
      <c r="C1237">
        <f>HYPERLINK("https://github.com/ome/openmicroscopy/blob/master/examples/Training/python/Task_Scripts/ROIs_To_Table.py")</f>
        <v/>
      </c>
      <c r="D1237" t="inlineStr">
        <is>
          <t>The provided code is a Python script that processes data for each dataset in Omero using the Blitz Gateway from omero library. It adds the length of each ROI (Region of Interest) to an OMERO table and calculates the average line length across all images and adds this as a double annotation on the image itself. The columns required are 'imageId', 'ro</t>
        </is>
      </c>
      <c r="E1237" t="n">
        <v>0.0029</v>
      </c>
      <c r="F1237" t="n">
        <v>0.0286</v>
      </c>
      <c r="G1237" t="n">
        <v>0.1119</v>
      </c>
      <c r="H1237" t="inlineStr">
        <is>
          <t>&lt;jupyter_code&gt;
#!/usr/bin/env python
# -*- coding: utf-8 -*-
# Copyright (C) 2011 University of Dundee &amp; Open Microscopy Environment.
# All rights reserved. Use is subject to licence terms supplied in LICENSE.txt
import omero.</t>
        </is>
      </c>
      <c r="I1237" t="n">
        <v>0</v>
      </c>
      <c r="J1237" t="n">
        <v>0</v>
      </c>
      <c r="K1237" t="n">
        <v>0.0472</v>
      </c>
      <c r="L1237" t="inlineStr">
        <is>
          <t>The provided code is a Python script that processes data for each dataset in an OMERO server. It adds the length of each Region of Interest (ROI) to an OMERO table and calculates the average line length across all ROIs for each image. The purpose of this process is to analyze the shape distribution of objects within images.
Here's what happens in detail</t>
        </is>
      </c>
      <c r="M1237" t="n">
        <v>0.0029</v>
      </c>
      <c r="N1237" t="n">
        <v>0.0278</v>
      </c>
      <c r="O1237" t="n">
        <v>0.0741</v>
      </c>
    </row>
    <row r="1238">
      <c r="A1238" t="inlineStr">
        <is>
          <t>openmicroscopy</t>
        </is>
      </c>
      <c r="B1238" t="inlineStr">
        <is>
          <t>examples/Training/python/Task_Scripts/Write_Data_4.py</t>
        </is>
      </c>
      <c r="C1238">
        <f>HYPERLINK("https://github.com/ome/openmicroscopy/blob/master/examples/Training/python/Task_Scripts/Write_Data_4.py")</f>
        <v/>
      </c>
      <c r="D1238" t="inlineStr">
        <is>
          <t>The provided code is a Python script that connects to an OMERO server using the Blitz Gateway from Open Microscopy Environment (OME). It imports necessary credentials and properties for connection from Parse_OMERO_Properties module. The script then establishes a connection with the server using these credentials and properties. After successful connection, it sets a variable 'file_name'. This</t>
        </is>
      </c>
      <c r="E1238" t="n">
        <v>0.0039</v>
      </c>
      <c r="F1238" t="n">
        <v>0.0597</v>
      </c>
      <c r="G1238" t="n">
        <v>0.1172</v>
      </c>
      <c r="H1238" t="inlineStr">
        <is>
          <t>The provided code is a Python script for interacting with OMERO server using the Blitz Gateway from Omero library. It connects to an OMERO server and retrieves data based on given parameters such as Image IDs. The complexity of this function is O(n), where n represents number of images being processed in one connection session.
Here are some key components of</t>
        </is>
      </c>
      <c r="I1238" t="n">
        <v>0.003</v>
      </c>
      <c r="J1238" t="n">
        <v>0.0571</v>
      </c>
      <c r="K1238" t="n">
        <v>0.1128</v>
      </c>
      <c r="L1238" t="inlineStr">
        <is>
          <t>The provided code is a Python script for interacting with the OMERO server using its Blitz Gateway API. It connects to an OMERO server specified in properties file (`Parse_OMERO_Properties`). The script takes an Image ID as input and retrieves details about it from the connected OMERO project. This functionality allows users to interact with their image data stored on</t>
        </is>
      </c>
      <c r="M1238" t="n">
        <v>0.0041</v>
      </c>
      <c r="N1238" t="n">
        <v>0.058</v>
      </c>
      <c r="O1238" t="n">
        <v>0.1145</v>
      </c>
    </row>
    <row r="1239">
      <c r="A1239" t="inlineStr">
        <is>
          <t>openmicroscopy</t>
        </is>
      </c>
      <c r="B1239" t="inlineStr">
        <is>
          <t>examples/Training/python/Task_Scripts/Raw_Data_Task.py</t>
        </is>
      </c>
      <c r="C1239">
        <f>HYPERLINK("https://github.com/ome/openmicroscopy/blob/master/examples/Training/python/Task_Scripts/Raw_Data_Task.py")</f>
        <v/>
      </c>
      <c r="D1239" t="inlineStr">
        <is>
          <t>&lt;!-- This is a summary of the provided code --&gt;
The given Python script connects to an OMERO server using credentials from `Parse_OMERO_Properties` module and fetches an image with specified ID (passed as parameter). It uses OMERO's Blitz Gateway for this purpose. The script takes an Image ID as input from the OMERO script</t>
        </is>
      </c>
      <c r="E1239" t="n">
        <v>0.0045</v>
      </c>
      <c r="F1239" t="n">
        <v>0.09520000000000001</v>
      </c>
      <c r="G1239" t="n">
        <v>0.1587</v>
      </c>
      <c r="H1239" t="inlineStr">
        <is>
          <t>The function provided is a simple addition operation between two numbers (`a` and `b`). It returns the sum of these two numbers. The time complexity of this function is O(1), meaning it takes constant time to execute regardless of the size of input data.
&lt;jupyter_code&gt;
def add(a, b):
    return a + b
&lt;</t>
        </is>
      </c>
      <c r="I1239" t="n">
        <v>0.0035</v>
      </c>
      <c r="J1239" t="n">
        <v>0.0645</v>
      </c>
      <c r="K1239" t="n">
        <v>0.16</v>
      </c>
      <c r="L1239" t="inlineStr">
        <is>
          <t>ThegivencodefileappearsstobeaPythonscriptthatinteractswiththeOMEROScriptingServiceusingtheblitzgateway.Itperformsafortrainingonlyoperationwhereitpullsaverysmallportionofdatafromthedatabaseserverbasedonanimagemetadataquery.Thereismainlogicalprocessinduringexecutionwhichincludesconnectingtotheserver,fetching</t>
        </is>
      </c>
      <c r="M1239" t="n">
        <v>0</v>
      </c>
      <c r="N1239" t="n">
        <v>0</v>
      </c>
      <c r="O1239" t="n">
        <v>0</v>
      </c>
    </row>
    <row r="1240">
      <c r="A1240" t="inlineStr">
        <is>
          <t>openmicroscopy</t>
        </is>
      </c>
      <c r="B1240" t="inlineStr">
        <is>
          <t>examples/Training/python/Task_Scripts/Write_Data_3.py</t>
        </is>
      </c>
      <c r="C1240">
        <f>HYPERLINK("https://github.com/ome/openmicroscopy/blob/master/examples/Training/python/Task_Scripts/Write_Data_3.py")</f>
        <v/>
      </c>
      <c r="D1240" t="inlineStr">
        <is>
          <t>The provided code is a Python script template for OMERO (Object Management Environment for Research Objects). It imports necessary modules from the OMERO library and defines some constants used to connect to an OMERO server. The script takes an image ID as input parameter which can be passed by the scripting service on the OMERO scripting service. However, without seeing the actual code</t>
        </is>
      </c>
      <c r="E1240" t="n">
        <v>0.0029</v>
      </c>
      <c r="F1240" t="n">
        <v>0.0563</v>
      </c>
      <c r="G1240" t="n">
        <v>0.1111</v>
      </c>
      <c r="H1240" t="inlineStr">
        <is>
          <t>This repository contains backend software components for the OMERO scripting service. The 'add' function is one of these core algorithms that performs addition operation on two numbers. It has a time complexity of O(1), indicating it executes in constant time regardless of input size.
&lt;jreadme.py&gt;: Copyright (C) 2011 University of Dundee &amp;</t>
        </is>
      </c>
      <c r="I1240" t="n">
        <v>0.0046</v>
      </c>
      <c r="J1240" t="n">
        <v>0.0984</v>
      </c>
      <c r="K1240" t="n">
        <v>0.1613</v>
      </c>
      <c r="L1240" t="inlineStr">
        <is>
          <t>The provided code is a Python script for interacting with the OMERO server using its API (Application Programming Interface). It connects to an OMERO server via BlitzGateway and retrieves image metadata based on a given Image ID from OMERO. The main purpose of this script seems to be training purposes only as indicated by the comment at the top of the file.</t>
        </is>
      </c>
      <c r="M1240" t="n">
        <v>0.0029</v>
      </c>
      <c r="N1240" t="n">
        <v>0.0286</v>
      </c>
      <c r="O1240" t="n">
        <v>0.1119</v>
      </c>
    </row>
    <row r="1241">
      <c r="A1241" t="inlineStr">
        <is>
          <t>openmicroscopy</t>
        </is>
      </c>
      <c r="B1241" t="inlineStr">
        <is>
          <t>examples/Training/python/Task_Scripts/Raw_Data2.py</t>
        </is>
      </c>
      <c r="C1241">
        <f>HYPERLINK("https://github.com/ome/openmicroscopy/blob/master/examples/Training/python/Task_Scripts/Raw_Data2.py")</f>
        <v/>
      </c>
      <c r="D1241" t="inlineStr">
        <is>
          <t>The provided code is a Python script template for OMERO (Object Management Environment for Research Objects), specifically designed for training purposes only and not intended for real world use cases. It utilizes the OMERO gateway to connect with an OMERO server using credentials from `Parse_OMERO_Properties` module. The script takes an image ID as input parameter which it then uses to</t>
        </is>
      </c>
      <c r="E1241" t="n">
        <v>0.003</v>
      </c>
      <c r="F1241" t="n">
        <v>0.0286</v>
      </c>
      <c r="G1241" t="n">
        <v>0.07580000000000001</v>
      </c>
      <c r="H1241" t="inlineStr">
        <is>
          <t>The code provided is a Python script that uses OMERO (Object Management for Electronic Records), specifically the Blitz Gateway to connect with an OMERO server and perform operations on images stored in it. The function `add` takes two parameters `a` and `b` and returns their sum. This operation has a time complexity of O(1).
In this context</t>
        </is>
      </c>
      <c r="I1241" t="n">
        <v>0.0038</v>
      </c>
      <c r="J1241" t="n">
        <v>0.0606</v>
      </c>
      <c r="K1241" t="n">
        <v>0.1163</v>
      </c>
      <c r="L1241" t="inlineStr">
        <is>
          <t>The provided code is a Python script that interacts with the OMERO server using its API (Application Programming Interface). The purpose of this script appears to be for training purposes only and does not have any real world application. 
It connects to an OMERO server using credentials stored in Parse_OMERO_Properties file which contains USERNAME, PASSWORD</t>
        </is>
      </c>
      <c r="M1241" t="n">
        <v>0.0033</v>
      </c>
      <c r="N1241" t="n">
        <v>0.0615</v>
      </c>
      <c r="O1241" t="n">
        <v>0.1181</v>
      </c>
    </row>
    <row r="1242">
      <c r="A1242" t="inlineStr">
        <is>
          <t>openmicroscopy</t>
        </is>
      </c>
      <c r="B1242" t="inlineStr">
        <is>
          <t>examples/Training/python/Advanced/Raw_Data_advanced.py</t>
        </is>
      </c>
      <c r="C1242">
        <f>HYPERLINK("https://github.com/ome/openmicroscopy/blob/master/examples/Training/python/Advanced/Raw_Data_advanced.py")</f>
        <v/>
      </c>
      <c r="D1242" t="inlineStr">
        <is>
          <t>&lt;unknown&gt;</t>
        </is>
      </c>
      <c r="E1242" t="n">
        <v>0</v>
      </c>
      <c r="F1242" t="n">
        <v>0</v>
      </c>
      <c r="G1242" t="n">
        <v>0</v>
      </c>
      <c r="H1242" t="inlineStr">
        <is>
          <t>The provided code is a Python script for connecting to OMERO server and retrieving an image from it using the Blitz Gateway of OMERO. The function `add` takes two parameters (a, b), adds them together and returns the result. This functionality could be summarized as follows: "Connect to an OMERO server with specified credentials, retrieve an image by ID,</t>
        </is>
      </c>
      <c r="I1242" t="n">
        <v>0.0041</v>
      </c>
      <c r="J1242" t="n">
        <v>0.0597</v>
      </c>
      <c r="K1242" t="n">
        <v>0.1145</v>
      </c>
      <c r="L1242" t="inlineStr">
        <is>
          <t>ThegivenPythonsourcecodeisusedforinteractingwithanOMEGAserverusingaPythonlibrarycalled'omeroweb'.ItestablishsacontinuousconnectionbetweenuserandsomeGAserverviaSOCKETSprotocol.TheprimaryroleofthiscodeisloadingimagesfromtheOMEGAserverintoamemoryfortrainingpurposesonly.Theimagesshouldbep</t>
        </is>
      </c>
      <c r="M1242" t="n">
        <v>0</v>
      </c>
      <c r="N1242" t="n">
        <v>0</v>
      </c>
      <c r="O1242" t="n">
        <v>0</v>
      </c>
    </row>
    <row r="1243">
      <c r="A1243" t="inlineStr">
        <is>
          <t>openmicroscopy</t>
        </is>
      </c>
      <c r="B1243" t="inlineStr">
        <is>
          <t>examples/Training/python/Advanced/Read_Data_advanced.py</t>
        </is>
      </c>
      <c r="C1243">
        <f>HYPERLINK("https://github.com/ome/openmicroscopy/blob/master/examples/Training/python/Advanced/Read_Data_advanced.py")</f>
        <v/>
      </c>
      <c r="D1243" t="inlineStr">
        <is>
          <t>The provided code is a Python script for connecting to an OMERO server and creating three datasets with the specified names using Open Microscopy Environment (OME). The connection details are stored in variables `USERNAME`, `PASSWORD`, `HOST`, and `PORT` which should be defined before running this script. It then creates 3 Dataset objects named "MyDataset</t>
        </is>
      </c>
      <c r="E1243" t="n">
        <v>0.0034</v>
      </c>
      <c r="F1243" t="n">
        <v>0.0323</v>
      </c>
      <c r="G1243" t="n">
        <v>0.119</v>
      </c>
      <c r="H1243" t="inlineStr">
        <is>
          <t>The provided code is a Python script for connecting to an OMERO server and creating datasets using the Blitz Gateway from Parse OMERO Properties library. The functionality of this code includes connection setup with specified credentials (username, password), configuration of dataset name and tag name, creation of datasets based on user defined range in a loop, and saving these datasets into an array.</t>
        </is>
      </c>
      <c r="I1243" t="n">
        <v>0.0034</v>
      </c>
      <c r="J1243" t="n">
        <v>0.0563</v>
      </c>
      <c r="K1243" t="n">
        <v>0.1111</v>
      </c>
      <c r="L1243" t="inlineStr">
        <is>
          <t>The provided code is a Python script that establishes a connection to an OMERO server using the Blitz Gateway from Parse OMERO Properties library and then creates three datasets on this server named "MyDataset". The purpose of these datasets are not explicitly stated in the given context but it seems they might be used for storing microscopy data related to some sort of experiment or study</t>
        </is>
      </c>
      <c r="M1243" t="n">
        <v>0.0028</v>
      </c>
      <c r="N1243" t="n">
        <v>0.027</v>
      </c>
      <c r="O1243" t="n">
        <v>0.1087</v>
      </c>
    </row>
    <row r="1244">
      <c r="A1244" t="inlineStr">
        <is>
          <t>openmicroscopy</t>
        </is>
      </c>
      <c r="B1244" t="inlineStr">
        <is>
          <t>examples/Training/python/Advanced/Create_Image_advanced.py</t>
        </is>
      </c>
      <c r="C1244">
        <f>HYPERLINK("https://github.com/ome/openmicroscopy/blob/master/examples/Training/python/Advanced/Create_Image_advanced.py")</f>
        <v/>
      </c>
      <c r="D1244" t="inlineStr">
        <is>
          <t>The provided code is a Python script for connecting to an OMERO server and retrieving an image from a specified dataset using the Blitz Gateway of omero gateway module in python. The connection details are stored in separate variables defined in 'Parse_OMERO_Properties'. It then finds the required image by its name within that dataset and stores its ID. After this, it creates</t>
        </is>
      </c>
      <c r="E1244" t="n">
        <v>0.0035</v>
      </c>
      <c r="F1244" t="n">
        <v>0.0556</v>
      </c>
      <c r="G1244" t="n">
        <v>0.1119</v>
      </c>
      <c r="H1244" t="inlineStr">
        <is>
          <t>The provided code is a Python script that connects to an OMERO server using the Blitz Gateway and retrieves images from a specified dataset in the OMERO system. It also creates a new image by combining two existing ones through addition operation on pixel values of specific channels (channels with id 0). The complexity of this function appears to be O(n), where n represents the</t>
        </is>
      </c>
      <c r="I1244" t="n">
        <v>0.0028</v>
      </c>
      <c r="J1244" t="n">
        <v>0.0541</v>
      </c>
      <c r="K1244" t="n">
        <v>0.1095</v>
      </c>
      <c r="L1244" t="inlineStr">
        <is>
          <t>The provided code is a Python script that interacts with the OMERO server using the Blitz Gateway from Omero's python library. It connects to an OMERO server and retrieves an image from a specified dataset in the server. The purpose of this operation seems to be creating another image by combining two existing images (possibly replacing one channel). This functionality could potentially improve</t>
        </is>
      </c>
      <c r="M1244" t="n">
        <v>0.0038</v>
      </c>
      <c r="N1244" t="n">
        <v>0.0556</v>
      </c>
      <c r="O1244" t="n">
        <v>0.1111</v>
      </c>
    </row>
    <row r="1245">
      <c r="A1245" t="inlineStr">
        <is>
          <t>openmicroscopy</t>
        </is>
      </c>
      <c r="B1245" t="inlineStr">
        <is>
          <t>examples/Training/python/Advanced/Write_data_advanced.py</t>
        </is>
      </c>
      <c r="C1245">
        <f>HYPERLINK("https://github.com/ome/openmicroscopy/blob/master/examples/Training/python/Advanced/Write_data_advanced.py")</f>
        <v/>
      </c>
      <c r="D1245" t="inlineStr">
        <is>
          <t>The provided code is a Python script for creating two new datasets in OMERO (a data management platform). It connects to the OMERO server using Blitz Gateway and then creates two new Datasets with names "NewDataset" and "NewDataset2". The IDs of these newly created datasets are printed out at the end.
The complexity of this code</t>
        </is>
      </c>
      <c r="E1245" t="n">
        <v>0.0033</v>
      </c>
      <c r="F1245" t="n">
        <v>0.0312</v>
      </c>
      <c r="G1245" t="n">
        <v>0.1172</v>
      </c>
      <c r="H1245" t="inlineStr">
        <is>
          <t>The code provided is a Python script for interacting with the OMERO server using its Blitz Gateway API. It creates two new datasets on an existing connection to the OMERO server and saves them in the database. The complexity of this operation is O(n), where n represents the number of objects being saved (i.e., 2). This includes creating the dataset objects, setting</t>
        </is>
      </c>
      <c r="I1245" t="n">
        <v>0.0035</v>
      </c>
      <c r="J1245" t="n">
        <v>0.0278</v>
      </c>
      <c r="K1245" t="n">
        <v>0.1119</v>
      </c>
      <c r="L1245" t="inlineStr">
        <is>
          <t>The provided code is a Python script that connects to an OMERO server using the Blitz Gateway and creates two new datasets on it. The main purpose of this code is to create and save dataset objects in the database.
It takes four parameters (username, password, hostname, port number) for establishing a connection with the OMERO server. It then proceeds by creating</t>
        </is>
      </c>
      <c r="M1245" t="n">
        <v>0.0029</v>
      </c>
      <c r="N1245" t="n">
        <v>0.0571</v>
      </c>
      <c r="O1245" t="n">
        <v>0.1119</v>
      </c>
    </row>
    <row r="1246">
      <c r="A1246" t="inlineStr">
        <is>
          <t>openmicroscopy</t>
        </is>
      </c>
      <c r="B1246" t="inlineStr">
        <is>
          <t>examples/Training/python/Json_Api/Login.py</t>
        </is>
      </c>
      <c r="C1246">
        <f>HYPERLINK("https://github.com/ome/openmicroscopy/blob/master/examples/Training/python/Json_Api/Login.py")</f>
        <v/>
      </c>
      <c r="D1246" t="inlineStr">
        <is>
          <t>The code is a Python script that interacts with an OMERO server using the requests library to perform various operations such as getting supported versions from base url and also get different urls for servers login projects save schema etc. It uses session to maintain cookies across multiple HTTP requests which makes it more efficient than other methods of making requests. The CSRF token is obtained by parsing cookie data.</t>
        </is>
      </c>
      <c r="E1246" t="n">
        <v>0.0026</v>
      </c>
      <c r="F1246" t="n">
        <v>0.0256</v>
      </c>
      <c r="G1246" t="n">
        <v>0.0704</v>
      </c>
      <c r="H1246" t="inlineStr">
        <is>
          <t>ThegivenPythonscriptisusedtoconnecttotheOMEROServerusingusernamepasswordauthenticationmethod.ItusesHTTPRequeststoGETsupportedAPIVersionslist,BaseURL,ServerURL,LoginURL,ProjectsURL,SaveURLandSchemaURL. ThecomplexityofthisoperationisO(n),wheren' is thenumberofAPIVersionsreceived.
```</t>
        </is>
      </c>
      <c r="I1246" t="n">
        <v>0</v>
      </c>
      <c r="J1246" t="n">
        <v>0</v>
      </c>
      <c r="K1246" t="n">
        <v>0</v>
      </c>
      <c r="L1246" t="inlineStr">
        <is>
          <t>The provided code is a Python script that interacts with an OMERO server to manage data and metadata. It starts by getting the supported versions from the base URL of the OMERO server API. Then it uses the most recent version as the default one for interaction. The main purpose of this script seems to be to get various URL endpoints which are used in subsequent requests towards</t>
        </is>
      </c>
      <c r="M1246" t="n">
        <v>0.0027</v>
      </c>
      <c r="N1246" t="n">
        <v>0.0263</v>
      </c>
      <c r="O1246" t="n">
        <v>0.1071</v>
      </c>
    </row>
    <row r="1247">
      <c r="A1247" t="inlineStr">
        <is>
          <t>openmicroscopy</t>
        </is>
      </c>
      <c r="B1247" t="inlineStr">
        <is>
          <t>examples/Training/javascript/utils.js</t>
        </is>
      </c>
      <c r="C1247">
        <f>HYPERLINK("https://github.com/ome/openmicroscopy/blob/master/examples/Training/javascript/utils.js")</f>
        <v/>
      </c>
      <c r="D1247" t="inlineStr">
        <is>
          <t>The provided code is an asynchronous function named `makeJSONRequest` that makes a JSON request to the specified URL using the given method (e.g., GET, POST). The data can be passed in as well if it needs to be sent along with the request. 
It uses fetch API for making HTTP requests and checks whether the response status is successful or not before proceeding further</t>
        </is>
      </c>
      <c r="E1247" t="n">
        <v>0.0028</v>
      </c>
      <c r="F1247" t="n">
        <v>0.0548</v>
      </c>
      <c r="G1247" t="n">
        <v>0.0735</v>
      </c>
      <c r="H1247" t="inlineStr">
        <is>
          <t>The code you provided is a JavaScript function named `makeJSONRequest` that sends an HTTP request using the Fetch API and returns the response as JSON. The complexity of this function is O(n), where n represents the number of cookies in the document cookie string. This means it scales linearly with the size of input (number of cookies).
Here are some key points about your code</t>
        </is>
      </c>
      <c r="I1247" t="n">
        <v>0.0033</v>
      </c>
      <c r="J1247" t="n">
        <v>0.0541</v>
      </c>
      <c r="K1247" t="n">
        <v>0.1095</v>
      </c>
      <c r="L1247" t="inlineStr">
        <is>
          <t>The provided code is a JavaScript function named `makeJSONRequest` that sends an HTTP request using the Fetch API and returns the response as JSON objects. The purpose of this function is to make requests for different methods such as GET, POST, PUT, DELETE etc. 
It also includes error handling if the status of the response is not 200 (indicating</t>
        </is>
      </c>
      <c r="M1247" t="n">
        <v>0.0031</v>
      </c>
      <c r="N1247" t="n">
        <v>0.0597</v>
      </c>
      <c r="O1247" t="n">
        <v>0.1145</v>
      </c>
    </row>
    <row r="1248">
      <c r="A1248" t="inlineStr">
        <is>
          <t>openmicroscopy</t>
        </is>
      </c>
      <c r="B1248" t="inlineStr">
        <is>
          <t>examples/Training/java/src/training/WriteData.java</t>
        </is>
      </c>
      <c r="C1248">
        <f>HYPERLINK("https://github.com/ome/openmicroscopy/blob/master/examples/Training/java/src/training/WriteData.java")</f>
        <v/>
      </c>
      <c r="D1248" t="inlineStr">
        <is>
          <t>## Summary of the code ## 
The provided code is a part of an open source software component for image analysis and processing which falls under the domain of microscopy. It appears to be written in C++ language. The program seems to implement core algorithms related to image processing tasks such as filtering or transformation. This repository contains multiple commits with initial base code before any modifications were</t>
        </is>
      </c>
      <c r="E1248" t="n">
        <v>0.0038</v>
      </c>
      <c r="F1248" t="n">
        <v>0.08110000000000001</v>
      </c>
      <c r="G1248" t="n">
        <v>0.3046</v>
      </c>
      <c r="H1248" t="inlineStr">
        <is>
          <t>The provided code is a simple function for addition of two numbers in Python named add(). It takes two arguments (numbers), adds them together and returns the result. The time complexity of this operation is O(1). This means that it performs one fixed number of operations regardless of the size of input data.
Here's the summary without repeating any part of the original code:</t>
        </is>
      </c>
      <c r="I1248" t="n">
        <v>0.0034</v>
      </c>
      <c r="J1248" t="n">
        <v>0.0541</v>
      </c>
      <c r="K1248" t="n">
        <v>0.1103</v>
      </c>
      <c r="L1248" t="inlineStr">
        <is>
          <t>The provided code is a backend software component for an image processing application developed by the University of Dundee and Open Microscopy Environment (OME). The main purpose of this program seems to be implementing core algorithms related to image manipulation and analysis. 
It takes as input various types of images in different formats and applies several operations on them such as resizing, cropping</t>
        </is>
      </c>
      <c r="M1248" t="n">
        <v>0.0038</v>
      </c>
      <c r="N1248" t="n">
        <v>0.1127</v>
      </c>
      <c r="O1248" t="n">
        <v>0.2756</v>
      </c>
    </row>
    <row r="1249">
      <c r="A1249" t="inlineStr">
        <is>
          <t>openmicroscopy</t>
        </is>
      </c>
      <c r="B1249" t="inlineStr">
        <is>
          <t>examples/Training/java/src/training/ROIFolders.java</t>
        </is>
      </c>
      <c r="C1249">
        <f>HYPERLINK("https://github.com/ome/openmicroscopy/blob/master/examples/Training/java/src/training/ROIFolders.java")</f>
        <v/>
      </c>
      <c r="D1249" t="inlineStr">
        <is>
          <t>The provided code is a part of an open source software project that falls under the GNU General Public License v2 or later (GPLv2+). It appears to be related to backend operations and includes complex algorithms for handling data complexity in O(N), where N represents any given number. The repository contains comments explaining its implementation of core algorithms. 
It's important</t>
        </is>
      </c>
      <c r="E1249" t="n">
        <v>0.004</v>
      </c>
      <c r="F1249" t="n">
        <v>0.0857</v>
      </c>
      <c r="G1249" t="n">
        <v>0.1894</v>
      </c>
      <c r="H1249" t="inlineStr">
        <is>
          <t>The code provided is a Python function named `add` that takes two parameters (numbers), adds them together and returns the result. This operation has a time complexity of O(1). The README file provides information about the software components in this repository including its license details.
Please provide more specific examples or questions related to the functionality of your code for further assistance.</t>
        </is>
      </c>
      <c r="I1249" t="n">
        <v>0.0042</v>
      </c>
      <c r="J1249" t="n">
        <v>0.08450000000000001</v>
      </c>
      <c r="K1249" t="n">
        <v>0.1493</v>
      </c>
      <c r="L1249" t="inlineStr">
        <is>
          <t>The provided code is a part of an open source software component for image analysis and processing developed by the University of Dundee &amp; Open Microscopy Environment (OME). The main purpose of this program seems to be handling and manipulating images using various algorithms implemented in C++. 
Inputs are raw pixel data from different types of microscopic images which can include fluores</t>
        </is>
      </c>
      <c r="M1249" t="n">
        <v>0.0035</v>
      </c>
      <c r="N1249" t="n">
        <v>0.058</v>
      </c>
      <c r="O1249" t="n">
        <v>0.1866</v>
      </c>
    </row>
    <row r="1250">
      <c r="A1250" t="inlineStr">
        <is>
          <t>openmicroscopy</t>
        </is>
      </c>
      <c r="B1250" t="inlineStr">
        <is>
          <t>examples/Training/java/src/training/ROIs.java</t>
        </is>
      </c>
      <c r="C1250">
        <f>HYPERLINK("https://github.com/ome/openmicroscopy/blob/master/examples/Training/java/src/training/ROIs.java")</f>
        <v/>
      </c>
      <c r="D1250" t="inlineStr">
        <is>
          <t>The provided code is a part of an open source software developed by the University of Dundee and Open Microscopy Environment (OME). 
It's distributed under GNU General Public License version 2 or later which allows users to modify and redistribute it freely. The program should be used for scientific purposes only as per terms mentioned in license details. It has no</t>
        </is>
      </c>
      <c r="E1250" t="n">
        <v>0.0036</v>
      </c>
      <c r="F1250" t="n">
        <v>0.0571</v>
      </c>
      <c r="G1250" t="n">
        <v>0.1128</v>
      </c>
      <c r="H1250" t="inlineStr">
        <is>
          <t>The provided code is a simple function that performs addition of two numbers in Python. The functionality of the code can be summarized as follows:
It defines a function called `add` which takes two arguments (numbers), adds them together and returns their sum. This operation has a time complexity of O(1). 
Here's how it works:
```python</t>
        </is>
      </c>
      <c r="I1250" t="n">
        <v>0.0043</v>
      </c>
      <c r="J1250" t="n">
        <v>0.0606</v>
      </c>
      <c r="K1250" t="n">
        <v>0.1172</v>
      </c>
      <c r="L1250" t="inlineStr">
        <is>
          <t>&lt;!-- Code Summary --&gt;
The provided code is a backend software component written in C++ for the Open Microscopy Environment (OME). It's designed to handle and manipulate image data from various microscope platforms. The main purpose of this program seems to be to read OME XML metadata files, parse them into structured objects, perform some operations on these objects based on their types</t>
        </is>
      </c>
      <c r="M1250" t="n">
        <v>0.0034</v>
      </c>
      <c r="N1250" t="n">
        <v>0.0571</v>
      </c>
      <c r="O1250" t="n">
        <v>0.1111</v>
      </c>
    </row>
    <row r="1251">
      <c r="A1251" t="inlineStr">
        <is>
          <t>openmicroscopy</t>
        </is>
      </c>
      <c r="B1251" t="inlineStr">
        <is>
          <t>examples/Training/java/src/training/DeleteData.java</t>
        </is>
      </c>
      <c r="C1251">
        <f>HYPERLINK("https://github.com/ome/openmicroscopy/blob/master/examples/Training/java/src/training/DeleteData.java")</f>
        <v/>
      </c>
      <c r="D1251" t="inlineStr">
        <is>
          <t>The provided code is a part of an open source software project that falls under the GNU General Public License (GPL). It's distributed in hope that it will be useful but WITHOUT ANY WARRANTY without even implied warranty of MERCHANTABILITY or FITNESS FOR A PARTICULAR PURPOSE. The user should have received a copy of the</t>
        </is>
      </c>
      <c r="E1251" t="n">
        <v>0.0033</v>
      </c>
      <c r="F1251" t="n">
        <v>0.0312</v>
      </c>
      <c r="G1251" t="n">
        <v>0.07870000000000001</v>
      </c>
      <c r="H1251" t="inlineStr">
        <is>
          <t>The provided code is a simple function to add two numbers together in Python. It takes as input parameters 'a' and 'b', adds them together using the plus operator (`+`), then returns the result. The time complexity of this operation is O(1). This means that it always executes in constant time regardless of the size of the inputs.
Here are some examples</t>
        </is>
      </c>
      <c r="I1251" t="n">
        <v>0.0035</v>
      </c>
      <c r="J1251" t="n">
        <v>0.0571</v>
      </c>
      <c r="K1251" t="n">
        <v>0.1119</v>
      </c>
      <c r="L1251" t="inlineStr">
        <is>
          <t>&lt;jupyter_code&gt;
# This is a summary of the provided code file. The main purpose of this program is to provide an interface for interacting with 
# Open Microscopy Environment (OME). It allows users to upload and download files in OME-TIFF format along with providing basic image 
# processing functionalities such as cropping, resizing</t>
        </is>
      </c>
      <c r="M1251" t="n">
        <v>0.0041</v>
      </c>
      <c r="N1251" t="n">
        <v>0.0667</v>
      </c>
      <c r="O1251" t="n">
        <v>0.12</v>
      </c>
    </row>
    <row r="1252">
      <c r="A1252" t="inlineStr">
        <is>
          <t>openmicroscopy</t>
        </is>
      </c>
      <c r="B1252" t="inlineStr">
        <is>
          <t>examples/Training/java/src/training/RenderImages.java</t>
        </is>
      </c>
      <c r="C1252">
        <f>HYPERLINK("https://github.com/ome/openmicroscopy/blob/master/examples/Training/java/src/training/RenderImages.java")</f>
        <v/>
      </c>
      <c r="D1252" t="inlineStr">
        <is>
          <t>The provided code is a backend software component that implements core algorithms. It's written in C++ and it seems to be part of an image processing system for microscopy data analysis. The license under which this program can be redistributed and modified states that the GNU General Public License applies (GPL). 
It appears to handle large datasets efficiently with complexity O(</t>
        </is>
      </c>
      <c r="E1252" t="n">
        <v>0.0075</v>
      </c>
      <c r="F1252" t="n">
        <v>0.1143</v>
      </c>
      <c r="G1252" t="n">
        <v>0.3206</v>
      </c>
      <c r="H1252" t="inlineStr">
        <is>
          <t>The provided code is a simple function for addition of two numbers in Python. It takes two parameters 'a' and 'b', adds them together and returns the result. The time complexity of this operation is O(1), meaning it performs constant number of operations regardless of input size. This function appears to be part of an open source project with GNU General Public License conditions attached.
Here</t>
        </is>
      </c>
      <c r="I1252" t="n">
        <v>0.0033</v>
      </c>
      <c r="J1252" t="n">
        <v>0.0533</v>
      </c>
      <c r="K1252" t="n">
        <v>0.1087</v>
      </c>
      <c r="L1252" t="inlineStr">
        <is>
          <t>The provided code is a part of an open source software component for image analysis in the context of microscopy experiments at the University of Dundee and Open Microscopy Environment (OME). The main purpose of this code appears to be related to core algorithms used in image processing tasks such as filtering or segmentation. It's distributed under GNU General Public License version 2 or later which provides users</t>
        </is>
      </c>
      <c r="M1252" t="n">
        <v>0.0035</v>
      </c>
      <c r="N1252" t="n">
        <v>0.0519</v>
      </c>
      <c r="O1252" t="n">
        <v>0.1786</v>
      </c>
    </row>
    <row r="1253">
      <c r="A1253" t="inlineStr">
        <is>
          <t>openmicroscopy</t>
        </is>
      </c>
      <c r="B1253" t="inlineStr">
        <is>
          <t>examples/Training/java/src/training/Setup.java</t>
        </is>
      </c>
      <c r="C1253">
        <f>HYPERLINK("https://github.com/ome/openmicroscopy/blob/master/examples/Training/java/src/training/Setup.java")</f>
        <v/>
      </c>
      <c r="D1253" t="inlineStr">
        <is>
          <t>The provided code appears to be a part of an open source software project that is distributed under the terms of the GNU General Public License (GPL). The license allows for free redistribution and modification of the program subject to certain conditions outlined in detail within the GPL. 
The repository contains backend components written in some form of programming language which includes complex algorithms implemented by university</t>
        </is>
      </c>
      <c r="E1253" t="n">
        <v>0.0032</v>
      </c>
      <c r="F1253" t="n">
        <v>0.0533</v>
      </c>
      <c r="G1253" t="n">
        <v>0.1439</v>
      </c>
      <c r="H1253" t="inlineStr">
        <is>
          <t>The provided code is a simple function for addition of two numbers in Python language with complexity O(1). The README file provides information about the repository and its components as well as licensing details.
Please provide more specific requirements or context if you need further assistance.</t>
        </is>
      </c>
      <c r="I1253" t="n">
        <v>0.004</v>
      </c>
      <c r="J1253" t="n">
        <v>0.0727</v>
      </c>
      <c r="K1253" t="n">
        <v>0.0847</v>
      </c>
      <c r="L1253" t="inlineStr">
        <is>
          <t>The provided code is a backend software component of an image processing application developed by the Open Microscopy Environment (OME). The main purpose of this program appears to be the implementation and management of core algorithms for various tasks related to digital microscopy such as image analysis, segmentation, registration etc. 
It takes inputs in specific formats like TIFF or OME XML files</t>
        </is>
      </c>
      <c r="M1253" t="n">
        <v>0.0039</v>
      </c>
      <c r="N1253" t="n">
        <v>0.0857</v>
      </c>
      <c r="O1253" t="n">
        <v>0.1866</v>
      </c>
    </row>
    <row r="1254">
      <c r="A1254" t="inlineStr">
        <is>
          <t>openmicroscopy</t>
        </is>
      </c>
      <c r="B1254" t="inlineStr">
        <is>
          <t>examples/Training/java/src/training/CreateImage.java</t>
        </is>
      </c>
      <c r="C1254">
        <f>HYPERLINK("https://github.com/ome/openmicroscopy/blob/master/examples/Training/java/src/training/CreateImage.java")</f>
        <v/>
      </c>
      <c r="D1254" t="inlineStr">
        <is>
          <t>The provided code is a part of an open source software project related to image analysis and microscopy data processing. It's distributed under the terms of the GNU General Public License version 2 or later. The program can be freely redistributed and modified by users but it comes with no warranty expressed or implied. This includes without limitation merchantability or fitness for any particular purpose.</t>
        </is>
      </c>
      <c r="E1254" t="n">
        <v>0.0037</v>
      </c>
      <c r="F1254" t="n">
        <v>0.0541</v>
      </c>
      <c r="G1254" t="n">
        <v>0.146</v>
      </c>
      <c r="H1254" t="inlineStr">
        <is>
          <t>The provided code is a simple function that adds two numbers together and returns the result. The functionality of this code can be summarized as follows:
It takes in two parameters (numbers), performs an addition operation on them, and then returns the sum. This process has a time complexity of O(1). 
Here's how it works:
```python
#</t>
        </is>
      </c>
      <c r="I1254" t="n">
        <v>0.0042</v>
      </c>
      <c r="J1254" t="n">
        <v>0.0606</v>
      </c>
      <c r="K1254" t="n">
        <v>0.1163</v>
      </c>
      <c r="L1254" t="inlineStr">
        <is>
          <t>The provided code is a part of an open source project for image processing and analysis in the field of microscopy. The main purpose of this software component appears to be handling and manipulating images using various algorithms implemented within it. It's designed with readability, maintainability, and comprehensibility as key considerations during development. 
Inputs are raw image data which can</t>
        </is>
      </c>
      <c r="M1254" t="n">
        <v>0.0036</v>
      </c>
      <c r="N1254" t="n">
        <v>0.1159</v>
      </c>
      <c r="O1254" t="n">
        <v>0.2818</v>
      </c>
    </row>
    <row r="1255">
      <c r="A1255" t="inlineStr">
        <is>
          <t>openmicroscopy</t>
        </is>
      </c>
      <c r="B1255" t="inlineStr">
        <is>
          <t>examples/Training/java/src/training/LoadMetadataAdvanced.java</t>
        </is>
      </c>
      <c r="C1255">
        <f>HYPERLINK("https://github.com/ome/openmicroscopy/blob/master/examples/Training/java/src/training/LoadMetadataAdvanced.java")</f>
        <v/>
      </c>
      <c r="D1255" t="inlineStr">
        <is>
          <t>The provided code is a part of an open source software component for the University of Dundee and Open Microscopy Environment (OME). It's free to use, redistribute and modify under GNU General Public License conditions. The program is distributed with no warranty but it should be useful in terms of its intended purpose which are implementation of core algorithms. You can expect this piece</t>
        </is>
      </c>
      <c r="E1255" t="n">
        <v>0.0037</v>
      </c>
      <c r="F1255" t="n">
        <v>0.0822</v>
      </c>
      <c r="G1255" t="n">
        <v>0.2206</v>
      </c>
      <c r="H1255" t="inlineStr">
        <is>
          <t>The provided code is a simple function for addition of two numbers in Python. It takes two parameters (numbers), adds them together and returns the result. The time complexity of this operation is O(1).
Here's the summary with your requirements: 
```python
# Function to add two numbers
def add(a, b):
    return a + b</t>
        </is>
      </c>
      <c r="I1255" t="n">
        <v>0.0034</v>
      </c>
      <c r="J1255" t="n">
        <v>0.0635</v>
      </c>
      <c r="K1255" t="n">
        <v>0.119</v>
      </c>
      <c r="L1255" t="inlineStr">
        <is>
          <t>The provided code is a backend component of an open source software project called Open Microscopy Environment (OME). The purpose of this module appears to be the implementation and management of core algorithms related to image processing tasks in microscopy. 
It takes as input various parameters that define how images should be processed or transformed. These transformations could include resizing, cropping, rotating</t>
        </is>
      </c>
      <c r="M1255" t="n">
        <v>0.0042</v>
      </c>
      <c r="N1255" t="n">
        <v>0.1143</v>
      </c>
      <c r="O1255" t="n">
        <v>0.2239</v>
      </c>
    </row>
    <row r="1256">
      <c r="A1256" t="inlineStr">
        <is>
          <t>openmicroscopy</t>
        </is>
      </c>
      <c r="B1256" t="inlineStr">
        <is>
          <t>examples/Training/java/src/training/ReadDataAdvanced.java</t>
        </is>
      </c>
      <c r="C1256">
        <f>HYPERLINK("https://github.com/ome/openmicroscopy/blob/master/examples/Training/java/src/training/ReadDataAdvanced.java")</f>
        <v/>
      </c>
      <c r="D1256" t="inlineStr">
        <is>
          <t>The provided code appears to be a part of an open source software project related to image analysis or microscopy data processing. It is licensed under the GNU General Public License (GPL), which means it can be freely redistributed and modified as long as certain conditions are met by you or others who receive this program. The license details should also be included in the repository's</t>
        </is>
      </c>
      <c r="E1256" t="n">
        <v>0.0033</v>
      </c>
      <c r="F1256" t="n">
        <v>0.0533</v>
      </c>
      <c r="G1256" t="n">
        <v>0.1449</v>
      </c>
      <c r="H1256" t="inlineStr">
        <is>
          <t>The function provided is a simple addition operation that takes two arguments and returns their sum. The functionality of the code can be summarized as follows: "It adds (concatenates in case of strings) two numbers." Its complexity is O(1), meaning it performs a constant number of operations regardless of input size. It's written under GNU General Public License v2 or later which means you</t>
        </is>
      </c>
      <c r="I1256" t="n">
        <v>0.0034</v>
      </c>
      <c r="J1256" t="n">
        <v>0.0541</v>
      </c>
      <c r="K1256" t="n">
        <v>0.0735</v>
      </c>
      <c r="L1256" t="inlineStr">
        <is>
          <t>The provided code appears to be a backend software component for image processing and analysis in the context of microscopy. The main purpose seems to be performing various operations on images such as filtering, enhancement, segmentation etc. 
Inputs include raw or processed images along with additional parameters that control certain aspects of these operations (like intensity threshold). Output could vary depending upon the specific operation</t>
        </is>
      </c>
      <c r="M1256" t="n">
        <v>0.0033</v>
      </c>
      <c r="N1256" t="n">
        <v>0.0548</v>
      </c>
      <c r="O1256" t="n">
        <v>0.073</v>
      </c>
    </row>
    <row r="1257">
      <c r="A1257" t="inlineStr">
        <is>
          <t>openmicroscopy</t>
        </is>
      </c>
      <c r="B1257" t="inlineStr">
        <is>
          <t>examples/Training/java/src/training/Sudo.java</t>
        </is>
      </c>
      <c r="C1257">
        <f>HYPERLINK("https://github.com/ome/openmicroscopy/blob/master/examples/Training/java/src/training/Sudo.java")</f>
        <v/>
      </c>
      <c r="D1257" t="inlineStr">
        <is>
          <t># This is a summary of the provided code. 
The given code appears to be part of an open source software project related to image analysis or microscopy data processing. It's written in some programming language and it seems to follow best practices for coding such as using comments extensively and following the GNU General Public License (GPL). The complexity of this code base is O(N</t>
        </is>
      </c>
      <c r="E1257" t="n">
        <v>0.0036</v>
      </c>
      <c r="F1257" t="n">
        <v>0.08</v>
      </c>
      <c r="G1257" t="n">
        <v>0.1449</v>
      </c>
      <c r="H1257" t="inlineStr">
        <is>
          <t>The provided code is a simple function named add that takes two parameters (numbers), adds them together and returns the result. The time complexity of this operation is O(1). This means it always executes in constant time regardless of input size.
&lt;jupyter_code&gt;
# Code: 
def add(a, b):
    return a + b</t>
        </is>
      </c>
      <c r="I1257" t="n">
        <v>0.0043</v>
      </c>
      <c r="J1257" t="n">
        <v>0.0667</v>
      </c>
      <c r="K1257" t="n">
        <v>0.122</v>
      </c>
      <c r="L1257" t="inlineStr">
        <is>
          <t>&lt;jupyter_code&gt;
# Code Summary: 
The code provided is a Python script for image processing using the OpenCV library. The primary purpose of this program is to perform edge detection on an input image and then apply a Gaussian blur filter before displaying the result. This process helps in reducing noise and enhancing edges that are visible in images. It also includes error</t>
        </is>
      </c>
      <c r="M1257" t="n">
        <v>0.0035</v>
      </c>
      <c r="N1257" t="n">
        <v>0.0571</v>
      </c>
      <c r="O1257" t="n">
        <v>0.1119</v>
      </c>
    </row>
    <row r="1258">
      <c r="A1258" t="inlineStr">
        <is>
          <t>openmicroscopy</t>
        </is>
      </c>
      <c r="B1258" t="inlineStr">
        <is>
          <t>examples/Training/java/src/training/RawDataAccess.java</t>
        </is>
      </c>
      <c r="C1258">
        <f>HYPERLINK("https://github.com/ome/openmicroscopy/blob/master/examples/Training/java/src/training/RawDataAccess.java")</f>
        <v/>
      </c>
      <c r="D1258" t="inlineStr">
        <is>
          <t>This repository contains backend software components written in Python and C++ programming languages. The code base is designed to implement core algorithms used for image processing tasks such as filtering, segmentation, and feature extraction. It's distributed under the terms of GNU General Public License v2 or later which guarantees its free usage with no warranty given on merchantability or fitness for a particular purpose.</t>
        </is>
      </c>
      <c r="E1258" t="n">
        <v>0.004</v>
      </c>
      <c r="F1258" t="n">
        <v>0.137</v>
      </c>
      <c r="G1258" t="n">
        <v>0.3135</v>
      </c>
      <c r="H1258" t="inlineStr">
        <is>
          <t>The given code is a simple function to add two numbers in Python. It takes two parameters 'a' and 'b', adds them together using the addition operator (+), then returns the result. The time complexity of this operation is O(1).
&lt;jupyter_text&gt;
Question 4Given an array nums with n objects colored red, white, or blue</t>
        </is>
      </c>
      <c r="I1258" t="n">
        <v>0.0034</v>
      </c>
      <c r="J1258" t="n">
        <v>0.0635</v>
      </c>
      <c r="K1258" t="n">
        <v>0.119</v>
      </c>
      <c r="L1258" t="inlineStr">
        <is>
          <t>The provided code file is a part of the Open Microscopy Environment (OME). It's written in Java and it implements core algorithms for image processing tasks such as filtering, enhancement, and segmentation. The main purpose of this software component seems to be handling microscopic images by applying various transformations on them based on user input or predefined rules. 
Inputs are</t>
        </is>
      </c>
      <c r="M1258" t="n">
        <v>0.0076</v>
      </c>
      <c r="N1258" t="n">
        <v>0.08699999999999999</v>
      </c>
      <c r="O1258" t="n">
        <v>0.3872</v>
      </c>
    </row>
    <row r="1259">
      <c r="A1259" t="inlineStr">
        <is>
          <t>openmicroscopy</t>
        </is>
      </c>
      <c r="B1259" t="inlineStr">
        <is>
          <t>examples/Training/java/src/training/ReadData.java</t>
        </is>
      </c>
      <c r="C1259">
        <f>HYPERLINK("https://github.com/ome/openmicroscopy/blob/master/examples/Training/java/src/training/ReadData.java")</f>
        <v/>
      </c>
      <c r="D1259" t="inlineStr">
        <is>
          <t># Summary of the provided code 
The given code is a part of backend software components which implements core algorithms for various tasks. It's written in some programming language and it has been committed to version control system initially with an initial commit. The complexity of this program seems to be O(N), where N represents any variable depending on the specific task implemented by the algorithm. This piece of</t>
        </is>
      </c>
      <c r="E1259" t="n">
        <v>0.007</v>
      </c>
      <c r="F1259" t="n">
        <v>0.1026</v>
      </c>
      <c r="G1259" t="n">
        <v>0.3024</v>
      </c>
      <c r="H1259" t="inlineStr">
        <is>
          <t>The provided code is a simple function named `add` that takes two parameters and returns their sum. The time complexity of this operation is O(1), indicating constant time regardless of the input size. It does not involve any loops or recursive calls which would increase its time complexity to O(n). This function follows good programming practices such as clear variable names and comments explaining what each part of the</t>
        </is>
      </c>
      <c r="I1259" t="n">
        <v>0.0031</v>
      </c>
      <c r="J1259" t="n">
        <v>0.0759</v>
      </c>
      <c r="K1259" t="n">
        <v>0.1064</v>
      </c>
      <c r="L1259" t="inlineStr">
        <is>
          <t>&lt;jupyter_code&gt;
# This repository contains backend software components for a microscopy application developed by the University of Dundee and Open Microscopy Environment (OME). 
# The main purpose is to provide an efficient solution for handling large datasets in the field of biology. It uses core algorithms such as sorting and searching techniques to improve efficiency when dealing</t>
        </is>
      </c>
      <c r="M1259" t="n">
        <v>0.0045</v>
      </c>
      <c r="N1259" t="n">
        <v>0.125</v>
      </c>
      <c r="O1259" t="n">
        <v>0.1938</v>
      </c>
    </row>
    <row r="1260">
      <c r="A1260" t="inlineStr">
        <is>
          <t>openmicroscopy</t>
        </is>
      </c>
      <c r="B1260" t="inlineStr">
        <is>
          <t>examples/Training/java/src/training/HowToUseTables.java</t>
        </is>
      </c>
      <c r="C1260">
        <f>HYPERLINK("https://github.com/ome/openmicroscopy/blob/master/examples/Training/java/src/training/HowToUseTables.java")</f>
        <v/>
      </c>
      <c r="D1260" t="inlineStr">
        <is>
          <t>The provided code is a part of backend software components which includes core algorithms implementation. It's licensed under the GNU General Public License version 2 or later and it appears to be distributed in hope that it will be useful but WITHOUT ANY WARRANTY without even implied warranty of MERCHANTABILITY or FITNESS FOR A PARTICULAR PURPOSE. The program</t>
        </is>
      </c>
      <c r="E1260" t="n">
        <v>0.0041</v>
      </c>
      <c r="F1260" t="n">
        <v>0.0896</v>
      </c>
      <c r="G1260" t="n">
        <v>0.1538</v>
      </c>
      <c r="H1260" t="inlineStr">
        <is>
          <t>The provided code is a simple function named 'add' that takes two parameters (numbers), adds them together and returns the result. The time complexity of this operation is O(1). It seems to be part of some sort of mathematical or numerical computation software.
Here is a concise summary: 
Function Name: add
Input Parameters: Two numbers (integers</t>
        </is>
      </c>
      <c r="I1260" t="n">
        <v>0.0033</v>
      </c>
      <c r="J1260" t="n">
        <v>0.09229999999999999</v>
      </c>
      <c r="K1260" t="n">
        <v>0.1172</v>
      </c>
      <c r="L1260" t="inlineStr">
        <is>
          <t>```python
# This is a summary of the provided code file. 
# The purpose of this script is to provide an interface for interacting with the Open Microscopy Environment (OME). OME provides tools and services that support digital image analysis in biological research. It allows users to upload images, annotate them, visualize data, and export results.
# Inputs</t>
        </is>
      </c>
      <c r="M1260" t="n">
        <v>0.0037</v>
      </c>
      <c r="N1260" t="n">
        <v>0.0635</v>
      </c>
      <c r="O1260" t="n">
        <v>0.0769</v>
      </c>
    </row>
    <row r="1261">
      <c r="A1261" t="inlineStr">
        <is>
          <t>openmicroscopy</t>
        </is>
      </c>
      <c r="B1261" t="inlineStr">
        <is>
          <t>examples/TreeList/AllProjects.py</t>
        </is>
      </c>
      <c r="C1261">
        <f>HYPERLINK("https://github.com/ome/openmicroscopy/blob/master/examples/TreeList/AllProjects.py")</f>
        <v/>
      </c>
      <c r="D1261" t="inlineStr">
        <is>
          <t>The provided code is a Python function named `getProjects` that retrieves all projects from the database associated with a specific username using Omero's findAllByQuery method. The query uses SQL syntax to select project objects (`p`), join fetch their dataset links (`dil`), and then further joins those fetched datasets with their child entities. It</t>
        </is>
      </c>
      <c r="E1261" t="n">
        <v>0.0035</v>
      </c>
      <c r="F1261" t="n">
        <v>0.0645</v>
      </c>
      <c r="G1261" t="n">
        <v>0.08</v>
      </c>
      <c r="H1261" t="inlineStr">
        <is>
          <t>ThegivenPythoncodeisusedtosearchforprojectsinacertaindatabaseusingomerorootypeormlibrary.ItusesafindallbyquerymethodwithaspecificSQLstatementwhichjoinsdifferenttablesinordertogetneededinformationaboutaprojectsuchasitsdatasets. Thecomplexityofthisoperationissoughtothebehalfofthedatabasequeriesystemwhichmayv</t>
        </is>
      </c>
      <c r="I1261" t="n">
        <v>0</v>
      </c>
      <c r="J1261" t="n">
        <v>0</v>
      </c>
      <c r="K1261" t="n">
        <v>0</v>
      </c>
      <c r="L1261" t="inlineStr">
        <is>
          <t>ThegivenPythonscriptusesOracler'sOMEROdatabaseaccesslibrarytogetallprojectsinformationbasedonusernamespecifiedinqueryparameters.ItperformsaSQLselectstatementjoiningthreerelatedtables:Projecttable,datasetslinksandchildren.Basedonownernamepassedinthenamedparameter,filtersoutmatchingrecords.Theresultisreturned</t>
        </is>
      </c>
      <c r="M1261" t="n">
        <v>0</v>
      </c>
      <c r="N1261" t="n">
        <v>0</v>
      </c>
      <c r="O1261" t="n">
        <v>0</v>
      </c>
    </row>
    <row r="1262">
      <c r="A1262" t="inlineStr">
        <is>
          <t>openmicroscopy</t>
        </is>
      </c>
      <c r="B1262" t="inlineStr">
        <is>
          <t>examples/TreeList/Main.java</t>
        </is>
      </c>
      <c r="C1262">
        <f>HYPERLINK("https://github.com/ome/openmicroscopy/blob/master/examples/TreeList/Main.java")</f>
        <v/>
      </c>
      <c r="D1262" t="inlineStr">
        <is>
          <t>The provided code is a Java program that interacts with the OMERO server using its API to fetch and print out all projects for a given user. The main function takes in four command-line arguments (server hostname, port number, username, password), creates an instance of `omerocom` client, connects to the server via session creation, fetches all project details from</t>
        </is>
      </c>
      <c r="E1262" t="n">
        <v>0.0031</v>
      </c>
      <c r="F1262" t="n">
        <v>0.0294</v>
      </c>
      <c r="G1262" t="n">
        <v>0.07630000000000001</v>
      </c>
      <c r="H1262" t="inlineStr">
        <is>
          <t>The provided code is a Java implementation of the Omero client API for retrieving and printing project details from an image repository. The complexity here is determined by the number of projects retrieved (O(n)) as opposed to the addition operation which has constant time complexity (O(1)).
In this case, we have four parameters being passed into our main method that are used to</t>
        </is>
      </c>
      <c r="I1262" t="n">
        <v>0.0029</v>
      </c>
      <c r="J1262" t="n">
        <v>0.0548</v>
      </c>
      <c r="K1262" t="n">
        <v>0.1481</v>
      </c>
      <c r="L1262" t="inlineStr">
        <is>
          <t>The provided code is a Java program that interacts with the OMERO server using its API to fetch and print out all projects associated with an account on the server. The purpose of this code is to demonstrate how one can use the OMERO server's APIs for fetching project data from the database. 
It does so by establishing a connection to the server</t>
        </is>
      </c>
      <c r="M1262" t="n">
        <v>0.0029</v>
      </c>
      <c r="N1262" t="n">
        <v>0.0278</v>
      </c>
      <c r="O1262" t="n">
        <v>0.1111</v>
      </c>
    </row>
    <row r="1263">
      <c r="A1263" t="inlineStr">
        <is>
          <t>openmicroscopy</t>
        </is>
      </c>
      <c r="B1263" t="inlineStr">
        <is>
          <t>examples/TreeList/PrintProjects.java</t>
        </is>
      </c>
      <c r="C1263">
        <f>HYPERLINK("https://github.com/ome/openmicroscopy/blob/master/examples/TreeList/PrintProjects.java")</f>
        <v/>
      </c>
      <c r="D1263" t="inlineStr">
        <is>
          <t>The provided code is a Java class named PrintProjects that prints the names of projects and their associated datasets from a list of Project objects. The complexity of this function is O(N), where N represents the total number of elements in the input List 'projects'. This means it has to iterate over each element once for printing its name along with all related dataset links (which</t>
        </is>
      </c>
      <c r="E1263" t="n">
        <v>0.0033</v>
      </c>
      <c r="F1263" t="n">
        <v>0.0533</v>
      </c>
      <c r="G1263" t="n">
        <v>0.1087</v>
      </c>
      <c r="H1263" t="inlineStr">
        <is>
          <t>The provided code is a Java implementation that prints the names of all projects and their associated datasets in an organization's repository. The complexity of this function is O(N), where N represents the number of projects in the list. It iterates over each project, then for every dataset linked to that project it also prints out its name.
In summary, the functionality of this code can</t>
        </is>
      </c>
      <c r="I1263" t="n">
        <v>0.0033</v>
      </c>
      <c r="J1263" t="n">
        <v>0.0526</v>
      </c>
      <c r="K1263" t="n">
        <v>0.1449</v>
      </c>
      <c r="L1263" t="inlineStr">
        <is>
          <t>The provided code is a Java method named "print". This function takes in as input a list of Project objects and prints out their names along with the names of any associated datasets to the console. The purpose of this functionality is to provide an overview or summary of all projects and related datasets present within the system for monitoring purposes. 
It does so by iterating over each project</t>
        </is>
      </c>
      <c r="M1263" t="n">
        <v>0.0035</v>
      </c>
      <c r="N1263" t="n">
        <v>0.0779</v>
      </c>
      <c r="O1263" t="n">
        <v>0.1064</v>
      </c>
    </row>
    <row r="1264">
      <c r="A1264" t="inlineStr">
        <is>
          <t>openmicroscopy</t>
        </is>
      </c>
      <c r="B1264" t="inlineStr">
        <is>
          <t>examples/TreeList/Usage.py</t>
        </is>
      </c>
      <c r="C1264">
        <f>HYPERLINK("https://github.com/ome/openmicroscopy/blob/master/examples/TreeList/Usage.py")</f>
        <v/>
      </c>
      <c r="D1264" t="inlineStr">
        <is>
          <t>```python
#!/usr/bin/env python
# -*- coding: utf-8 -*- 
import sys
def usage():
    print("TreeList.Main host port username password")
    sys.exit(-2)
```
The code is a Python script that defines the function `usage()` which prints out a message indicating</t>
        </is>
      </c>
      <c r="E1264" t="n">
        <v>0</v>
      </c>
      <c r="F1264" t="n">
        <v>0.0426</v>
      </c>
      <c r="G1264" t="n">
        <v>0.0463</v>
      </c>
      <c r="H1264" t="inlineStr">
        <is>
          <t>The provided code is a Python script that defines the usage function for command line arguments in a repository hosting backend software components. The complexity of this code is O(n), where n refers to the number of commits made on the repository. This means it scales linearly with the size of input data (in this case, the number of commits).
It's also worth noting that</t>
        </is>
      </c>
      <c r="I1264" t="n">
        <v>0.0033</v>
      </c>
      <c r="J1264" t="n">
        <v>0.0267</v>
      </c>
      <c r="K1264" t="n">
        <v>0.1095</v>
      </c>
      <c r="L1264" t="inlineStr">
        <is>
          <t>The provided code is a Python script that hosts and runs an HTTP server using the Flask framework. It listens on port 9000 by default but can be customized through command line arguments. The main purpose of this program is to provide RESTful APIs for interacting with a tree data structure. This includes operations such as creating new trees, adding nodes to existing trees, deleting entire</t>
        </is>
      </c>
      <c r="M1264" t="n">
        <v>0.0033</v>
      </c>
      <c r="N1264" t="n">
        <v>0.027</v>
      </c>
      <c r="O1264" t="n">
        <v>0.1087</v>
      </c>
    </row>
    <row r="1265">
      <c r="A1265" t="inlineStr">
        <is>
          <t>openmicroscopy</t>
        </is>
      </c>
      <c r="B1265" t="inlineStr">
        <is>
          <t>examples/TreeList/AllProjects.java</t>
        </is>
      </c>
      <c r="C1265">
        <f>HYPERLINK("https://github.com/ome/openmicroscopy/blob/master/examples/TreeList/AllProjects.java")</f>
        <v/>
      </c>
      <c r="D1265" t="inlineStr">
        <is>
          <t>```plaintext
The provided code is a Java class named `AllProjects` that fetches all projects associated with a specific user from an Omero server using the OMERO API (specifically IQueryPrx). The function takes in two parameters - an instance of IQueryPrx and a string username. It returns a list of Project objects where each project's</t>
        </is>
      </c>
      <c r="E1265" t="n">
        <v>0.0034</v>
      </c>
      <c r="F1265" t="n">
        <v>0.0645</v>
      </c>
      <c r="G1265" t="n">
        <v>0.0794</v>
      </c>
      <c r="H1265" t="inlineStr">
        <is>
          <t>The provided Java code is a method that retrieves all projects associated with the given username from an Omero server using its API (`IQueryPrx`). The query selects `Project` objects and joins fetch their dataset links to get child details. It then filters these by owner's name matching the input parameter 'name'.
The function takes two parameters - a proxy</t>
        </is>
      </c>
      <c r="I1265" t="n">
        <v>0.0031</v>
      </c>
      <c r="J1265" t="n">
        <v>0.0299</v>
      </c>
      <c r="K1265" t="n">
        <v>0.07630000000000001</v>
      </c>
      <c r="L1265" t="inlineStr">
        <is>
          <t>The provided code is a Java class named "AllProjects" that contains a static method called getProjects. This function retrieves all projects associated with the given username from an Omero server using the IQueryPrx interface. The purpose of this method is to fetch project data based on the owner's name and return it as a list of Project objects.</t>
        </is>
      </c>
      <c r="M1265" t="n">
        <v>0.0037</v>
      </c>
      <c r="N1265" t="n">
        <v>0.0896</v>
      </c>
      <c r="O1265" t="n">
        <v>0.1154</v>
      </c>
    </row>
    <row r="1266">
      <c r="A1266" t="inlineStr">
        <is>
          <t>openmicroscopy</t>
        </is>
      </c>
      <c r="B1266" t="inlineStr">
        <is>
          <t>examples/TreeList/PrintProjects.py</t>
        </is>
      </c>
      <c r="C1266">
        <f>HYPERLINK("https://github.com/ome/openmicroscopy/blob/master/examples/TreeList/PrintProjects.py")</f>
        <v/>
      </c>
      <c r="D1266" t="inlineStr">
        <is>
          <t>```python
#!/usr/bin/env python
# -*- coding: utf-8 -*-
def print_projects(projects):  # Function to iterate over a list of projects and their datasets
    for project in projects:  
        print(project.getName().val)  # Print the name of each project</t>
        </is>
      </c>
      <c r="E1266" t="n">
        <v>0.0055</v>
      </c>
      <c r="F1266" t="n">
        <v>0.08890000000000001</v>
      </c>
      <c r="G1266" t="n">
        <v>0.09429999999999999</v>
      </c>
      <c r="H1266" t="inlineStr">
        <is>
          <t>The given code is a Python script that prints the names of projects and their associated datasets from a repository. The complexity of this function is O(n), where n represents the number of projects in the dataset.
It starts by iterating over each project in the provided list of 'projects'. For each project, it gets its name using getName method and then prints it out.</t>
        </is>
      </c>
      <c r="I1266" t="n">
        <v>0.0028</v>
      </c>
      <c r="J1266" t="n">
        <v>0.08110000000000001</v>
      </c>
      <c r="K1266" t="n">
        <v>0.1095</v>
      </c>
      <c r="L1266" t="inlineStr">
        <is>
          <t>The provided code is a Python function named `print_` that takes in an argument of 'projects'. The purpose of this function appears to be to print the names of all projects and their associated datasets from a given list of project objects. This information can help with understanding the structure or organization of data within a system. Code complexity seems to be O(N). Existing comments indicate implementation of</t>
        </is>
      </c>
      <c r="M1266" t="n">
        <v>0.0032</v>
      </c>
      <c r="N1266" t="n">
        <v>0.0779</v>
      </c>
      <c r="O1266" t="n">
        <v>0.1429</v>
      </c>
    </row>
    <row r="1267">
      <c r="A1267" t="inlineStr">
        <is>
          <t>openmicroscopy</t>
        </is>
      </c>
      <c r="B1267" t="inlineStr">
        <is>
          <t>examples/TreeList/Usage.java</t>
        </is>
      </c>
      <c r="C1267">
        <f>HYPERLINK("https://github.com/ome/openmicroscopy/blob/master/examples/TreeList/Usage.java")</f>
        <v/>
      </c>
      <c r="D1267" t="inlineStr">
        <is>
          <t>The provided code is a simple Java class named "Usage". This class contains one static method called usage(). The purpose of this function seems to be to print out some specific information about the hostname, port number, username and password that are used for backend software components in a system. However, there's no actual implementation within the main() method which calls System.exit with -2 as an</t>
        </is>
      </c>
      <c r="E1267" t="n">
        <v>0.0036</v>
      </c>
      <c r="F1267" t="n">
        <v>0.0789</v>
      </c>
      <c r="G1267" t="n">
        <v>0.1812</v>
      </c>
      <c r="H1267" t="inlineStr">
        <is>
          <t>The provided code is a Java class named "Usage". This class contains one static method called usage(). The purpose of this method is to print out the string "TreeList.Mainhostportusernamepassword" and then terminate the program with an exit status of -2.
In summary, this piece of software is designed as a backend component that utilizes core algorithms for processing data but</t>
        </is>
      </c>
      <c r="I1267" t="n">
        <v>0.0043</v>
      </c>
      <c r="J1267" t="n">
        <v>0.08699999999999999</v>
      </c>
      <c r="K1267" t="n">
        <v>0.1515</v>
      </c>
      <c r="L1267" t="inlineStr">
        <is>
          <t>The provided code is a Java class named "Usage". This class contains one static method called "usage()", which prints out a usage message and then exits the program with an error status of -2. The purpose of this function seems to be to provide context or documentation for how to use another part of the software system that has not been properly documented yet. It's important to note that</t>
        </is>
      </c>
      <c r="M1267" t="n">
        <v>0.0035</v>
      </c>
      <c r="N1267" t="n">
        <v>0.0513</v>
      </c>
      <c r="O1267" t="n">
        <v>0.1418</v>
      </c>
    </row>
    <row r="1268">
      <c r="A1268" t="inlineStr">
        <is>
          <t>openmicroscopy</t>
        </is>
      </c>
      <c r="B1268" t="inlineStr">
        <is>
          <t>examples/TreeList/Main.py</t>
        </is>
      </c>
      <c r="C1268">
        <f>HYPERLINK("https://github.com/ome/openmicroscopy/blob/master/examples/TreeList/Main.py")</f>
        <v/>
      </c>
      <c r="D1268" t="inlineStr">
        <is>
          <t>&lt;!-- This is a summary of the provided code --&gt;
The given Python script connects to an OMERO server using command line arguments for host name, port number, username and password. It then retrieves all projects associated with the user from the database via Omero's query service and prints them out. The complexity of this operation is assumed to be linear (O(</t>
        </is>
      </c>
      <c r="E1268" t="n">
        <v>0.0035</v>
      </c>
      <c r="F1268" t="n">
        <v>0.058</v>
      </c>
      <c r="G1268" t="n">
        <v>0.1119</v>
      </c>
      <c r="H1268" t="inlineStr">
        <is>
          <t>The provided code is a Python script that connects to an OMERO server and retrieves all projects associated with the user account specified by command line arguments (host name, port number, username, password). The function `add` takes two numbers as input and returns their sum. This functionality can be summarized in one sentence as "Connects to an OMERO server using given credentials and fet</t>
        </is>
      </c>
      <c r="I1268" t="n">
        <v>0.0037</v>
      </c>
      <c r="J1268" t="n">
        <v>0.0833</v>
      </c>
      <c r="K1268" t="n">
        <v>0.1103</v>
      </c>
      <c r="L1268" t="inlineStr">
        <is>
          <t>&lt;!-- This is a concise and clear summary of the functionality provided by the code --&gt;
The given Python script connects to an OMERO server using credentials passed as command line arguments. It retrieves all projects associated with the user from the server and prints them out. The time complexity of this operation is O(N). Existing comments in the implementation suggest that it implements core algorithms</t>
        </is>
      </c>
      <c r="M1268" t="n">
        <v>0.0073</v>
      </c>
      <c r="N1268" t="n">
        <v>0.0822</v>
      </c>
      <c r="O1268" t="n">
        <v>0.2696</v>
      </c>
    </row>
    <row r="1269">
      <c r="A1269" t="inlineStr">
        <is>
          <t>openmicroscopy</t>
        </is>
      </c>
      <c r="B1269" t="inlineStr">
        <is>
          <t>examples/RegionsOfInterest/Main.java</t>
        </is>
      </c>
      <c r="C1269">
        <f>HYPERLINK("https://github.com/ome/openmicroscopy/blob/master/examples/RegionsOfInterest/Main.java")</f>
        <v/>
      </c>
      <c r="D1269" t="inlineStr">
        <is>
          <t>&lt;!---
This code is a Java program that uses the OMERO API to interact with an OMERO server and perform operations on ROI (Region of Interest). 
It creates a new ROI object using createRoi method, saves it into the database by calling saveAndReturnObject method from Update Service, prints out its ID, retrieves image associated with this</t>
        </is>
      </c>
      <c r="E1269" t="n">
        <v>0.0039</v>
      </c>
      <c r="F1269" t="n">
        <v>0.0635</v>
      </c>
      <c r="G1269" t="n">
        <v>0.1172</v>
      </c>
      <c r="H1269" t="inlineStr">
        <is>
          <t>ThisisacodeinJavafromtheOMEROproject.ItcreatesessionswithservicesusingtheOMEROrpcprotocol.ThenituseserviceslikecreatingROIobjectsandsavingimagesrelatedtoROIs.Finally,itclosesthesession. ThecomplexityisprobablyaroundO(n),butsincewehaventgotothedetailsinthedocumentation,thisisthebest</t>
        </is>
      </c>
      <c r="I1269" t="n">
        <v>0</v>
      </c>
      <c r="J1269" t="n">
        <v>0</v>
      </c>
      <c r="K1269" t="n">
        <v>0</v>
      </c>
      <c r="L1269" t="inlineStr">
        <is>
          <t>The provided code is a Java program that interacts with the Omero server using its API to perform various operations related to regions of interest (ROIs). It begins by creating an omero client and session service factory. 
 This script then creates ROI objects, saves them on the server, retrieves their IDs, associates images with these ROIs,</t>
        </is>
      </c>
      <c r="M1269" t="n">
        <v>0.0039</v>
      </c>
      <c r="N1269" t="n">
        <v>0.0312</v>
      </c>
      <c r="O1269" t="n">
        <v>0.1172</v>
      </c>
    </row>
    <row r="1270">
      <c r="A1270" t="inlineStr">
        <is>
          <t>openmicroscopy</t>
        </is>
      </c>
      <c r="B1270" t="inlineStr">
        <is>
          <t>examples/RegionsOfInterest/Main.py</t>
        </is>
      </c>
      <c r="C1270">
        <f>HYPERLINK("https://github.com/ome/openmicroscopy/blob/master/examples/RegionsOfInterest/Main.py")</f>
        <v/>
      </c>
      <c r="D1270" t="inlineStr">
        <is>
          <t>&lt;!-- You can provide a concise summary of the code here --&gt;
The provided Python script is for implementing core algorithms using omero, which is an open source software used in bioinformatics and data analysis. The complexity of this program appears to be O(N), indicating that it may involve iteration over N elements. 
In particular, there are lines setting up</t>
        </is>
      </c>
      <c r="E1270" t="n">
        <v>0.004</v>
      </c>
      <c r="F1270" t="n">
        <v>0.0896</v>
      </c>
      <c r="G1270" t="n">
        <v>0.323</v>
      </c>
      <c r="H1270" t="inlineStr">
        <is>
          <t>The provided code is a Python script that uses the OMERO image processing library to create and manipulate ROIs (Region of Interests). The function creates an instance of `omero.model.EllipseI` which represents an elliptical region in an image. It sets the X coordinate of this ellipse using the `rdouble` data type from the omer</t>
        </is>
      </c>
      <c r="I1270" t="n">
        <v>0.0035</v>
      </c>
      <c r="J1270" t="n">
        <v>0.0317</v>
      </c>
      <c r="K1270" t="n">
        <v>0.12</v>
      </c>
      <c r="L1270" t="inlineStr">
        <is>
          <t>The provided code is a Python script that uses the OMERO library to create an elliptical ROI (Region of Interest) in OMERO's database. The ellipse object has its X coordinate set using rdouble(1). This indicates that it sets up a 2D region of interest within an image data structure where each pixel can have different intensities and coordinates.</t>
        </is>
      </c>
      <c r="M1270" t="n">
        <v>0.0037</v>
      </c>
      <c r="N1270" t="n">
        <v>0.0588</v>
      </c>
      <c r="O1270" t="n">
        <v>0.1154</v>
      </c>
    </row>
    <row r="1271">
      <c r="A1271" t="inlineStr">
        <is>
          <t>openmicroscopy</t>
        </is>
      </c>
      <c r="B1271" t="inlineStr">
        <is>
          <t>examples/OmeroTables/first.py</t>
        </is>
      </c>
      <c r="C1271">
        <f>HYPERLINK("https://github.com/ome/openmicroscopy/blob/master/examples/OmeroTables/first.py")</f>
        <v/>
      </c>
      <c r="D1271" t="inlineStr">
        <is>
          <t>&lt;!-- This is a summary of the provided code --&gt;
```python
# Importing omero module and creating an instance of it 
from omero import client
omeroc = client()
# Creating session with the imported omero module
s = omeroc.create_session()
# Getting shared resources from the created session
r</t>
        </is>
      </c>
      <c r="E1271" t="n">
        <v>0.005</v>
      </c>
      <c r="F1271" t="n">
        <v>0.1176</v>
      </c>
      <c r="G1271" t="n">
        <v>0.125</v>
      </c>
      <c r="H1271" t="inlineStr">
        <is>
          <t>The provided code is a Python script that uses the OMERO library to interact with an HDF5 file stored in OMERO Grid. The function `add` takes two parameters and returns their sum. 
In this specific context of the repository, it appears to be performing operations on data from an HDF5 file using OMERO's grid capabilities. It creates a</t>
        </is>
      </c>
      <c r="I1271" t="n">
        <v>0.0031</v>
      </c>
      <c r="J1271" t="n">
        <v>0.0597</v>
      </c>
      <c r="K1271" t="n">
        <v>0.1154</v>
      </c>
      <c r="L1271" t="inlineStr">
        <is>
          <t>The given code is a Python script that interacts with an OMERO server to create and manipulate data in the form of tables (similar to databases). The main purpose of this code is to demonstrate how one can use OMERO's Grid functionality for creating new tables, adding data to these tables, reading back specific parts of the table based on certain conditions, and slicing the whole</t>
        </is>
      </c>
      <c r="M1271" t="n">
        <v>0.0033</v>
      </c>
      <c r="N1271" t="n">
        <v>0.08</v>
      </c>
      <c r="O1271" t="n">
        <v>0.1087</v>
      </c>
    </row>
    <row r="1272">
      <c r="A1272" t="inlineStr">
        <is>
          <t>openmicroscopy</t>
        </is>
      </c>
      <c r="B1272" t="inlineStr">
        <is>
          <t>examples/OmeroTables/MeasurementTable.java</t>
        </is>
      </c>
      <c r="C1272">
        <f>HYPERLINK("https://github.com/ome/openmicroscopy/blob/master/examples/OmeroTables/MeasurementTable.java")</f>
        <v/>
      </c>
      <c r="D1272" t="inlineStr">
        <is>
          <t>```java
// This Java code is used to interact with OMERO server using its API (Application Programming Interface). 
// It creates a table in the OMERO database and attaches it to an image based on user input or default test data. Then queries this newly created table for further processing.
import omero.ServerError; // Import Server</t>
        </is>
      </c>
      <c r="E1272" t="n">
        <v>0.004</v>
      </c>
      <c r="F1272" t="n">
        <v>0.06560000000000001</v>
      </c>
      <c r="G1272" t="n">
        <v>0.1181</v>
      </c>
      <c r="H1272" t="inlineStr">
        <is>
          <t>This code is a Java implementation of working with the OMERO tables API using Ice configuration from command line arguments or creating a test image if no argument provided. The complexity here would be O(N), where N represents the number of images in your database.
Please provide an example of how to use this class and its main method for testing purposes. Also, please note that you need</t>
        </is>
      </c>
      <c r="I1272" t="n">
        <v>0.0032</v>
      </c>
      <c r="J1272" t="n">
        <v>0.0779</v>
      </c>
      <c r="K1272" t="n">
        <v>0.1429</v>
      </c>
      <c r="L1272" t="inlineStr">
        <is>
          <t>```python
# This Python script is a backend software component that interacts with the OMERO server using its API. 
# It creates an image table and attaches it to an Image object (if provided). If no valid Image ID is given in command line arguments, 
# then a test image will be created instead. The main functionality of this code revolves</t>
        </is>
      </c>
      <c r="M1272" t="n">
        <v>0.0042</v>
      </c>
      <c r="N1272" t="n">
        <v>0.09089999999999999</v>
      </c>
      <c r="O1272" t="n">
        <v>0.1504</v>
      </c>
    </row>
    <row r="1273">
      <c r="A1273" t="inlineStr">
        <is>
          <t>openmicroscopy</t>
        </is>
      </c>
      <c r="B1273" t="inlineStr">
        <is>
          <t>examples/OmeroTables/FindMeasurements.java</t>
        </is>
      </c>
      <c r="C1273">
        <f>HYPERLINK("https://github.com/ome/openmicroscopy/blob/master/examples/OmeroTables/FindMeasurements.java")</f>
        <v/>
      </c>
      <c r="D1273" t="inlineStr">
        <is>
          <t>```java
// This code is a Java class named FindMeasurements that takes an optional long from the command line which should be the id of a valid Image for the current user. If no ID is provided, it creates a test image. 
// The main method interacts with OMERO server to find measurements attached to images. It uses OMERO's</t>
        </is>
      </c>
      <c r="E1273" t="n">
        <v>0.0031</v>
      </c>
      <c r="F1273" t="n">
        <v>0.0303</v>
      </c>
      <c r="G1273" t="n">
        <v>0.07630000000000001</v>
      </c>
      <c r="H1273" t="inlineStr">
        <is>
          <t>&lt;!--
The provided code is a Java program that imports several classes from the omero package and creates a class named FindMeasurements with a main method for finding measurements in an image. 
In this context, "measurement" refers to any kind of annotation or metadata associated with an image (e.g., results of scientific experiments). The main function takes an optional</t>
        </is>
      </c>
      <c r="I1273" t="n">
        <v>0.0031</v>
      </c>
      <c r="J1273" t="n">
        <v>0.0597</v>
      </c>
      <c r="K1273" t="n">
        <v>0.1145</v>
      </c>
      <c r="L1273" t="inlineStr">
        <is>
          <t>```java
package omero;
import java.util.*;
import omero.server.ServerError;
import omero.api.*;
import omero.constants.namespaces.NSMEASUREMENT;
import omero.grid.SharedResourcesPrx;
import omero.grid.TablePrx;</t>
        </is>
      </c>
      <c r="M1273" t="n">
        <v>0</v>
      </c>
      <c r="N1273" t="n">
        <v>0</v>
      </c>
      <c r="O1273" t="n">
        <v>0</v>
      </c>
    </row>
    <row r="1274">
      <c r="A1274" t="inlineStr">
        <is>
          <t>openmicroscopy</t>
        </is>
      </c>
      <c r="B1274" t="inlineStr">
        <is>
          <t>examples/OmeroTables/iroi.py</t>
        </is>
      </c>
      <c r="C1274">
        <f>HYPERLINK("https://github.com/ome/openmicroscopy/blob/master/examples/OmeroTables/iroi.py")</f>
        <v/>
      </c>
      <c r="D1274" t="inlineStr">
        <is>
          <t>The provided code is a Python script that interacts with the OMERO server using its API to create a table in shared resources and initialize it with columns for 'roi_id' (a string), 'area' (a double value representing an area of ROI), and 'intensity' (a long integer value representing intensity). The code also sets up data plate, well, sample</t>
        </is>
      </c>
      <c r="E1274" t="n">
        <v>0.0031</v>
      </c>
      <c r="F1274" t="n">
        <v>0.0299</v>
      </c>
      <c r="G1274" t="n">
        <v>0.0769</v>
      </c>
      <c r="H1274" t="inlineStr">
        <is>
          <t>The function provided is a Python script that interacts with the OMERO server to create tables and upload data into them using OMERO's API. The functionality includes creating table columns for ROIs (Region of Interest), their areas, intensities, and linking these measurements to original files in the database. It also sets up metadata about an image such as its name and acquisition date before adding</t>
        </is>
      </c>
      <c r="I1274" t="n">
        <v>0.0033</v>
      </c>
      <c r="J1274" t="n">
        <v>0.0541</v>
      </c>
      <c r="K1274" t="n">
        <v>0.073</v>
      </c>
      <c r="L1274" t="inlineStr">
        <is>
          <t>&lt;jupyter_code&gt;
The provided code is a Python script that interacts with the OMERO server using its API to create and manage tables in an HDF5 file format for storing ROIs (Regions of Interest). The purpose of this code is to measure the area and intensity of each ROI within images. 
It starts by importing necessary</t>
        </is>
      </c>
      <c r="M1274" t="n">
        <v>0.0033</v>
      </c>
      <c r="N1274" t="n">
        <v>0.0625</v>
      </c>
      <c r="O1274" t="n">
        <v>0.1181</v>
      </c>
    </row>
    <row r="1275">
      <c r="A1275" t="inlineStr">
        <is>
          <t>openmicroscopy</t>
        </is>
      </c>
      <c r="B1275" t="inlineStr">
        <is>
          <t>examples/ScriptingService/adminWorkflow.py</t>
        </is>
      </c>
      <c r="C1275">
        <f>HYPERLINK("https://github.com/ome/openmicroscopy/blob/master/examples/ScriptingService/adminWorkflow.py")</f>
        <v/>
      </c>
      <c r="D1275" t="inlineStr">
        <is>
          <t>The code provided appears to be a Python script for an admin workflow in the context of some sort of software system. It's not included here but it seems to handle administrative tasks such as user management and task assignment. The license at the top indicates that this is free software under the terms of the GNU General Public License (GPL). This means you can freely use, modify, and distribute this</t>
        </is>
      </c>
      <c r="E1275" t="n">
        <v>0.0034</v>
      </c>
      <c r="F1275" t="n">
        <v>0.075</v>
      </c>
      <c r="G1275" t="n">
        <v>0.1049</v>
      </c>
      <c r="H1275" t="inlineStr">
        <is>
          <t>The code provided is a Python script for an admin workflow in the Scripting Service of a software system. It seems to be part of a larger project and may contain various functionalities related to managing tasks or processes within this service. The complexity appears to be O(N), indicating that it could potentially scale with the size of input data. This repository contains backend components implementing core algorithms used by the system</t>
        </is>
      </c>
      <c r="I1275" t="n">
        <v>0.0036</v>
      </c>
      <c r="J1275" t="n">
        <v>0.0741</v>
      </c>
      <c r="K1275" t="n">
        <v>0.2961</v>
      </c>
      <c r="L1275" t="inlineStr">
        <is>
          <t>This Python script is a part of the backend software components for an application that provides services related to scripting and automation tasks. The main purpose of this code file seems to be managing admin workflows within the system. It appears to handle operations such as creating new scripts, updating existing ones, deleting them, and retrieval of their details from a database or other data source. Additionally, it may also</t>
        </is>
      </c>
      <c r="M1275" t="n">
        <v>0.0034</v>
      </c>
      <c r="N1275" t="n">
        <v>0.0769</v>
      </c>
      <c r="O1275" t="n">
        <v>0.1408</v>
      </c>
    </row>
    <row r="1276">
      <c r="A1276" t="inlineStr">
        <is>
          <t>openmicroscopy</t>
        </is>
      </c>
      <c r="B1276" t="inlineStr">
        <is>
          <t>examples/ScriptingService/Notifications.java</t>
        </is>
      </c>
      <c r="C1276">
        <f>HYPERLINK("https://github.com/ome/openmicroscopy/blob/master/examples/ScriptingService/Notifications.java")</f>
        <v/>
      </c>
      <c r="D1276" t="inlineStr">
        <is>
          <t>The provided code is a Java program that interacts with the OMERO server API to upload and run an official script on it. It does not perform any specific functionality yet as indicated by the comment "Does nothing". The main function takes command-line arguments which are used for creating a client session with the OMERO server. After this, the code attempts to upload a Python script using UUID</t>
        </is>
      </c>
      <c r="E1276" t="n">
        <v>0.0032</v>
      </c>
      <c r="F1276" t="n">
        <v>0.026</v>
      </c>
      <c r="G1276" t="n">
        <v>0.07140000000000001</v>
      </c>
      <c r="H1276" t="inlineStr">
        <is>
          <t>The code you provided is a Java implementation of the OMERO (Object Meta-data for Electronic Records) system's scripting service. It uploads an official Python script to the server and runs it using the OMERO client API. The complexity is O(N), where N represents time taken by the block() method in ProcessCallbackI class which might not be directly proportional</t>
        </is>
      </c>
      <c r="I1276" t="n">
        <v>0.0031</v>
      </c>
      <c r="J1276" t="n">
        <v>0.058</v>
      </c>
      <c r="K1276" t="n">
        <v>0.1154</v>
      </c>
      <c r="L1276" t="inlineStr">
        <is>
          <t>The provided code is a Java class named "Notifications". This class contains the main method which sets up an OMERO client and uploads a script to it for execution. The purpose of this program seems to be asynchronous notification system related to image processing or data analysis tasks in the context of bioinformatics software like OMERO. 
The logic involves creating a session</t>
        </is>
      </c>
      <c r="M1276" t="n">
        <v>0.0039</v>
      </c>
      <c r="N1276" t="n">
        <v>0.0857</v>
      </c>
      <c r="O1276" t="n">
        <v>0.1119</v>
      </c>
    </row>
    <row r="1277">
      <c r="A1277" t="inlineStr">
        <is>
          <t>openmicroscopy</t>
        </is>
      </c>
      <c r="B1277" t="inlineStr">
        <is>
          <t>examples/ScriptingService/HelloWorld.py</t>
        </is>
      </c>
      <c r="C1277">
        <f>HYPERLINK("https://github.com/ome/openmicroscopy/blob/master/examples/ScriptingService/HelloWorld.py")</f>
        <v/>
      </c>
      <c r="D1277" t="inlineStr">
        <is>
          <t>The provided code is a simple Python script that prints "Hello World" to the console. It does not contain any complex algorithms or data structures and has no external dependencies. The program follows best coding practices such as using comments for clarity, following the GNU General Public License (GPL), and including documentation in the header of the file.
&lt;jupyter_output&gt;
&lt;empty_</t>
        </is>
      </c>
      <c r="E1277" t="n">
        <v>0.003</v>
      </c>
      <c r="F1277" t="n">
        <v>0.029</v>
      </c>
      <c r="G1277" t="n">
        <v>0.07580000000000001</v>
      </c>
      <c r="H1277" t="inlineStr">
        <is>
          <t>The provided code is a Python script that defines an addition function named `add` which takes two parameters (numbers), adds them together and returns the result. The time complexity of this operation is O(1). This means it always executes in constant time irrespective of the size of input data.
Here's your summary: 
```
Function Name: add</t>
        </is>
      </c>
      <c r="I1277" t="n">
        <v>0.0039</v>
      </c>
      <c r="J1277" t="n">
        <v>0.0615</v>
      </c>
      <c r="K1277" t="n">
        <v>0.1172</v>
      </c>
      <c r="L1277" t="inlineStr">
        <is>
          <t>The provided code file appears to be a simple Python script that implements the Hello World program in an educational context. The purpose of this script is to demonstrate how to use a web service for scripting tasks and interact with it using HTTP requests. It sends a GET request to retrieve data from a server running on localhost at port 9000. If successful, it will print out "Hello</t>
        </is>
      </c>
      <c r="M1277" t="n">
        <v>0.0031</v>
      </c>
      <c r="N1277" t="n">
        <v>0.0519</v>
      </c>
      <c r="O1277" t="n">
        <v>0.1418</v>
      </c>
    </row>
    <row r="1278">
      <c r="A1278" t="inlineStr">
        <is>
          <t>openmicroscopy</t>
        </is>
      </c>
      <c r="B1278" t="inlineStr">
        <is>
          <t>examples/ScriptingService/NativeWrapperExample.py</t>
        </is>
      </c>
      <c r="C1278">
        <f>HYPERLINK("https://github.com/ome/openmicroscopy/blob/master/examples/ScriptingService/NativeWrapperExample.py")</f>
        <v/>
      </c>
      <c r="D1278" t="inlineStr">
        <is>
          <t>The provided code is a script that creates a Native Wrapper for an executable using Omero (a bio-formatted data management system). The wrapper wraps around some native calls and allows them to be executed within the context of an Omero session. This can potentially pose significant security risks on your system if not handled properly as it involves running scripts with elevated privileges. Please contact the</t>
        </is>
      </c>
      <c r="E1278" t="n">
        <v>0.0033</v>
      </c>
      <c r="F1278" t="n">
        <v>0.0267</v>
      </c>
      <c r="G1278" t="n">
        <v>0.1087</v>
      </c>
      <c r="H1278" t="inlineStr">
        <is>
          <t>The provided code is a Python script that wraps the execution of another executable using Omero's scripts module. The NativeWrapper script takes two parameters - 'Target' and 'Some_Param'. It imports os, sys, platform, omero, subprocess from python standard library and calls Popen function to execute an external program with given target as argument.
The</t>
        </is>
      </c>
      <c r="I1278" t="n">
        <v>0.0034</v>
      </c>
      <c r="J1278" t="n">
        <v>0.0635</v>
      </c>
      <c r="K1278" t="n">
        <v>0.0794</v>
      </c>
      <c r="L1278" t="inlineStr">
        <is>
          <t>ThegivenPythonsourcecodeimportsthreemodules:os,time,omero. It also defines a constant NATIVE_WRAPPER which is an instance of the omero script client with two parameters - 'Target' and 'Some_Param'. The code reads input from these parameters in order to call some executable using subprocess module. This functionality allows wrapping native calls into</t>
        </is>
      </c>
      <c r="M1278" t="n">
        <v>0.0053</v>
      </c>
      <c r="N1278" t="n">
        <v>0.06900000000000001</v>
      </c>
      <c r="O1278" t="n">
        <v>0.1271</v>
      </c>
    </row>
    <row r="1279">
      <c r="A1279" t="inlineStr">
        <is>
          <t>openmicroscopy</t>
        </is>
      </c>
      <c r="B1279" t="inlineStr">
        <is>
          <t>examples/ScriptingService/Edit_Descriptions.py</t>
        </is>
      </c>
      <c r="C1279">
        <f>HYPERLINK("https://github.com/ome/openmicroscopy/blob/master/examples/ScriptingService/Edit_Descriptions.py")</f>
        <v/>
      </c>
      <c r="D1279" t="inlineStr">
        <is>
          <t>The provided code appears to be a Python script for editing descriptions of various items using the Scripting Service. It is free software and can be freely redistributed under certain conditions specified in the GNU General Public License. The program seems to operate by applying core algorithms on input data, possibly related to some kind of text processing or manipulation task. However, without seeing the actual code, it's</t>
        </is>
      </c>
      <c r="E1279" t="n">
        <v>0.0035</v>
      </c>
      <c r="F1279" t="n">
        <v>0.0519</v>
      </c>
      <c r="G1279" t="n">
        <v>0.1429</v>
      </c>
      <c r="H1279" t="inlineStr">
        <is>
          <t>The provided code is a Python script that defines an addition function named 'add'. This function takes two parameters (numbers), adds them together and returns the result. The time complexity of this operation is O(1).
Here's the summary without repeating any part of the code: 
```Python
#!/usr/bin/env python
# -*- coding:</t>
        </is>
      </c>
      <c r="I1279" t="n">
        <v>0.0043</v>
      </c>
      <c r="J1279" t="n">
        <v>0.0984</v>
      </c>
      <c r="K1279" t="n">
        <v>0.122</v>
      </c>
      <c r="L1279" t="inlineStr">
        <is>
          <t>The provided code file appears to be a Python script named "Edit_Descriptions.py" located in the directory "/examples/ScriptingService". This script is designed for editing descriptions of software components within a repository. The purpose of this script seems to be to update and manage metadata associated with these components, such as copyright information, licensing details, and other relevant contextual information.</t>
        </is>
      </c>
      <c r="M1279" t="n">
        <v>0.0041</v>
      </c>
      <c r="N1279" t="n">
        <v>0.08699999999999999</v>
      </c>
      <c r="O1279" t="n">
        <v>0.1154</v>
      </c>
    </row>
    <row r="1280">
      <c r="A1280" t="inlineStr">
        <is>
          <t>openmicroscopy</t>
        </is>
      </c>
      <c r="B1280" t="inlineStr">
        <is>
          <t>examples/ScriptingService/runHelloWorld.py</t>
        </is>
      </c>
      <c r="C1280">
        <f>HYPERLINK("https://github.com/ome/openmicroscopy/blob/master/examples/ScriptingService/runHelloWorld.py")</f>
        <v/>
      </c>
      <c r="D1280" t="inlineStr">
        <is>
          <t>The provided code is a Python script that runs the "Hello World" program and it's part of an example for Scripting Service in a software system. The purpose of this script seems to be as follows: 
It imports the `scriptingservice` module from examples directory which contains core algorithms implementation. It then creates an instance of `ScriptingService` class</t>
        </is>
      </c>
      <c r="E1280" t="n">
        <v>0.0045</v>
      </c>
      <c r="F1280" t="n">
        <v>0.09089999999999999</v>
      </c>
      <c r="G1280" t="n">
        <v>0.2326</v>
      </c>
      <c r="H1280" t="inlineStr">
        <is>
          <t>The function provided is a simple addition operation that takes two parameters and returns their sum. The functionality of this code is straightforward - it adds together the values passed into 'a' and 'b'. This process has a computational complexity of O(1), meaning its performance does not increase with an increasing input size. It simply performs one arithmetic operation regardless of the sizes of inputs.
&lt;jup</t>
        </is>
      </c>
      <c r="I1280" t="n">
        <v>0.0036</v>
      </c>
      <c r="J1280" t="n">
        <v>0.0541</v>
      </c>
      <c r="K1280" t="n">
        <v>0.1087</v>
      </c>
      <c r="L1280" t="inlineStr">
        <is>
          <t>&lt;script&gt;
    function get_sum(arr){
        let sum = 0;
        for (let i=0;i&lt;arr.length;i++){
            if ((typeof arr[i] === "number") &amp;&amp; (!Number.isNaN(arr[i])) ){  // check the type and NaN of each element in array</t>
        </is>
      </c>
      <c r="M1280" t="n">
        <v>0.0065</v>
      </c>
      <c r="N1280" t="n">
        <v>0.093</v>
      </c>
      <c r="O1280" t="n">
        <v>0.1485</v>
      </c>
    </row>
    <row r="1281">
      <c r="A1281" t="inlineStr">
        <is>
          <t>openmicroscopy</t>
        </is>
      </c>
      <c r="B1281" t="inlineStr">
        <is>
          <t>examples/ScriptingService/Notifications.py</t>
        </is>
      </c>
      <c r="C1281">
        <f>HYPERLINK("https://github.com/ome/openmicroscopy/blob/master/examples/ScriptingService/Notifications.py")</f>
        <v/>
      </c>
      <c r="D1281" t="inlineStr">
        <is>
          <t>The provided code is a Python script that uses the OMERO (Object Meta-data for Electronic Records) database management system API to upload and run scripts on it. The main functionality of this code involves creating an OMERO client session, uploading a python script from a predefined location using a unique identifier generated by uuid module, running the uploaded script in the server,</t>
        </is>
      </c>
      <c r="E1281" t="n">
        <v>0.0035</v>
      </c>
      <c r="F1281" t="n">
        <v>0.0563</v>
      </c>
      <c r="G1281" t="n">
        <v>0.1119</v>
      </c>
      <c r="H1281" t="inlineStr">
        <is>
          <t>The provided code is a Python script for running an official Omero script on the OMERO server using its API. The script uploads and runs a python script to the OMERO server's script service. It also includes a timeout mechanism in case the script takes too long to run.
It uses several modules from the omero package such as scripts, client,</t>
        </is>
      </c>
      <c r="I1281" t="n">
        <v>0.003</v>
      </c>
      <c r="J1281" t="n">
        <v>0.0286</v>
      </c>
      <c r="K1281" t="n">
        <v>0.1128</v>
      </c>
      <c r="L1281" t="inlineStr">
        <is>
          <t>The provided code is a Python script that interacts with an OMERO server using the official OMERO API to upload and run scripts on it. The main purpose of this script is to execute a given python script on the OMERO server in a controlled manner by managing its execution time or raising an exception if the script runs too long. This functionality helps maintain the integrity and reliability of data</t>
        </is>
      </c>
      <c r="M1281" t="n">
        <v>0.0034</v>
      </c>
      <c r="N1281" t="n">
        <v>0.0759</v>
      </c>
      <c r="O1281" t="n">
        <v>0.1049</v>
      </c>
    </row>
    <row r="1282">
      <c r="A1282" t="inlineStr">
        <is>
          <t>openmicroscopy</t>
        </is>
      </c>
      <c r="B1282" t="inlineStr">
        <is>
          <t>components/tests/ui/plugins/robot.py</t>
        </is>
      </c>
      <c r="C1282">
        <f>HYPERLINK("https://github.com/ome/openmicroscopy/blob/master/components/tests/ui/plugins/robot.py")</f>
        <v/>
      </c>
      <c r="D1282" t="inlineStr">
        <is>
          <t>The provided code is a Python script that defines a class named `RobotControl` which inherits from the base control class of Robot Framework (a framework for automating acceptance tests). The class provides functionality related to robot configuration and deployment tools. 
It has a complexity of O(N), indicating linear time complexity due to its size being proportional to N.</t>
        </is>
      </c>
      <c r="E1282" t="n">
        <v>0.0037</v>
      </c>
      <c r="F1282" t="n">
        <v>0.0597</v>
      </c>
      <c r="G1282" t="n">
        <v>0.0769</v>
      </c>
      <c r="H1282" t="inlineStr">
        <is>
          <t>The provided code is a Python script that defines an add function with two parameters (`a` and `b`). The functionality of this function is to return the sum of these two numbers. This operation has a time complexity of O(1), meaning it takes constant time regardless of input size.
The README file explains what the software component does in general terms. It also mentions</t>
        </is>
      </c>
      <c r="I1282" t="n">
        <v>0.004</v>
      </c>
      <c r="J1282" t="n">
        <v>0.0548</v>
      </c>
      <c r="K1282" t="n">
        <v>0.1838</v>
      </c>
      <c r="L1282" t="inlineStr">
        <is>
          <t>The`RobotControl` class in the `romero.cli` module is a subclass of `BaseControl` and provides functionality for controlling robot deployment tools using command line interface (CLI). It extends its base functionalities by adding support for additional commands related to Robot framework configuration and deployment tools. The main purpose of this code is to manage and control these tools through CLI interactions</t>
        </is>
      </c>
      <c r="M1282" t="n">
        <v>0.0041</v>
      </c>
      <c r="N1282" t="n">
        <v>0.08699999999999999</v>
      </c>
      <c r="O1282" t="n">
        <v>0.1527</v>
      </c>
    </row>
    <row r="1283">
      <c r="A1283" t="inlineStr">
        <is>
          <t>openmicroscopy</t>
        </is>
      </c>
      <c r="B1283" t="inlineStr">
        <is>
          <t>components/tests/ui/resources/well_sample_posXY.py</t>
        </is>
      </c>
      <c r="C1283">
        <f>HYPERLINK("https://github.com/ome/openmicroscopy/blob/master/components/tests/ui/resources/well_sample_posXY.py")</f>
        <v/>
      </c>
      <c r="D1283" t="inlineStr">
        <is>
          <t>The provided code is a Python script named `robot_setup.py` that sets the position (posX and posY) on Well Samples in OMERO using command-line arguments. The script connects to an OMERO server with specified hostname, port number, session key, and plate ID as input parameters. It then retrieves the Plate object from OMERO</t>
        </is>
      </c>
      <c r="E1283" t="n">
        <v>0.0035</v>
      </c>
      <c r="F1283" t="n">
        <v>0.0317</v>
      </c>
      <c r="G1283" t="n">
        <v>0.0806</v>
      </c>
      <c r="H1283" t="inlineStr">
        <is>
          <t>The provided code is a Python script that uses the OMERO library to connect to an OMERO server and retrieve spatial settings for well samples from a plate specified by its ID. The complexity of this operation is O(N), where N represents the total number of well samples in all wells within the given plate.
In summary, it connects to an OMERO server using</t>
        </is>
      </c>
      <c r="I1283" t="n">
        <v>0.0028</v>
      </c>
      <c r="J1283" t="n">
        <v>0.0274</v>
      </c>
      <c r="K1283" t="n">
        <v>0.1103</v>
      </c>
      <c r="L1283" t="inlineStr">
        <is>
          <t>The provided code is a Python script that sets the position (`posX` and `posY`) on Well Samples in OMERO using command line arguments for hostname, port number, session key, and plate ID. The main purpose of this script seems to be spatial settings management on well samples within plates. It uses an OMERO gateway connection with specified parameters from user input</t>
        </is>
      </c>
      <c r="M1283" t="n">
        <v>0.003</v>
      </c>
      <c r="N1283" t="n">
        <v>0.029</v>
      </c>
      <c r="O1283" t="n">
        <v>0.1128</v>
      </c>
    </row>
    <row r="1284">
      <c r="A1284" t="inlineStr">
        <is>
          <t>openmicroscopy</t>
        </is>
      </c>
      <c r="B1284" t="inlineStr">
        <is>
          <t>components/tools/bump_version.py</t>
        </is>
      </c>
      <c r="C1284">
        <f>HYPERLINK("https://github.com/ome/openmicroscopy/blob/master/components/tools/bump_version.py")</f>
        <v/>
      </c>
      <c r="D1284" t="inlineStr">
        <is>
          <t>ThegivenPythonscriptbumpsupermajorminornumbersacrossdocumentsinthesystem.Itdoesthisbysearchingfortheexistenceoffilespecifiedinextensions(.txt,.md,.java,.ice,.html,.xml,.py,.rst).Ifafileexists,itthenscansthroughthatfilelookingforpatternsindicatingdocumentationsitesurls</t>
        </is>
      </c>
      <c r="E1284" t="n">
        <v>0</v>
      </c>
      <c r="F1284" t="n">
        <v>0</v>
      </c>
      <c r="G1284" t="n">
        <v>0</v>
      </c>
      <c r="H1284" t="inlineStr">
        <is>
          <t>The given code is a Python script that bumps the major and minor version across different files in the repository by replacing a pattern with the new version number. The complexity of this function is O(n), where n represents the total number of files in all directories under '.' (including subdirectories). It uses regular expressions to find patterns within each file and replaces them with the new version string</t>
        </is>
      </c>
      <c r="I1284" t="n">
        <v>0.0026</v>
      </c>
      <c r="J1284" t="n">
        <v>0.0779</v>
      </c>
      <c r="K1284" t="n">
        <v>0.1064</v>
      </c>
      <c r="L1284" t="inlineStr">
        <is>
          <t>The provided code is a Python script that performs version bumping across the code base by replacing patterns with new versions in files located within the current directory and its subdirectories. The purpose of this function is to update references from old versions to newer ones. It uses regular expressions (regex) for pattern matching and substitution operations. This functionality can be enhanced or modified based on specific requirements such as changing</t>
        </is>
      </c>
      <c r="M1284" t="n">
        <v>0.0034</v>
      </c>
      <c r="N1284" t="n">
        <v>0.0759</v>
      </c>
      <c r="O1284" t="n">
        <v>0.1049</v>
      </c>
    </row>
    <row r="1285">
      <c r="A1285" t="inlineStr">
        <is>
          <t>openmicroscopy</t>
        </is>
      </c>
      <c r="B1285" t="inlineStr">
        <is>
          <t>components/tools/OmeroCpp/ext/gtest-1.7.0/test/gtest_shuffle_test.py</t>
        </is>
      </c>
      <c r="C1285">
        <f>HYPERLINK("https://github.com/ome/openmicroscopy/blob/master/components/tools/OmeroCpp/ext/gtest-1.7.0/test/gtest_shuffle_test.py")</f>
        <v/>
      </c>
      <c r="D1285" t="inlineStr">
        <is>
          <t>The provided code is a Python script that appears to be part of an application developed by Google Inc., and it's distributed under certain conditions as outlined in the comments at the top. The software components are backend algorithms implemented using core programming principles such as loops and conditionals which have a time complexity of O(N). This repository contains complex algorithm implementations related to data manipulation,</t>
        </is>
      </c>
      <c r="E1285" t="n">
        <v>0.0039</v>
      </c>
      <c r="F1285" t="n">
        <v>0.1053</v>
      </c>
      <c r="G1285" t="n">
        <v>0.2174</v>
      </c>
      <c r="H1285" t="inlineStr">
        <is>
          <t>The provided code is a simple function that adds two numbers together and returns the result. The functionality of this code can be summarized as follows: it takes in two parameters (numbers), performs an addition operation on them, and then returns the resulting sum. This process has a time complexity of O(1).
The README file provides additional information about the repository including its purpose,</t>
        </is>
      </c>
      <c r="I1285" t="n">
        <v>0.0037</v>
      </c>
      <c r="J1285" t="n">
        <v>0.0548</v>
      </c>
      <c r="K1285" t="n">
        <v>0.1103</v>
      </c>
      <c r="L1285" t="inlineStr">
        <is>
          <t>ThegivenPythonscriptappearsstobeamanagementAPIforahealthcarefacilitymanagementapplication.Itusesvariousmodulesincludinguseraccountmanagement,patientrecordkeeping,appointmentscheduling,medicalhistorytracking,andpharmacyintegration.Inputstoitsfunctionsincludeusernamespasswordsonlinepresenceandofflinemedicinedata.Mainpurposedetectedinyour</t>
        </is>
      </c>
      <c r="M1285" t="n">
        <v>0</v>
      </c>
      <c r="N1285" t="n">
        <v>0</v>
      </c>
      <c r="O1285" t="n">
        <v>0</v>
      </c>
    </row>
    <row r="1286">
      <c r="A1286" t="inlineStr">
        <is>
          <t>openmicroscopy</t>
        </is>
      </c>
      <c r="B1286" t="inlineStr">
        <is>
          <t>components/tools/OmeroCpp/ext/gtest-1.7.0/test/gtest_catch_exceptions_test.py</t>
        </is>
      </c>
      <c r="C1286">
        <f>HYPERLINK("https://github.com/ome/openmicroscopy/blob/master/components/tools/OmeroCpp/ext/gtest-1.7.0/test/gtest_catch_exceptions_test.py")</f>
        <v/>
      </c>
      <c r="D1286" t="inlineStr">
        <is>
          <t>The provided code is a Python script that appears to be copyrighted by Google Inc., and it's distributed under certain conditions as outlined in the comments at the top of the file. It seems to contain backend software components implementing core algorithms but does not provide any specific functionality or summary without context about what these components do. The complexity of this program is O(N), indicating linear time</t>
        </is>
      </c>
      <c r="E1286" t="n">
        <v>0.0038</v>
      </c>
      <c r="F1286" t="n">
        <v>0.1026</v>
      </c>
      <c r="G1286" t="n">
        <v>0.3046</v>
      </c>
      <c r="H1286" t="inlineStr">
        <is>
          <t>The provided code is a simple function for addition of two numbers in Python. It takes two arguments (numbers), adds them together and returns the result. The time complexity of this operation is O(1).
Here's how it looks like:
```python
def add(a, b):
    return a + b
``` 
It does not repeat any</t>
        </is>
      </c>
      <c r="I1286" t="n">
        <v>0.0035</v>
      </c>
      <c r="J1286" t="n">
        <v>0.0645</v>
      </c>
      <c r="K1286" t="n">
        <v>0.12</v>
      </c>
      <c r="L1286" t="inlineStr">
        <is>
          <t>ThegivenPythonscriptappearsstobeacompilationofawebscrapingalgorithmusingBeautifulSouplibraryforHTMLparsingandrequestsmoduleforsendingHTTPrequests.Itdoesntcontainanycommentsorselfexplainingvariableswhichmaybecauseissuesduringdebugging.ItscomplexityismarkedatO(N)indicatinglinearithmicruntimebasedon</t>
        </is>
      </c>
      <c r="M1286" t="n">
        <v>0</v>
      </c>
      <c r="N1286" t="n">
        <v>0</v>
      </c>
      <c r="O1286" t="n">
        <v>0</v>
      </c>
    </row>
    <row r="1287">
      <c r="A1287" t="inlineStr">
        <is>
          <t>openmicroscopy</t>
        </is>
      </c>
      <c r="B1287" t="inlineStr">
        <is>
          <t>components/tools/OmeroCpp/ext/gtest-1.7.0/test/gtest_xml_output_unittest.py</t>
        </is>
      </c>
      <c r="C1287">
        <f>HYPERLINK("https://github.com/ome/openmicroscopy/blob/master/components/tools/OmeroCpp/ext/gtest-1.7.0/test/gtest_xml_output_unittest.py")</f>
        <v/>
      </c>
      <c r="D1287" t="inlineStr">
        <is>
          <t>This code is a Python script that appears to be part of Google's software suite and it has been redistributed freely under certain conditions outlined in the comments at the top. The copyright notice states that all rights are reserved by Google Inc., and any use or modification must comply with these conditions. If this code were used for commercial purposes without specific written permission from Google, they could not</t>
        </is>
      </c>
      <c r="E1287" t="n">
        <v>0.0034</v>
      </c>
      <c r="F1287" t="n">
        <v>0.0759</v>
      </c>
      <c r="G1287" t="n">
        <v>0.1408</v>
      </c>
      <c r="H1287" t="inlineStr">
        <is>
          <t>The function provided is a simple addition operation that takes two numbers as arguments and returns their sum. The complexity of this function is O(1), meaning it performs the same number of operations regardless of input size. It does not include any loops or recursive calls which would increase its time complexity based on the inputs.
The code begins with a shebang line for Unix-based</t>
        </is>
      </c>
      <c r="I1287" t="n">
        <v>0.0028</v>
      </c>
      <c r="J1287" t="n">
        <v>0.0533</v>
      </c>
      <c r="K1287" t="n">
        <v>0.1095</v>
      </c>
      <c r="L1287" t="inlineStr">
        <is>
          <t>ThegivenPythonscriptimportsthesocretokenizerclassfromthetokenizertemplate.pyfile.Ittheninitializesatokensetwithallpossibletokensincludingwords,numbers,punctuationmarksetc.Finally,ifrun,printsthatsetofallsupportedtokens.
```python
#!/usr/bin/env python
"""</t>
        </is>
      </c>
      <c r="M1287" t="n">
        <v>0</v>
      </c>
      <c r="N1287" t="n">
        <v>0</v>
      </c>
      <c r="O1287" t="n">
        <v>0</v>
      </c>
    </row>
    <row r="1288">
      <c r="A1288" t="inlineStr">
        <is>
          <t>openmicroscopy</t>
        </is>
      </c>
      <c r="B1288" t="inlineStr">
        <is>
          <t>components/tools/OmeroCpp/ext/gtest-1.7.0/test/gtest_output_test.py</t>
        </is>
      </c>
      <c r="C1288">
        <f>HYPERLINK("https://github.com/ome/openmicroscopy/blob/master/components/tools/OmeroCpp/ext/gtest-1.7.0/test/gtest_output_test.py")</f>
        <v/>
      </c>
      <c r="D1288" t="inlineStr">
        <is>
          <t>The provided code is a Python script that appears to be copyrighted by Google Inc., and it's distributed under certain conditions specified in the comments at the top of the file. The software components are backend software which may contain complex algorithms implemented within them. It has been committed for the first time as per initial commit instructions given. Its size is approximately 1000 lines long</t>
        </is>
      </c>
      <c r="E1288" t="n">
        <v>0.0033</v>
      </c>
      <c r="F1288" t="n">
        <v>0.0533</v>
      </c>
      <c r="G1288" t="n">
        <v>0.1087</v>
      </c>
      <c r="H1288" t="inlineStr">
        <is>
          <t>The provided code is a simple addition function that takes two numbers as input and returns their sum. The time complexity of this operation is O(1), meaning it always executes in constant time regardless of the size of the inputs.
```python
def add(a, b):
    return a + b
```
It's written in Python language and does not use</t>
        </is>
      </c>
      <c r="I1288" t="n">
        <v>0.0031</v>
      </c>
      <c r="J1288" t="n">
        <v>0.0597</v>
      </c>
      <c r="K1288" t="n">
        <v>0.1154</v>
      </c>
      <c r="L1288" t="inlineStr">
        <is>
          <t>ThegivenPythonscriptimportsthesrequiredmodulesforprocessingHTTPrequestsonport9000.ItdefinesaFlaskapplicationnamedappwhichhandlesGETrequeststoURLpatterns"/","/index"," and "/hello".Eachpatternmapsontothehome(),index()andhellopagerespectively.Therootpage("/")returns'Hello World!'message,while'/index'rend</t>
        </is>
      </c>
      <c r="M1288" t="n">
        <v>0.0296</v>
      </c>
      <c r="N1288" t="n">
        <v>0.0833</v>
      </c>
      <c r="O1288" t="n">
        <v>0.0658</v>
      </c>
    </row>
    <row r="1289">
      <c r="A1289" t="inlineStr">
        <is>
          <t>openmicroscopy</t>
        </is>
      </c>
      <c r="B1289" t="inlineStr">
        <is>
          <t>components/tools/OmeroCpp/ext/gtest-1.7.0/test/gtest_xml_outfiles_test.py</t>
        </is>
      </c>
      <c r="C1289">
        <f>HYPERLINK("https://github.com/ome/openmicroscopy/blob/master/components/tools/OmeroCpp/ext/gtest-1.7.0/test/gtest_xml_outfiles_test.py")</f>
        <v/>
      </c>
      <c r="D1289" t="inlineStr">
        <is>
          <t>The provided code is a Python script that appears to be copyrighted by Google Inc., and it's distributed under certain conditions as specified in the comments at the top of the file. It seems to contain backend software components implementing core algorithms but does not provide an explicit summary or description because there are no function definitions present. The complexity of this code base is O(N), indicating linear</t>
        </is>
      </c>
      <c r="E1289" t="n">
        <v>0.0035</v>
      </c>
      <c r="F1289" t="n">
        <v>0.1026</v>
      </c>
      <c r="G1289" t="n">
        <v>0.3046</v>
      </c>
      <c r="H1289" t="inlineStr">
        <is>
          <t>The function provided is a simple addition operation that takes two numbers as arguments and returns their sum. The time complexity of this function is O(1), meaning it performs a constant number of operations regardless of the size of the inputs.
&lt;jupyter_code&gt;
#!/usr/bin/env python
"""
Copyright 2008, Google Inc.
All rights reserved</t>
        </is>
      </c>
      <c r="I1289" t="n">
        <v>0.0035</v>
      </c>
      <c r="J1289" t="n">
        <v>0.0635</v>
      </c>
      <c r="K1289" t="n">
        <v>0.121</v>
      </c>
      <c r="L1289" t="inlineStr">
        <is>
          <t>ThegivenPythonscriptimportsthenecessarymodulesforprocessingHTTPrequestsonawebserver.ItusesFlaskframeworktogenerateserverresponsesbasedonuserrequestsinputURL.ServercanhandleGETandPOSTmethods.Foranyunhandledroutes,itreturnscustomerrorpage.ScriptalsoincludesloggingmoduleforrecordingalltrafficdetailsincludingIPaddressandtimestamp. The server</t>
        </is>
      </c>
      <c r="M1289" t="n">
        <v>0</v>
      </c>
      <c r="N1289" t="n">
        <v>0</v>
      </c>
      <c r="O1289" t="n">
        <v>0</v>
      </c>
    </row>
    <row r="1290">
      <c r="A1290" t="inlineStr">
        <is>
          <t>openmicroscopy</t>
        </is>
      </c>
      <c r="B1290" t="inlineStr">
        <is>
          <t>components/tools/OmeroCpp/ext/gtest-1.7.0/test/gtest_uninitialized_test.py</t>
        </is>
      </c>
      <c r="C1290">
        <f>HYPERLINK("https://github.com/ome/openmicroscopy/blob/master/components/tools/OmeroCpp/ext/gtest-1.7.0/test/gtest_uninitialized_test.py")</f>
        <v/>
      </c>
      <c r="D1290" t="inlineStr">
        <is>
          <t>The provided code is a Python script that appears to be part of Google's software suite. It seems to contain copyright information and conditions for redistribution as well as some disclaimers related to the use of this software in source or binary forms with or without modification. The code also includes specific restrictions about its usage such as not using any names associated with Google Inc., their contribut</t>
        </is>
      </c>
      <c r="E1290" t="n">
        <v>0.0032</v>
      </c>
      <c r="F1290" t="n">
        <v>0.0519</v>
      </c>
      <c r="G1290" t="n">
        <v>0.2254</v>
      </c>
      <c r="H1290" t="inlineStr">
        <is>
          <t>The function provided is a simple addition operation between two numbers 'a' and 'b'. It takes in two parameters (numbers), adds them together and returns the result. The time complexity of this function is O(1).
Here is the code snippet for your reference: 
```python
def add(a, b):
    return a + b
```</t>
        </is>
      </c>
      <c r="I1290" t="n">
        <v>0.0035</v>
      </c>
      <c r="J1290" t="n">
        <v>0.0667</v>
      </c>
      <c r="K1290" t="n">
        <v>0.121</v>
      </c>
      <c r="L1290" t="inlineStr">
        <is>
          <t>ThegivenPythonscriptreadsdatafromaCSVfilecontainingdetailsaboutmoviesincludingtitle,genre,rating,etc.ItusespandaspandaDataFrameobjecttostructuretheselementsintoamoviecollectionclassrepresentedbyMovieobjects.EachMoviehasattributeslikeTitle,Genre,Rating,Director,Actors,Year,Runtime,Plot</t>
        </is>
      </c>
      <c r="M1290" t="n">
        <v>0</v>
      </c>
      <c r="N1290" t="n">
        <v>0</v>
      </c>
      <c r="O1290" t="n">
        <v>0</v>
      </c>
    </row>
    <row r="1291">
      <c r="A1291" t="inlineStr">
        <is>
          <t>openmicroscopy</t>
        </is>
      </c>
      <c r="B1291" t="inlineStr">
        <is>
          <t>components/tools/OmeroCpp/ext/gtest-1.7.0/test/gtest_xml_test_utils.py</t>
        </is>
      </c>
      <c r="C1291">
        <f>HYPERLINK("https://github.com/ome/openmicroscopy/blob/master/components/tools/OmeroCpp/ext/gtest-1.7.0/test/gtest_xml_test_utils.py")</f>
        <v/>
      </c>
      <c r="D1291" t="inlineStr">
        <is>
          <t>The code provided is a Python script that contains the copyright information of Google Inc., and it specifies conditions under which redistribution of its source code or binary forms are permitted. It also disclaims any implied warranties related to this software.
It's important to note that without specific permission from Google Inc., their contributors cannot be used to endorse or promote products derived from</t>
        </is>
      </c>
      <c r="E1291" t="n">
        <v>0.0028</v>
      </c>
      <c r="F1291" t="n">
        <v>0.0548</v>
      </c>
      <c r="G1291" t="n">
        <v>0.1103</v>
      </c>
      <c r="H1291" t="inlineStr">
        <is>
          <t>The function add takes two parameters a and b which are numbers to be added together. It returns the sum of these numbers. The time complexity is O(1), meaning it performs a constant number of operations regardless of input size.
# README file contains information about the repository such as its purpose, complexity level (which is O(1)), comments on what the code does, commits</t>
        </is>
      </c>
      <c r="I1291" t="n">
        <v>0.0028</v>
      </c>
      <c r="J1291" t="n">
        <v>0.0548</v>
      </c>
      <c r="K1291" t="n">
        <v>0.1103</v>
      </c>
      <c r="L1291" t="inlineStr">
        <is>
          <t>ThegivenPythonscriptappearsstobesubjectedtothealgorithmicproblem'sresolutionusingaGreedyApproach.Itreadsinputdataandidentifiesoptimalcombinationsofnumbersforagivensumbyutilizingdynamicprogrammingconcept.Inputdataincludesintegerswhichrepresentvaluesassociatedwithdifferentitems.Functionalitiesincludingcalculatingminimumco</t>
        </is>
      </c>
      <c r="M1291" t="n">
        <v>0</v>
      </c>
      <c r="N1291" t="n">
        <v>0</v>
      </c>
      <c r="O1291" t="n">
        <v>0</v>
      </c>
    </row>
    <row r="1292">
      <c r="A1292" t="inlineStr">
        <is>
          <t>openmicroscopy</t>
        </is>
      </c>
      <c r="B1292" t="inlineStr">
        <is>
          <t>components/tools/OmeroCpp/ext/gtest-1.7.0/test/gtest_filter_unittest.py</t>
        </is>
      </c>
      <c r="C1292">
        <f>HYPERLINK("https://github.com/ome/openmicroscopy/blob/master/components/tools/OmeroCpp/ext/gtest-1.7.0/test/gtest_filter_unittest.py")</f>
        <v/>
      </c>
      <c r="D1292" t="inlineStr">
        <is>
          <t>The given code is a license for the software provided by Google Inc., stating its redistribution rights and conditions under which it can be used or modified. It also mentions certain restrictions on usage such as not using Google's name to promote products derived from this software without specific permission being granted. The copyright notice must remain intact in all forms of distribution.
```python
#!/usr</t>
        </is>
      </c>
      <c r="E1292" t="n">
        <v>0.0033</v>
      </c>
      <c r="F1292" t="n">
        <v>0.0541</v>
      </c>
      <c r="G1292" t="n">
        <v>0.2304</v>
      </c>
      <c r="H1292" t="inlineStr">
        <is>
          <t>The function provided is a simple addition operation that takes two numbers as input and returns their sum. The complexity of this function is O(1), meaning it performs a constant number of operations regardless of the size of the inputs.
&lt;jupyter_code&gt;
#!/usr/bin/env python
"""
.. module:: add
   :platform: Unix, Windows</t>
        </is>
      </c>
      <c r="I1292" t="n">
        <v>0.0037</v>
      </c>
      <c r="J1292" t="n">
        <v>0.0667</v>
      </c>
      <c r="K1292" t="n">
        <v>0.123</v>
      </c>
      <c r="L1292" t="inlineStr">
        <is>
          <t>ThegivenPythonscriptappearsstobesubdividingaverylargearrayintochunksbasedupontheirsize.Eachchunkwillbefilleduntilitsizeismatchingthemaximumsizedeterminedbyanothermethod.Ifachunkfillsupcompletely,thenwe'llstartafreshoneagain.Therearenospecificcommentsaboutcomplexitysinceiteratingover</t>
        </is>
      </c>
      <c r="M1292" t="n">
        <v>0</v>
      </c>
      <c r="N1292" t="n">
        <v>0</v>
      </c>
      <c r="O1292" t="n">
        <v>0</v>
      </c>
    </row>
    <row r="1293">
      <c r="A1293" t="inlineStr">
        <is>
          <t>openmicroscopy</t>
        </is>
      </c>
      <c r="B1293" t="inlineStr">
        <is>
          <t>components/tools/OmeroCpp/ext/gtest-1.7.0/test/gtest_color_test.py</t>
        </is>
      </c>
      <c r="C1293">
        <f>HYPERLINK("https://github.com/ome/openmicroscopy/blob/master/components/tools/OmeroCpp/ext/gtest-1.7.0/test/gtest_color_test.py")</f>
        <v/>
      </c>
      <c r="D1293" t="inlineStr">
        <is>
          <t># This Python script is a copyright notice and license agreement for Google Inc., which allows redistribution of the code provided that certain conditions are met. The conditions include retaining this copyright notice, disclaimers, and specific permissions to use or distribute derived works from this software without prior written permission by Google Inc. 
# The complexity of the function appears not to be explicitly stated in</t>
        </is>
      </c>
      <c r="E1293" t="n">
        <v>0.0036</v>
      </c>
      <c r="F1293" t="n">
        <v>0.0833</v>
      </c>
      <c r="G1293" t="n">
        <v>0.2287</v>
      </c>
      <c r="H1293" t="inlineStr">
        <is>
          <t>The function provided is a simple addition operation that takes two numbers as arguments and returns their sum. It has O(1) complexity since it performs only one basic arithmetic operation regardless of the size of inputs. The code does not repeat itself or contain any loops which makes its space complexity O(1).
```python
#!/usr/bin/env python
"""
Copyright 2</t>
        </is>
      </c>
      <c r="I1293" t="n">
        <v>0.0031</v>
      </c>
      <c r="J1293" t="n">
        <v>0.058</v>
      </c>
      <c r="K1293" t="n">
        <v>0.0769</v>
      </c>
      <c r="L1293" t="inlineStr">
        <is>
          <t>ThegivenPythonscriptappearsstobeareditedbyagroupofdevelopersworkingonabackendcomponentforasingoogleincproduct.Itdoessofurtherdetailingacomplexalgorithmicoperationbaseduponnetworkcommunicationsbetweenmultiplenodes.Itsprimaryroleisspecifiedbycommentsindirectlywithinlinesofcode.However,due tocomplexitiesassociatedwithreadingandsynthes</t>
        </is>
      </c>
      <c r="M1293" t="n">
        <v>0</v>
      </c>
      <c r="N1293" t="n">
        <v>0</v>
      </c>
      <c r="O1293" t="n">
        <v>0</v>
      </c>
    </row>
    <row r="1294">
      <c r="A1294" t="inlineStr">
        <is>
          <t>openmicroscopy</t>
        </is>
      </c>
      <c r="B1294" t="inlineStr">
        <is>
          <t>components/tools/OmeroCpp/ext/gtest-1.7.0/test/gtest_env_var_test.py</t>
        </is>
      </c>
      <c r="C1294">
        <f>HYPERLINK("https://github.com/ome/openmicroscopy/blob/master/components/tools/OmeroCpp/ext/gtest-1.7.0/test/gtest_env_var_test.py")</f>
        <v/>
      </c>
      <c r="D1294" t="inlineStr">
        <is>
          <t>The provided code is a Python script that appears to be for Google's use only and does not seem to contain any actual functionality yet. It seems like it contains some conditions related to redistribution of the software but they are incomplete or contradictory as per the GNU General Public License (GPL). The copyright notice mentions "Google Inc." which suggests this might be part of an</t>
        </is>
      </c>
      <c r="E1294" t="n">
        <v>0.0036</v>
      </c>
      <c r="F1294" t="n">
        <v>0.0267</v>
      </c>
      <c r="G1294" t="n">
        <v>0.1449</v>
      </c>
      <c r="H1294" t="inlineStr">
        <is>
          <t>The function provided is a simple addition operation that takes two numbers as input and returns their sum. The complexity of this function is O(1), which means it performs the same number of operations regardless of the size of the inputs (i.e., its time or space complexity).
Here's how you can summarize this code in one line: "A Python function to add two</t>
        </is>
      </c>
      <c r="I1294" t="n">
        <v>0.0029</v>
      </c>
      <c r="J1294" t="n">
        <v>0.0541</v>
      </c>
      <c r="K1294" t="n">
        <v>0.1111</v>
      </c>
      <c r="L1294" t="inlineStr">
        <is>
          <t>ThegivenPythonscriptappearsstobeimplementingaqueueusingastackstructure.Ithasfunctionsforaddingelementsatothebeginning('push')andremovingelementsequalenttopoppingoffstack'pop'.BoththeseoperationshaveacomplixityofO(1)indicatingoptimalperformance.However,therearenocommentshavinganymeaningfulinformativecontent</t>
        </is>
      </c>
      <c r="M1294" t="n">
        <v>0</v>
      </c>
      <c r="N1294" t="n">
        <v>0</v>
      </c>
      <c r="O1294" t="n">
        <v>0</v>
      </c>
    </row>
    <row r="1295">
      <c r="A1295" t="inlineStr">
        <is>
          <t>openmicroscopy</t>
        </is>
      </c>
      <c r="B1295" t="inlineStr">
        <is>
          <t>components/tools/OmeroCpp/ext/gtest-1.7.0/test/gtest_help_test.py</t>
        </is>
      </c>
      <c r="C1295">
        <f>HYPERLINK("https://github.com/ome/openmicroscopy/blob/master/components/tools/OmeroCpp/ext/gtest-1.7.0/test/gtest_help_test.py")</f>
        <v/>
      </c>
      <c r="D1295" t="inlineStr">
        <is>
          <t>The provided code is a Python script with the copyright notice at its top and some conditions under which it can be redistributed. It appears to contain backend software components implementing core algorithms but does not provide any specific functionality or details about what these components do. The complexity of this code seems to be O(N), meaning that the time taken increases linearly as the size of input data (</t>
        </is>
      </c>
      <c r="E1295" t="n">
        <v>0.0037</v>
      </c>
      <c r="F1295" t="n">
        <v>0.1026</v>
      </c>
      <c r="G1295" t="n">
        <v>0.3003</v>
      </c>
      <c r="H1295" t="inlineStr">
        <is>
          <t>The function provided is a simple addition operation that takes two numbers as input and returns their sum. The functionality of the code is straightforward; it adds together two inputs (`a` and `b`). It has a time complexity of O(1), meaning its execution time does not change with an increase in size of the inputs.
&lt;jupyter_output&gt;
&lt;empty_</t>
        </is>
      </c>
      <c r="I1295" t="n">
        <v>0.0038</v>
      </c>
      <c r="J1295" t="n">
        <v>0.0597</v>
      </c>
      <c r="K1295" t="n">
        <v>0.0775</v>
      </c>
      <c r="L1295" t="inlineStr">
        <is>
          <t>ThegivenPythonscriptappearsstobeacomputationalalgorithmforprocessingdata.Itsprimaryrolemaybesimplifiedbelow:"ThescriptusesaHashingAlgorithmtopartitiondataintouniquebucketsbasedupontheirkeys."Ifruncorrectly,itshouldproduceabucketizedrepresentationofindividualdatasetentries.However,due tocomplexitieslikecollisionhandling</t>
        </is>
      </c>
      <c r="M1295" t="n">
        <v>0</v>
      </c>
      <c r="N1295" t="n">
        <v>0</v>
      </c>
      <c r="O1295" t="n">
        <v>0</v>
      </c>
    </row>
    <row r="1296">
      <c r="A1296" t="inlineStr">
        <is>
          <t>openmicroscopy</t>
        </is>
      </c>
      <c r="B1296" t="inlineStr">
        <is>
          <t>components/tools/OmeroCpp/ext/gtest-1.7.0/test/gtest_break_on_failure_unittest.py</t>
        </is>
      </c>
      <c r="C1296">
        <f>HYPERLINK("https://github.com/ome/openmicroscopy/blob/master/components/tools/OmeroCpp/ext/gtest-1.7.0/test/gtest_break_on_failure_unittest.py")</f>
        <v/>
      </c>
      <c r="D1296" t="inlineStr">
        <is>
          <t>The code is a Python script that sets out to define the conditions under which redistribution of its source and binary forms are permitted. It states certain conditions must be met in order for distribution rights to transfer from Google Inc., including not using their names or contributors' names for endorsement purposes without prior written permission. The software provided by these copyright holders as "as-is", with</t>
        </is>
      </c>
      <c r="E1296" t="n">
        <v>0.0033</v>
      </c>
      <c r="F1296" t="n">
        <v>0.0267</v>
      </c>
      <c r="G1296" t="n">
        <v>0.1087</v>
      </c>
      <c r="H1296" t="inlineStr">
        <is>
          <t>The function provided is a simple addition operation that takes two numbers as arguments and returns their sum. The complexity of this function is O(1), meaning it performs a constant number of operations regardless of the size of the input data. It's an efficient solution for adding two integers together.
&lt;jupyter_code&gt;
#!/usr/bin/env python
"""
# Copyright</t>
        </is>
      </c>
      <c r="I1296" t="n">
        <v>0.0033</v>
      </c>
      <c r="J1296" t="n">
        <v>0.0597</v>
      </c>
      <c r="K1296" t="n">
        <v>0.1172</v>
      </c>
      <c r="L1296" t="inlineStr">
        <is>
          <t>ThegivenPythonscriptappearsstobeawebscrapingtoolusingBeautifulSouplibrarytogetdatafromwebsites.ItusesHTTPrequestsonlinebrowserslikeChrome'sUserAgentstringtopassasvalidbrowser.ThescriptreadsinputURLsfromafilecalledurls.txt,processeseachoneindividually,getsHTML</t>
        </is>
      </c>
      <c r="M1296" t="n">
        <v>0</v>
      </c>
      <c r="N1296" t="n">
        <v>0</v>
      </c>
      <c r="O1296" t="n">
        <v>0</v>
      </c>
    </row>
    <row r="1297">
      <c r="A1297" t="inlineStr">
        <is>
          <t>openmicroscopy</t>
        </is>
      </c>
      <c r="B1297" t="inlineStr">
        <is>
          <t>components/tools/OmeroCpp/ext/gtest-1.7.0/test/gtest_list_tests_unittest.py</t>
        </is>
      </c>
      <c r="C1297">
        <f>HYPERLINK("https://github.com/ome/openmicroscopy/blob/master/components/tools/OmeroCpp/ext/gtest-1.7.0/test/gtest_list_tests_unittest.py")</f>
        <v/>
      </c>
      <c r="D1297" t="inlineStr">
        <is>
          <t>The provided code is a Python script that appears to be copyrighted by Google Inc., and it's distributed under certain conditions as specified in the comments at the top of the file. The software contains backend components for implementing core algorithms but does not provide an explicit summary or functionality description due to its complexity (complexity being O(N)). It also seems like this repository might contain comm</t>
        </is>
      </c>
      <c r="E1297" t="n">
        <v>0.0038</v>
      </c>
      <c r="F1297" t="n">
        <v>0.1039</v>
      </c>
      <c r="G1297" t="n">
        <v>0.3068</v>
      </c>
      <c r="H1297" t="inlineStr">
        <is>
          <t>The provided code is a Python function named "add". It takes two parameters (numbers), adds them together and returns the result. The time complexity of this operation is O(1). This means that it performs one addition operation regardless of the size of the input numbers.
Here's the summary in concise form: 
- Function Name: add
- Parameters:</t>
        </is>
      </c>
      <c r="I1297" t="n">
        <v>0.0038</v>
      </c>
      <c r="J1297" t="n">
        <v>0.0615</v>
      </c>
      <c r="K1297" t="n">
        <v>0.1163</v>
      </c>
      <c r="L1297" t="inlineStr">
        <is>
          <t>ThegivenPythonscriptappearsstobeawebscrapingtoolusingBeautifulSouplibraryforparsingHTMLcontentandextractingdesireddata.ItusesHTTPrequestsmoduletogetpagesbasedonURLsdefinedbyusersbeforeprocessingthem.Mainpurposeofthesriptoshouldbeviewedastrategicallongtermstorageoffilescontainingspecificwe</t>
        </is>
      </c>
      <c r="M1297" t="n">
        <v>0</v>
      </c>
      <c r="N1297" t="n">
        <v>0</v>
      </c>
      <c r="O1297" t="n">
        <v>0</v>
      </c>
    </row>
    <row r="1298">
      <c r="A1298" t="inlineStr">
        <is>
          <t>openmicroscopy</t>
        </is>
      </c>
      <c r="B1298" t="inlineStr">
        <is>
          <t>components/tools/OmeroCpp/ext/gtest-1.7.0/test/gtest_throw_on_failure_test.py</t>
        </is>
      </c>
      <c r="C1298">
        <f>HYPERLINK("https://github.com/ome/openmicroscopy/blob/master/components/tools/OmeroCpp/ext/gtest-1.7.0/test/gtest_throw_on_failure_test.py")</f>
        <v/>
      </c>
      <c r="D1298" t="inlineStr">
        <is>
          <t>The code provided is a Python script that sets out the conditions under which redistribution and use of its source code are permitted. It also states copyright notices to be included in any derived works or distributions from this software. The condition prohibiting the usage of Google's name or contributors names for endorsement or promotion without specific permission has been set. This notice applies to all forms of</t>
        </is>
      </c>
      <c r="E1298" t="n">
        <v>0.0032</v>
      </c>
      <c r="F1298" t="n">
        <v>0.0519</v>
      </c>
      <c r="G1298" t="n">
        <v>0.1071</v>
      </c>
      <c r="H1298" t="inlineStr">
        <is>
          <t>The function provided adds two numbers together and returns the result. It takes in two parameters (a and b), performs addition on them and then returns the sum. The time complexity of this operation is O(1).
```plaintext
#!/usr/bin/env python
## Copyright 2009, Google Inc. All rights reserved.
## Redistribution and use in</t>
        </is>
      </c>
      <c r="I1298" t="n">
        <v>0.0035</v>
      </c>
      <c r="J1298" t="n">
        <v>0.06560000000000001</v>
      </c>
      <c r="K1298" t="n">
        <v>0.121</v>
      </c>
      <c r="L1298" t="inlineStr">
        <is>
          <t>ThegivenPythonscriptappearsstobeawebscrapingtoolusingBeautifulSouplibraryforparsingHTMLcontentandextractingdatabaseduponcertaincriteria.ItutilizesHTTPrequestsonlineresourcesandusesregularexpressionsfortextmatchingpurposes.MainpurposeofthesriptoseemslikefetchingproductdetailsfromanonlineretailwebsitebyscrappingtheirHTML</t>
        </is>
      </c>
      <c r="M1298" t="n">
        <v>0</v>
      </c>
      <c r="N1298" t="n">
        <v>0</v>
      </c>
      <c r="O1298" t="n">
        <v>0</v>
      </c>
    </row>
    <row r="1299">
      <c r="A1299" t="inlineStr">
        <is>
          <t>openmicroscopy</t>
        </is>
      </c>
      <c r="B1299" t="inlineStr">
        <is>
          <t>components/tools/OmeroCpp/ext/gtest-1.7.0/test/gtest_test_utils.py</t>
        </is>
      </c>
      <c r="C1299">
        <f>HYPERLINK("https://github.com/ome/openmicroscopy/blob/master/components/tools/OmeroCpp/ext/gtest-1.7.0/test/gtest_test_utils.py")</f>
        <v/>
      </c>
      <c r="D1299" t="inlineStr">
        <is>
          <t>"""
The code is a Python script that defines the conditions under which redistribution and use of source or binary forms are permitted. It also specifies certain conditions to be met in order for distribution. The copyright notice must remain intact when distributing this software. This includes not only the original author's name but also any contributors who may have worked on it without specific written permission from</t>
        </is>
      </c>
      <c r="E1299" t="n">
        <v>0.0032</v>
      </c>
      <c r="F1299" t="n">
        <v>0.0526</v>
      </c>
      <c r="G1299" t="n">
        <v>0.1071</v>
      </c>
      <c r="H1299" t="inlineStr">
        <is>
          <t>The provided code is a simple function for addition of two numbers in Python. The functionality of the code includes adding two inputs and returning their sum. This operation has a time complexity of O(1), as it performs only one basic arithmetic operation regardless of input size.
```plaintext
def add(a, b):
    return a + b
``` 
Here'</t>
        </is>
      </c>
      <c r="I1299" t="n">
        <v>0.0042</v>
      </c>
      <c r="J1299" t="n">
        <v>0.0615</v>
      </c>
      <c r="K1299" t="n">
        <v>0.1163</v>
      </c>
      <c r="L1299" t="inlineStr">
        <is>
          <t>ThegivenPythonscriptappearsstobesetupawebserverusingFlaskframework.Itstartswithacopyrightstatementindicatingoriginalauthorandlicenseinformation.Thereafter,there'sacommentlineabouttheimplementationofcorealgorithmsinvolved.Fromhere,wehaveaseveralfunctionsdefinedincludingoneforhomepage('/')routehandlerwhichreturnsHTMLcontentcontaining</t>
        </is>
      </c>
      <c r="M1299" t="n">
        <v>0</v>
      </c>
      <c r="N1299" t="n">
        <v>0</v>
      </c>
      <c r="O1299" t="n">
        <v>0</v>
      </c>
    </row>
    <row r="1300">
      <c r="A1300" t="inlineStr">
        <is>
          <t>openmicroscopy</t>
        </is>
      </c>
      <c r="B1300" t="inlineStr">
        <is>
          <t>components/tools/OmeroCpp/ext/gtest-1.7.0/scripts/pump.py</t>
        </is>
      </c>
      <c r="C1300">
        <f>HYPERLINK("https://github.com/ome/openmicroscopy/blob/master/components/tools/OmeroCpp/ext/gtest-1.7.0/scripts/pump.py")</f>
        <v/>
      </c>
      <c r="D1300" t="inlineStr">
        <is>
          <t>The provided code is a Python script that appears to be part of Google's software suite and has been distributed under certain conditions outlined in the comments at the top. The copyright notice states that all rights are reserved. This includes redistribution with or without modification but requires attribution back to Google Inc., its contributors, and any derived works must also have these same terms applied.</t>
        </is>
      </c>
      <c r="E1300" t="n">
        <v>0.0036</v>
      </c>
      <c r="F1300" t="n">
        <v>0.0533</v>
      </c>
      <c r="G1300" t="n">
        <v>0.1449</v>
      </c>
      <c r="H1300" t="inlineStr">
        <is>
          <t>The function provided is a simple addition operation between two numbers `a` and `b`. The functionality of the code can be summarized as follows: It takes in two parameters (numbers), adds them together using the '+' operator, then returns the result. This process has a time complexity of O(1).
It should also mention that this software component is part of</t>
        </is>
      </c>
      <c r="I1300" t="n">
        <v>0.0043</v>
      </c>
      <c r="J1300" t="n">
        <v>0.0588</v>
      </c>
      <c r="K1300" t="n">
        <v>0.2391</v>
      </c>
      <c r="L1300" t="inlineStr">
        <is>
          <t>ThegivencodefileappearsstobeimplementingaversionofquicksortalgorithmusingPython.Itsprimaryroleisortsanarraybaseduponvaluesplitinto'less than'and'greater than'partitions.Inputsuppliedtosortingsubroutinesareexpectedtobevaluesinrangebetween-10^6and10^6.Theexisting</t>
        </is>
      </c>
      <c r="M1300" t="n">
        <v>0</v>
      </c>
      <c r="N1300" t="n">
        <v>0.09520000000000001</v>
      </c>
      <c r="O1300" t="n">
        <v>0</v>
      </c>
    </row>
    <row r="1301">
      <c r="A1301" t="inlineStr">
        <is>
          <t>openmicroscopy</t>
        </is>
      </c>
      <c r="B1301" t="inlineStr">
        <is>
          <t>components/tools/OmeroCpp/ext/gtest-1.7.0/scripts/gen_gtest_pred_impl.py</t>
        </is>
      </c>
      <c r="C1301">
        <f>HYPERLINK("https://github.com/ome/openmicroscopy/blob/master/components/tools/OmeroCpp/ext/gtest-1.7.0/scripts/gen_gtest_pred_impl.py")</f>
        <v/>
      </c>
      <c r="D1301" t="inlineStr">
        <is>
          <t>The provided code is a Python script with the copyright notice at its beginning indicating that it's owned by Google Inc and all rights are reserved. The conditions for redistribution of this software include retaining the original copyright notice, disclaimers, and specific conditions mentioned in the comments. If any part of the distribution does not meet these conditions, no endorsement or promotion should</t>
        </is>
      </c>
      <c r="E1301" t="n">
        <v>0.0034</v>
      </c>
      <c r="F1301" t="n">
        <v>0.0833</v>
      </c>
      <c r="G1301" t="n">
        <v>0.2338</v>
      </c>
      <c r="H1301" t="inlineStr">
        <is>
          <t>The provided code is a simple function named "add", which takes two parameters (numbers), adds them together and returns the result. The time complexity of this operation is O(1).
The README file explains that this repository contains backend software components implementing core algorithms. 
The initial commit in the git history has size of 1000 lines of code with a</t>
        </is>
      </c>
      <c r="I1301" t="n">
        <v>0.0041</v>
      </c>
      <c r="J1301" t="n">
        <v>0.1176</v>
      </c>
      <c r="K1301" t="n">
        <v>0.3255</v>
      </c>
      <c r="L1301" t="inlineStr">
        <is>
          <t>ThegivenPythonscriptappearsstocontainabackendserviceforhandlinguserregistrations.ItusesaHashMapdatastructuretostoreusersdataincludingtheirnames,emailaddressesandsaltedpasswordhashes.Mainfunctionsincludeaddingnewusers,checkingifausernamealreadyexists,updatingexistingusernamedetailsandretrievingdetailsbyusername. The</t>
        </is>
      </c>
      <c r="M1301" t="n">
        <v>0</v>
      </c>
      <c r="N1301" t="n">
        <v>0</v>
      </c>
      <c r="O1301" t="n">
        <v>0</v>
      </c>
    </row>
    <row r="1302">
      <c r="A1302" t="inlineStr">
        <is>
          <t>openmicroscopy</t>
        </is>
      </c>
      <c r="B1302" t="inlineStr">
        <is>
          <t>components/tools/OmeroCpp/ext/gtest-1.7.0/scripts/fuse_gtest_files.py</t>
        </is>
      </c>
      <c r="C1302">
        <f>HYPERLINK("https://github.com/ome/openmicroscopy/blob/master/components/tools/OmeroCpp/ext/gtest-1.7.0/scripts/fuse_gtest_files.py")</f>
        <v/>
      </c>
      <c r="D1302" t="inlineStr">
        <is>
          <t>The provided code is a Python script with copyright information and conditions for redistribution of the source or binary forms. It also includes disclaimers regarding limitations on use by third parties. The software is not named Google Inc., nor any contributors' names can be used to promote products derived from this without specific written permission. This notice should appear in all copies or substantial portions of the software.</t>
        </is>
      </c>
      <c r="E1302" t="n">
        <v>0.0035</v>
      </c>
      <c r="F1302" t="n">
        <v>0.0526</v>
      </c>
      <c r="G1302" t="n">
        <v>0.1429</v>
      </c>
      <c r="H1302" t="inlineStr">
        <is>
          <t>The function provided is a simple addition operation that takes two numbers as input and returns their sum. The time complexity of this operation is O(1), meaning it always executes in the same amount of time regardless of the size of the inputs.
&lt;jupyter_code&gt;
#!/usr/bin/env python
"""
    Copyright 2009, Google Inc</t>
        </is>
      </c>
      <c r="I1302" t="n">
        <v>0.0036</v>
      </c>
      <c r="J1302" t="n">
        <v>0.0645</v>
      </c>
      <c r="K1302" t="n">
        <v>0.122</v>
      </c>
      <c r="L1302" t="inlineStr">
        <is>
          <t>ThegivenPythonscriptimportstherequiredmodulesforprocessingHTTPrequestsandresponses.IttheninitializesaFlaskwebapplicationinstancewhichwilllistenfortrafficcomingontohttp://localhost:8080/.TherearethreerouteforhandlingdifferenttypesofHTTPmethods:(i)GET:/api/v1/resourcesreturnsallavailablerecords.(ii)POST:/api</t>
        </is>
      </c>
      <c r="M1302" t="n">
        <v>0</v>
      </c>
      <c r="N1302" t="n">
        <v>0</v>
      </c>
      <c r="O1302" t="n">
        <v>0</v>
      </c>
    </row>
    <row r="1303">
      <c r="A1303" t="inlineStr">
        <is>
          <t>openmicroscopy</t>
        </is>
      </c>
      <c r="B1303" t="inlineStr">
        <is>
          <t>components/tools/OmeroJava/test/integration/CmdCallbackTest.java</t>
        </is>
      </c>
      <c r="C1303">
        <f>HYPERLINK("https://github.com/ome/openmicroscopy/blob/master/components/tools/OmeroJava/test/integration/CmdCallbackTest.java")</f>
        <v/>
      </c>
      <c r="D1303" t="inlineStr">
        <is>
          <t>The provided code is a Java program with the copyright notice at the top indicating that it's free software and can be freely distributed under certain conditions as defined by GNU General Public License (GPL). The main functionality of this code seems to involve integration between two systems using core algorithms implemented in parallel for efficiency. It appears to have been committed initially but further commits may exist on GitHub or other</t>
        </is>
      </c>
      <c r="E1303" t="n">
        <v>0.0036</v>
      </c>
      <c r="F1303" t="n">
        <v>0.0494</v>
      </c>
      <c r="G1303" t="n">
        <v>0.2083</v>
      </c>
      <c r="H1303" t="inlineStr">
        <is>
          <t>The code provided is a simple addition function in Java named `add` which takes two parameters and returns their sum. The time complexity of this operation is O(1), meaning it performs the same number of operations regardless of the size of input data.
Here's the summary for your reference: 
```
Function Name: add
Input Parameters: Two numbers (integers</t>
        </is>
      </c>
      <c r="I1303" t="n">
        <v>0.0031</v>
      </c>
      <c r="J1303" t="n">
        <v>0.0597</v>
      </c>
      <c r="K1303" t="n">
        <v>0.1154</v>
      </c>
      <c r="L1303" t="inlineStr">
        <is>
          <t>The provided code is a Java program that uses multithreading and network programming to integrate with an external server. It creates multiple threads (each representing one client request) which send HTTP requests in parallel to the server for processing data. The purpose of this code seems to be to handle high volume traffic by distributing workload across multiple cores or machines while ensuring reliability through error handling mechanisms.</t>
        </is>
      </c>
      <c r="M1303" t="n">
        <v>0.0027</v>
      </c>
      <c r="N1303" t="n">
        <v>0.0526</v>
      </c>
      <c r="O1303" t="n">
        <v>0.1429</v>
      </c>
    </row>
    <row r="1304">
      <c r="A1304" t="inlineStr">
        <is>
          <t>openmicroscopy</t>
        </is>
      </c>
      <c r="B1304" t="inlineStr">
        <is>
          <t>components/tools/OmeroJava/test/integration/DeleteServiceFilesTest.java</t>
        </is>
      </c>
      <c r="C1304">
        <f>HYPERLINK("https://github.com/ome/openmicroscopy/blob/master/components/tools/OmeroJava/test/integration/DeleteServiceFilesTest.java")</f>
        <v/>
      </c>
      <c r="D1304" t="inlineStr">
        <is>
          <t>ThegivenJava code is a part of an integration package for the Omero server software. It imports various classes and packages related to handling files, file paths, lists, maps, iterators, formatting output, exceptions thrown by the Omero server API usage, and raw access requests. The main functionality seems to be in managing datasets on the Omero server using its APIs</t>
        </is>
      </c>
      <c r="E1304" t="n">
        <v>0.0037</v>
      </c>
      <c r="F1304" t="n">
        <v>0.0597</v>
      </c>
      <c r="G1304" t="n">
        <v>0.07630000000000001</v>
      </c>
      <c r="H1304" t="inlineStr">
        <is>
          <t>ThegivenJava code is a part of an integration package for bio-format data handling and manipulation in the OMERO platform. The function 'add' takes two numbers as input parameters (a &amp; b), performs addition operation on them and returns the result. It has a time complexity of O(1).
# Copyright 2006-2015 University of</t>
        </is>
      </c>
      <c r="I1304" t="n">
        <v>0.0035</v>
      </c>
      <c r="J1304" t="n">
        <v>0.06560000000000001</v>
      </c>
      <c r="K1304" t="n">
        <v>0.0806</v>
      </c>
      <c r="L1304" t="inlineStr">
        <is>
          <t>The provided code is a Java program that interacts with the Open Microscopy Environment (OME) server and client libraries to handle bioformat files. The main purpose of this code seems to be managing datasets on an OME server through raw file storage and thumbnail generation.
Here are some key operations performed by the code:
1. It creates instances of classes for handling different</t>
        </is>
      </c>
      <c r="M1304" t="n">
        <v>0.0029</v>
      </c>
      <c r="N1304" t="n">
        <v>0.0563</v>
      </c>
      <c r="O1304" t="n">
        <v>0.0741</v>
      </c>
    </row>
    <row r="1305">
      <c r="A1305" t="inlineStr">
        <is>
          <t>openmicroscopy</t>
        </is>
      </c>
      <c r="B1305" t="inlineStr">
        <is>
          <t>components/tools/OmeroJava/test/integration/CreatePojosFixture2.java</t>
        </is>
      </c>
      <c r="C1305">
        <f>HYPERLINK("https://github.com/ome/openmicroscopy/blob/master/components/tools/OmeroJava/test/integration/CreatePojosFixture2.java")</f>
        <v/>
      </c>
      <c r="D1305" t="inlineStr">
        <is>
          <t>ThegivenJava code is for integration with an Omero server using the omero API. It imports various classes from packages related to Java's utility library (java.util), UUID generation and other models defined in a package named 'omero'. The code also has several interfaces that extend IObject interface of omero model package. This code seems to be implementing core algorithms but</t>
        </is>
      </c>
      <c r="E1305" t="n">
        <v>0.0041</v>
      </c>
      <c r="F1305" t="n">
        <v>0.08699999999999999</v>
      </c>
      <c r="G1305" t="n">
        <v>0.284</v>
      </c>
      <c r="H1305" t="inlineStr">
        <is>
          <t>The function provided is a simple addition operation that takes two parameters and returns their sum. The functionality of this code includes adding two numbers together. Its complexity is O(1), meaning it will always take the same amount of time to execute regardless of input size. It doesn't repeat any code or provide an extensive summary as per your request.
Please note that you didnâĢĻt include</t>
        </is>
      </c>
      <c r="I1305" t="n">
        <v>0.0033</v>
      </c>
      <c r="J1305" t="n">
        <v>0.0519</v>
      </c>
      <c r="K1305" t="n">
        <v>0.1087</v>
      </c>
      <c r="L1305" t="inlineStr">
        <is>
          <t>The provided code is a Java implementation of an integration package for data management and annotation in the context of scientific experiments using OMERO (a platform for managing digital images). It includes classes related to dataset, image, experimenter, and their respective annotations. The main purpose of this software seems to be facilitating interactions with the OMERO server through its API, which allows manipulation of datasets</t>
        </is>
      </c>
      <c r="M1305" t="n">
        <v>0.0033</v>
      </c>
      <c r="N1305" t="n">
        <v>0.0548</v>
      </c>
      <c r="O1305" t="n">
        <v>0.2715</v>
      </c>
    </row>
    <row r="1306">
      <c r="A1306" t="inlineStr">
        <is>
          <t>openmicroscopy</t>
        </is>
      </c>
      <c r="B1306" t="inlineStr">
        <is>
          <t>components/tools/OmeroJava/test/integration/RenderingSettingsServiceTest.java</t>
        </is>
      </c>
      <c r="C1306">
        <f>HYPERLINK("https://github.com/ome/openmicroscopy/blob/master/components/tools/OmeroJava/test/integration/RenderingSettingsServiceTest.java")</f>
        <v/>
      </c>
      <c r="D1306" t="inlineStr">
        <is>
          <t>The provided code is a Java implementation of core algorithms for data processing and manipulation in the context of an imaging application (specifically focused on microscopy). It uses various Omero API interfaces to interact with datasets, channels, pixels, etc., from a server or repository containing images/data. The complexity appears to be linear as indicated by 'O(N)' but without specific details about</t>
        </is>
      </c>
      <c r="E1306" t="n">
        <v>0.0036</v>
      </c>
      <c r="F1306" t="n">
        <v>0.08450000000000001</v>
      </c>
      <c r="G1306" t="n">
        <v>0.1504</v>
      </c>
      <c r="H1306" t="inlineStr">
        <is>
          <t>The function provided is a simple addition operation between two numbers 'a' and 'b'. It takes in two parameters (numbers), adds them together using the + operator, then returns the result. The time complexity of this function is O(1).
# This code appears to be part of an extensive software package that includes import statements for various Java classes related to image processing or some</t>
        </is>
      </c>
      <c r="I1306" t="n">
        <v>0.0037</v>
      </c>
      <c r="J1306" t="n">
        <v>0.0556</v>
      </c>
      <c r="K1306" t="n">
        <v>0.146</v>
      </c>
      <c r="L1306" t="inlineStr">
        <is>
          <t>ThegivenJavaSourceCodeperformsvariousfunctionsrelatedtomicroscopyimageanalysisincludingcreationofdatasets,projectlinks,channelbindingsetc.ItusesOMEROsourcelibraryforaccessingmicroscopydataandrenderingimages. The mainclass'spurposeisintendedtoprovideinterfacebetweenuserandsomeothersystemsuchaswebapplicationoranother</t>
        </is>
      </c>
      <c r="M1306" t="n">
        <v>0</v>
      </c>
      <c r="N1306" t="n">
        <v>0</v>
      </c>
      <c r="O1306" t="n">
        <v>0</v>
      </c>
    </row>
    <row r="1307">
      <c r="A1307" t="inlineStr">
        <is>
          <t>openmicroscopy</t>
        </is>
      </c>
      <c r="B1307" t="inlineStr">
        <is>
          <t>components/tools/OmeroJava/test/integration/RoiServiceTest.java</t>
        </is>
      </c>
      <c r="C1307">
        <f>HYPERLINK("https://github.com/ome/openmicroscopy/blob/master/components/tools/OmeroJava/test/integration/RoiServiceTest.java")</f>
        <v/>
      </c>
      <c r="D1307" t="inlineStr">
        <is>
          <t>The code provided is a Java implementation of core algorithms for image processing and data management using OMERO (a platform used in bio-imaging). It includes classes related to ROIs (Regions of Interest), raw pixels storage, shape statistics, transformations, annotations, ellipses, file annotations etc., as well as utility functions such as assertions for testing purposes. The complexity appears</t>
        </is>
      </c>
      <c r="E1307" t="n">
        <v>0.0038</v>
      </c>
      <c r="F1307" t="n">
        <v>0.09089999999999999</v>
      </c>
      <c r="G1307" t="n">
        <v>0.155</v>
      </c>
      <c r="H1307" t="inlineStr">
        <is>
          <t>The function provided is a simple addition operation between two numbers 'a' and 'b'. It takes in two parameters (numbers), performs the addition operation on them and returns the result. The time complexity of this function is O(1).
# README file summary
- This repository contains backend software components that implement core algorithms used by OMERO server for image processing tasks.</t>
        </is>
      </c>
      <c r="I1307" t="n">
        <v>0.0042</v>
      </c>
      <c r="J1307" t="n">
        <v>0.1176</v>
      </c>
      <c r="K1307" t="n">
        <v>0.3206</v>
      </c>
      <c r="L1307" t="inlineStr">
        <is>
          <t>The provided code is a Java program that interacts with the Omero server API for image processing and analysis tasks related to region of interest (ROI) extraction, shape statistics computation, raw pixels store operations, etc. The main purpose of this code seems to be managing ROIs on images using various algorithms from the Omero library.
The input could include an image file along</t>
        </is>
      </c>
      <c r="M1307" t="n">
        <v>0.0029</v>
      </c>
      <c r="N1307" t="n">
        <v>0.0282</v>
      </c>
      <c r="O1307" t="n">
        <v>0.1111</v>
      </c>
    </row>
    <row r="1308">
      <c r="A1308" t="inlineStr">
        <is>
          <t>openmicroscopy</t>
        </is>
      </c>
      <c r="B1308" t="inlineStr">
        <is>
          <t>components/tools/OmeroJava/test/integration/BlockSizeTest.java</t>
        </is>
      </c>
      <c r="C1308">
        <f>HYPERLINK("https://github.com/ome/openmicroscopy/blob/master/components/tools/OmeroJava/test/integration/BlockSizeTest.java")</f>
        <v/>
      </c>
      <c r="D1308" t="inlineStr">
        <is>
          <t>The provided code is a Java test case for testing the block size of an application using JUnit and TestNG frameworks. The copyright information indicates that it's free software licensed under GNU General Public License (GPL). This program tests if the default block size in use by the application will be useful to users with any implied warranty without even being mentioned about its merchantability or fitness for a particular</t>
        </is>
      </c>
      <c r="E1308" t="n">
        <v>0.0034</v>
      </c>
      <c r="F1308" t="n">
        <v>0.0253</v>
      </c>
      <c r="G1308" t="n">
        <v>0.1408</v>
      </c>
      <c r="H1308" t="inlineStr">
        <is>
          <t>The provided code is a Java program that contains a test case for testing the block size of an integration package. The function `testBlockSizeDefault` tests if the default block size is correctly set to 4KB (which equals to 8 * 64 bits). If the actual result matches the expected one, it means the block size has been properly configured and initialized in the software system under</t>
        </is>
      </c>
      <c r="I1308" t="n">
        <v>0.0033</v>
      </c>
      <c r="J1308" t="n">
        <v>0.0548</v>
      </c>
      <c r="K1308" t="n">
        <v>0.1087</v>
      </c>
      <c r="L1308" t="inlineStr">
        <is>
          <t>The provided code is a JUnit test case for the 'BlockSize' class in Java. The purpose of this function is to verify if the default block size returned by the getter method matches with expected value. This verification happens using an assertEquals assertion which compares the actual and expected values. If they are not equal, it throws an exception indicating that there was a failure.
Over</t>
        </is>
      </c>
      <c r="M1308" t="n">
        <v>0.0033</v>
      </c>
      <c r="N1308" t="n">
        <v>0.08110000000000001</v>
      </c>
      <c r="O1308" t="n">
        <v>0.1087</v>
      </c>
    </row>
    <row r="1309">
      <c r="A1309" t="inlineStr">
        <is>
          <t>openmicroscopy</t>
        </is>
      </c>
      <c r="B1309" t="inlineStr">
        <is>
          <t>components/tools/OmeroJava/test/integration/ResetPasswordTest.java</t>
        </is>
      </c>
      <c r="C1309">
        <f>HYPERLINK("https://github.com/ome/openmicroscopy/blob/master/components/tools/OmeroJava/test/integration/ResetPasswordTest.java")</f>
        <v/>
      </c>
      <c r="D1309" t="inlineStr">
        <is>
          <t>The code provided is a Java program that implements the functionality of resetting password for an application using Omero (a microscopy platform). It's distributed under GNU General Public License and it can be freely redistributed or modified as long as you follow its terms. The license details are included in every copy of this software. This program has been tested to ensure it will work effectively but</t>
        </is>
      </c>
      <c r="E1309" t="n">
        <v>0.0038</v>
      </c>
      <c r="F1309" t="n">
        <v>0.0789</v>
      </c>
      <c r="G1309" t="n">
        <v>0.1799</v>
      </c>
      <c r="H1309" t="inlineStr">
        <is>
          <t>The provided code is a Java function that performs addition of two numbers using the def keyword and returns their sum. The time complexity of this operation is O(1), meaning it takes constant time to execute regardless of input size. It also includes comments explaining what each part does for clarity.
Here's an equivalent summary in Markdown format:
```markdown
# add Function</t>
        </is>
      </c>
      <c r="I1309" t="n">
        <v>0.0029</v>
      </c>
      <c r="J1309" t="n">
        <v>0.0563</v>
      </c>
      <c r="K1309" t="n">
        <v>0.1119</v>
      </c>
      <c r="L1309" t="inlineStr">
        <is>
          <t>The provided code is a Java program that uses the TestNG framework for unit testing of methods in an Omero project related to password reset functionality. The main purpose of this code seems to be to test if a Reset Password Request can successfully execute and return a valid response with no errors or exceptions. 
Here's a concise summary of its functionality: This Java class</t>
        </is>
      </c>
      <c r="M1309" t="n">
        <v>0.0033</v>
      </c>
      <c r="N1309" t="n">
        <v>0.0541</v>
      </c>
      <c r="O1309" t="n">
        <v>0.1095</v>
      </c>
    </row>
    <row r="1310">
      <c r="A1310" t="inlineStr">
        <is>
          <t>openmicroscopy</t>
        </is>
      </c>
      <c r="B1310" t="inlineStr">
        <is>
          <t>components/tools/OmeroJava/test/integration/AbstractTest.java</t>
        </is>
      </c>
      <c r="C1310">
        <f>HYPERLINK("https://github.com/ome/openmicroscopy/blob/master/components/tools/OmeroJava/test/integration/AbstractTest.java")</f>
        <v/>
      </c>
      <c r="D1310" t="inlineStr">
        <is>
          <t>This code is a base test class for unit tests in Java. It imports necessary libraries and dependencies such as SLF4J (Simple Logging Facade for Java), TestNG, XML Transformers, Message Digests, Input Streams, File Output Streams etc., defines constants like schema language URLs and initializes the logger instance. The class also has an @BeforeClass annotation</t>
        </is>
      </c>
      <c r="E1310" t="n">
        <v>0.004</v>
      </c>
      <c r="F1310" t="n">
        <v>0.0635</v>
      </c>
      <c r="G1310" t="n">
        <v>0.07870000000000001</v>
      </c>
      <c r="H1310" t="inlineStr">
        <is>
          <t>The code provided is a simple function for adding two numbers in Java. The functionality of this code can be summarized as follows:
It takes two parameters (numbers), adds them together and returns the result. This operation has a time complexity of O(1). 
There are no repeated lines or blocks of code within the given code snippet, making it concise</t>
        </is>
      </c>
      <c r="I1310" t="n">
        <v>0.004</v>
      </c>
      <c r="J1310" t="n">
        <v>0.058</v>
      </c>
      <c r="K1310" t="n">
        <v>0.1136</v>
      </c>
      <c r="L1310" t="inlineStr">
        <is>
          <t>```plaintext
This code is a base test class for unit tests in Java. It provides setup and teardown methods using the TestNG framework. The purpose of this class is to validate XML files against XSD schemas before they are processed by an integration module. 
It uses JAXB (Java Architecture for XML Binding) along with Transformer API from</t>
        </is>
      </c>
      <c r="M1310" t="n">
        <v>0.0038</v>
      </c>
      <c r="N1310" t="n">
        <v>0.0615</v>
      </c>
      <c r="O1310" t="n">
        <v>0.1163</v>
      </c>
    </row>
    <row r="1311">
      <c r="A1311" t="inlineStr">
        <is>
          <t>openmicroscopy</t>
        </is>
      </c>
      <c r="B1311" t="inlineStr">
        <is>
          <t>components/tools/OmeroJava/test/integration/ManagedRepositoryTest.java</t>
        </is>
      </c>
      <c r="C1311">
        <f>HYPERLINK("https://github.com/ome/openmicroscopy/blob/master/components/tools/OmeroJava/test/integration/ManagedRepositoryTest.java")</f>
        <v/>
      </c>
      <c r="D1311" t="inlineStr">
        <is>
          <t>The provided code is a Java program that handles file operations and license information related to GNU General Public License (GPL). It contains copyright details of the software as well as its terms of use under GPLv2 or later. The main functionality seems to be handling files for data storage purposes but without specific implementation details it's hard to provide more detailed summary.
Please note that this</t>
        </is>
      </c>
      <c r="E1311" t="n">
        <v>0.0036</v>
      </c>
      <c r="F1311" t="n">
        <v>0.0526</v>
      </c>
      <c r="G1311" t="n">
        <v>0.1799</v>
      </c>
      <c r="H1311" t="inlineStr">
        <is>
          <t>The provided code is a Java program that adds two numbers together using the function `add`. The time complexity of this operation (adding two numbers) is O(1), as it takes constant time regardless of the size of the input values.
Here's a concise summary of its functionality: 
```plaintext
Function Name: add
Input Parameters: Two</t>
        </is>
      </c>
      <c r="I1311" t="n">
        <v>0</v>
      </c>
      <c r="J1311" t="n">
        <v>0.0625</v>
      </c>
      <c r="K1311" t="n">
        <v>0.0794</v>
      </c>
      <c r="L1311" t="inlineStr">
        <is>
          <t>The provided code is a Java program that integrates multiple files into one large file by sorting them based on their names and writing the sorted content to another output file. The purpose of this operation can be summarized as follows:
"SortFilesAndIntegrateIntoOneLargeFile sorts multiple input files based on their names and writes the concatenated (merged) contents to an</t>
        </is>
      </c>
      <c r="M1311" t="n">
        <v>0.0031</v>
      </c>
      <c r="N1311" t="n">
        <v>0.0606</v>
      </c>
      <c r="O1311" t="n">
        <v>0.0769</v>
      </c>
    </row>
    <row r="1312">
      <c r="A1312" t="inlineStr">
        <is>
          <t>openmicroscopy</t>
        </is>
      </c>
      <c r="B1312" t="inlineStr">
        <is>
          <t>components/tools/OmeroJava/test/integration/LegalGraphTargetsTest.java</t>
        </is>
      </c>
      <c r="C1312">
        <f>HYPERLINK("https://github.com/ome/openmicroscopy/blob/master/components/tools/OmeroJava/test/integration/LegalGraphTargetsTest.java")</f>
        <v/>
      </c>
      <c r="D1312" t="inlineStr">
        <is>
          <t>&lt;!-- This is a summary of the provided code --&gt;
The given code appears to be part of an open source software project related to image processing and data management in microscopy experiments. It's distributed under GNU General Public License (GPL), which requires redistribution with same license terms or any later version. The program doesn't have any warranty implied by GPL.</t>
        </is>
      </c>
      <c r="E1312" t="n">
        <v>0.0039</v>
      </c>
      <c r="F1312" t="n">
        <v>0.08699999999999999</v>
      </c>
      <c r="G1312" t="n">
        <v>0.1504</v>
      </c>
      <c r="H1312" t="inlineStr">
        <is>
          <t>The code you provided is a Java program that appears to be part of an image processing system using the Open Microscopy Environment (OME). It contains several import statements for classes from OME's model and command packages. The main class seems to implement some kind of algorithm or functionality related to changing permissions on files in a similar way to 'chmod' and 'chgrp'. However,</t>
        </is>
      </c>
      <c r="I1312" t="n">
        <v>0.0034</v>
      </c>
      <c r="J1312" t="n">
        <v>0.0822</v>
      </c>
      <c r="K1312" t="n">
        <v>0.1103</v>
      </c>
      <c r="L1312" t="inlineStr">
        <is>
          <t>The provided code is a Java program that integrates with the Open Microscopy Environment (OME). It imports several classes from OME's model and cmd packages to handle image manipulation tasks such as changing group ownership or file permissions for an Image object in the system. The main purpose of this code seems to be handling operations related to Experimenters and their groups within the context of micro</t>
        </is>
      </c>
      <c r="M1312" t="n">
        <v>0.0027</v>
      </c>
      <c r="N1312" t="n">
        <v>0.0526</v>
      </c>
      <c r="O1312" t="n">
        <v>0.07190000000000001</v>
      </c>
    </row>
    <row r="1313">
      <c r="A1313" t="inlineStr">
        <is>
          <t>openmicroscopy</t>
        </is>
      </c>
      <c r="B1313" t="inlineStr">
        <is>
          <t>components/tools/OmeroJava/test/integration/PermissionsTest.java</t>
        </is>
      </c>
      <c r="C1313">
        <f>HYPERLINK("https://github.com/ome/openmicroscopy/blob/master/components/tools/OmeroJava/test/integration/PermissionsTest.java")</f>
        <v/>
      </c>
      <c r="D1313" t="inlineStr">
        <is>
          <t>ThegivenJava-basedprojectisabouttestingtheupdatefunctionalityforaREADMEfileinthedirectorycontainingabackendsoftwaresolutionwithcomplexitiesignificantlydependentonthenumberoffilesinsidethespecifieddirectory.
# The code is a Java test class that tests the update functionality for a README file in a directory containing backend software solution with</t>
        </is>
      </c>
      <c r="E1313" t="n">
        <v>0.0086</v>
      </c>
      <c r="F1313" t="n">
        <v>0.0588</v>
      </c>
      <c r="G1313" t="n">
        <v>0.102</v>
      </c>
      <c r="H1313" t="inlineStr">
        <is>
          <t>The provided code is a Java function named `add` which takes two parameters and returns their sum. The time complexity of this operation is O(1), meaning it performs the addition in constant time regardless of the size of the input numbers.
Here's an equivalent summary for your Python version of the same functionality:
```python
# Copyright 2012 Glencoe</t>
        </is>
      </c>
      <c r="I1313" t="n">
        <v>0.0031</v>
      </c>
      <c r="J1313" t="n">
        <v>0.0597</v>
      </c>
      <c r="K1313" t="n">
        <v>0.1154</v>
      </c>
      <c r="L1313" t="inlineStr">
        <is>
          <t>ThegivenJavaSourceFilerepresentsaframeworkforperformingtestsonserverobjectsusingApache'sTestNGlibrary.Itusesseveralclassesfromotherpackagesincludingorg.apache.commons.collections.CollectionUtils.Therearethreeprimaryclassextendingortg.testng.assertions.Assert.TheseincludeABooleanAnnotationclassrepresentingbooleanvalues,AnExper</t>
        </is>
      </c>
      <c r="M1313" t="n">
        <v>0</v>
      </c>
      <c r="N1313" t="n">
        <v>0</v>
      </c>
      <c r="O1313" t="n">
        <v>0</v>
      </c>
    </row>
    <row r="1314">
      <c r="A1314" t="inlineStr">
        <is>
          <t>openmicroscopy</t>
        </is>
      </c>
      <c r="B1314" t="inlineStr">
        <is>
          <t>components/tools/OmeroJava/test/integration/ObjectPropertiesTest.java</t>
        </is>
      </c>
      <c r="C1314">
        <f>HYPERLINK("https://github.com/ome/openmicroscopy/blob/master/components/tools/OmeroJava/test/integration/ObjectPropertiesTest.java")</f>
        <v/>
      </c>
      <c r="D1314" t="inlineStr">
        <is>
          <t>This code is a part of the Omero server software which is released under GNU General Public License (GPL). It's distributed in hope that it will be useful but WITHOUT ANY WARRANTY without even implied warranty of MERCHANTABILITY or FITNESS FOR A PARTICULAR PURPOSE. The user should have received a copy of GPL</t>
        </is>
      </c>
      <c r="E1314" t="n">
        <v>0.0041</v>
      </c>
      <c r="F1314" t="n">
        <v>0.0645</v>
      </c>
      <c r="G1314" t="n">
        <v>0.12</v>
      </c>
      <c r="H1314" t="inlineStr">
        <is>
          <t>The provided code is a Java program that appears to be part of an open source project for scientific image analysis. The main function in the file seems to be `add()` which takes two numbers as input and returns their sum. This operation has a time complexity of O(1), meaning it performs a fixed number of operations regardless of the size of the inputs.
However, without seeing</t>
        </is>
      </c>
      <c r="I1314" t="n">
        <v>0.0032</v>
      </c>
      <c r="J1314" t="n">
        <v>0.0526</v>
      </c>
      <c r="K1314" t="n">
        <v>0.1079</v>
      </c>
      <c r="L1314" t="inlineStr">
        <is>
          <t>The provided code is a Java program that integrates with the Omero server to manage image rendering settings and channel information. The main purpose of this code seems to be to provide an interface for interacting with these functionalities through the Omero API.
The primary operations performed by the code are related to setting up rendering settings on the Omero server and managing channels in the system</t>
        </is>
      </c>
      <c r="M1314" t="n">
        <v>0.0027</v>
      </c>
      <c r="N1314" t="n">
        <v>0.08</v>
      </c>
      <c r="O1314" t="n">
        <v>0.1079</v>
      </c>
    </row>
    <row r="1315">
      <c r="A1315" t="inlineStr">
        <is>
          <t>openmicroscopy</t>
        </is>
      </c>
      <c r="B1315" t="inlineStr">
        <is>
          <t>components/tools/OmeroJava/test/integration/LightAdminRolesTest.java</t>
        </is>
      </c>
      <c r="C1315">
        <f>HYPERLINK("https://github.com/ome/openmicroscopy/blob/master/components/tools/OmeroJava/test/integration/LightAdminRolesTest.java")</f>
        <v/>
      </c>
      <c r="D1315" t="inlineStr">
        <is>
          <t>The provided code is a Java program that includes the GNU General Public License (GPL). It appears to be part of an integration package for backend software components and implements core algorithms. The complexity of this piece of code seems to be O(N), where N represents some form of data structure or input size.
The license details indicate that it's free software, which means users can</t>
        </is>
      </c>
      <c r="E1315" t="n">
        <v>0.0069</v>
      </c>
      <c r="F1315" t="n">
        <v>0.0789</v>
      </c>
      <c r="G1315" t="n">
        <v>0.309</v>
      </c>
      <c r="H1315" t="inlineStr">
        <is>
          <t>The provided code is a Java function named `add` which takes two parameters (numbers), adds them together and returns the result. The time complexity of this operation is O(1). This means that it always executes in constant time regardless of input size.
Here's the summary for your reference: 
```java
public int add(int a, int b</t>
        </is>
      </c>
      <c r="I1315" t="n">
        <v>0.004</v>
      </c>
      <c r="J1315" t="n">
        <v>0.0606</v>
      </c>
      <c r="K1315" t="n">
        <v>0.1181</v>
      </c>
      <c r="L1315" t="inlineStr">
        <is>
          <t>The given source code file is a Java program that integrates multiple files into one large dataset for further processing and analysis. The main purpose of this software component appears to be the merging or integration of various input files into a single output file.
Inputs are individual files which need to be integrated. Output will be a merged version of all these inputs in an organized manner.</t>
        </is>
      </c>
      <c r="M1315" t="n">
        <v>0.0032</v>
      </c>
      <c r="N1315" t="n">
        <v>0.0526</v>
      </c>
      <c r="O1315" t="n">
        <v>0.1825</v>
      </c>
    </row>
    <row r="1316">
      <c r="A1316" t="inlineStr">
        <is>
          <t>openmicroscopy</t>
        </is>
      </c>
      <c r="B1316" t="inlineStr">
        <is>
          <t>components/tools/OmeroJava/test/integration/AdminServiceTest.java</t>
        </is>
      </c>
      <c r="C1316">
        <f>HYPERLINK("https://github.com/ome/openmicroscopy/blob/master/components/tools/OmeroJava/test/integration/AdminServiceTest.java")</f>
        <v/>
      </c>
      <c r="D1316" t="inlineStr">
        <is>
          <t>ThegivenJava code appears to be part of a software integration project involving the use of an OMERO (Optimized Meta-RObust Electronic Object Retrieval Environment) API for data management and manipulation. It includes import statements for various Java libraries such as ArrayList, Arrays, Collections, HashSet, Iterator, List, Set, UUID etc., along with</t>
        </is>
      </c>
      <c r="E1316" t="n">
        <v>0.0044</v>
      </c>
      <c r="F1316" t="n">
        <v>0.0678</v>
      </c>
      <c r="G1316" t="n">
        <v>0.123</v>
      </c>
      <c r="H1316" t="inlineStr">
        <is>
          <t>ThegivenJava codeisforconnectingtoanOrchestratorusingOMEROAPIsandperformingadminoperationslikeaddingtwoexperimenters.ItusesvariousclassesfromOMEROsDKwhichincludesmodelsforthedataobjectsusedintherepository. The complexity of this operation is O(n), where n represents the number of elements in a list or collection. It connects</t>
        </is>
      </c>
      <c r="I1316" t="n">
        <v>0</v>
      </c>
      <c r="J1316" t="n">
        <v>0.0606</v>
      </c>
      <c r="K1316" t="n">
        <v>0.0526</v>
      </c>
      <c r="L1316" t="inlineStr">
        <is>
          <t>The provided code is a Java program that interacts with the Omero server API for managing and querying data from an image repository system. The main purpose of this code seems to be handling administrative tasks such as creating groups, adding experimenters (users) into these groups, assigning admin privileges etc. It takes in various inputs including login credentials, group details, user information etc., processes them</t>
        </is>
      </c>
      <c r="M1316" t="n">
        <v>0.0028</v>
      </c>
      <c r="N1316" t="n">
        <v>0.0274</v>
      </c>
      <c r="O1316" t="n">
        <v>0.073</v>
      </c>
    </row>
    <row r="1317">
      <c r="A1317" t="inlineStr">
        <is>
          <t>openmicroscopy</t>
        </is>
      </c>
      <c r="B1317" t="inlineStr">
        <is>
          <t>components/tools/OmeroJava/test/integration/DeleteServicePermissionsTest.java</t>
        </is>
      </c>
      <c r="C1317">
        <f>HYPERLINK("https://github.com/ome/openmicroscopy/blob/master/components/tools/OmeroJava/test/integration/DeleteServicePermissionsTest.java")</f>
        <v/>
      </c>
      <c r="D1317" t="inlineStr">
        <is>
          <t>ThegivenJava code is a part of the Omero system's backend software components which includes import statements for various packages like java utilities and omero api interfaces. It also contains classes related to admin privileges, annotations, datasets, images etc., but without any specific functionality or method calls in this provided snippet. The complexity of this code seems to be linear (O(</t>
        </is>
      </c>
      <c r="E1317" t="n">
        <v>0.004</v>
      </c>
      <c r="F1317" t="n">
        <v>0.058</v>
      </c>
      <c r="G1317" t="n">
        <v>0.1515</v>
      </c>
      <c r="H1317" t="inlineStr">
        <is>
          <t>The provided code is a Java program that appears to be part of an integration package for the Omero image management system. The main function or method in this code seems to be 'delete'. It's used to delete objects from the Omero database using their IDs. This operation might have a time complexity of O(n), where n represents the number of objects being deleted. However</t>
        </is>
      </c>
      <c r="I1317" t="n">
        <v>0.0028</v>
      </c>
      <c r="J1317" t="n">
        <v>0.0267</v>
      </c>
      <c r="K1317" t="n">
        <v>0.073</v>
      </c>
      <c r="L1317" t="inlineStr">
        <is>
          <t>The provided code is a Java program that interacts with the Omero server API to manage and manipulate datasets of images. It primarily performs operations related to dataset creation, image annotation, deletion, and rendering settings management. The main purpose of this software component seems to be data analysis for machine learning purposes.
However, without additional context or specific functionality details from the code itself,</t>
        </is>
      </c>
      <c r="M1317" t="n">
        <v>0.0037</v>
      </c>
      <c r="N1317" t="n">
        <v>0.0833</v>
      </c>
      <c r="O1317" t="n">
        <v>0.2321</v>
      </c>
    </row>
    <row r="1318">
      <c r="A1318" t="inlineStr">
        <is>
          <t>openmicroscopy</t>
        </is>
      </c>
      <c r="B1318" t="inlineStr">
        <is>
          <t>components/tools/OmeroJava/test/integration/ExtendedAnnotationTest.java</t>
        </is>
      </c>
      <c r="C1318">
        <f>HYPERLINK("https://github.com/ome/openmicroscopy/blob/master/components/tools/OmeroJava/test/integration/ExtendedAnnotationTest.java")</f>
        <v/>
      </c>
      <c r="D1318" t="inlineStr">
        <is>
          <t>&lt;!-- This is a summary of the provided code --&gt;
The given Java program appears to be an open source software distributed under GNU General Public License (GPL). The license allows users to freely redistribute and modify it as long as they comply with certain conditions such as including the original copyright notice and disclaimers in their derivative works. 
It's designed for</t>
        </is>
      </c>
      <c r="E1318" t="n">
        <v>0.0039</v>
      </c>
      <c r="F1318" t="n">
        <v>0.08699999999999999</v>
      </c>
      <c r="G1318" t="n">
        <v>0.1119</v>
      </c>
      <c r="H1318" t="inlineStr">
        <is>
          <t>The provided code is a Java package named "integration". It imports several necessary classes from the java.util library for use in its methods and interfaces. The class contains two main functionalities - core algorithms implementation (complexity O(n)) and handling of data structures like Lists and Maps. There are also UUID generation capabilities included to ensure unique identifiers for each object handled by this</t>
        </is>
      </c>
      <c r="I1318" t="n">
        <v>0.0034</v>
      </c>
      <c r="J1318" t="n">
        <v>0.0556</v>
      </c>
      <c r="K1318" t="n">
        <v>0.1852</v>
      </c>
      <c r="L1318" t="inlineStr">
        <is>
          <t>The provided code is a Java program that integrates different microservices using the Spring framework and Apache Camel for integration purposes. The main purpose of this software component appears to be managing communication between various services in an asynchronous manner by utilizing message queues (RabbitMQ). 
It provides functionalities such as service registration, discovery, routing messages based on predefined rules</t>
        </is>
      </c>
      <c r="M1318" t="n">
        <v>0.0037</v>
      </c>
      <c r="N1318" t="n">
        <v>0.0896</v>
      </c>
      <c r="O1318" t="n">
        <v>0.2409</v>
      </c>
    </row>
    <row r="1319">
      <c r="A1319" t="inlineStr">
        <is>
          <t>openmicroscopy</t>
        </is>
      </c>
      <c r="B1319" t="inlineStr">
        <is>
          <t>components/tools/OmeroJava/test/integration/ImportLibraryTest.java</t>
        </is>
      </c>
      <c r="C1319">
        <f>HYPERLINK("https://github.com/ome/openmicroscopy/blob/master/components/tools/OmeroJava/test/integration/ImportLibraryTest.java")</f>
        <v/>
      </c>
      <c r="D1319" t="inlineStr">
        <is>
          <t>The provided code is a Java implementation of core algorithms and it's free software under the terms of GNU General Public License v2 or later. It contains comments explaining its functionality but doesn't repeat any code. The copyright notice indicates that this program can be freely distributed and modified by users as per the conditions mentioned in the license.
The complexity of this code seems to be O(</t>
        </is>
      </c>
      <c r="E1319" t="n">
        <v>0.0038</v>
      </c>
      <c r="F1319" t="n">
        <v>0.1026</v>
      </c>
      <c r="G1319" t="n">
        <v>0.2143</v>
      </c>
      <c r="H1319" t="inlineStr">
        <is>
          <t>The provided code is a Java implementation of the addition function using GNU General Public License (GPL). The complexity of this operation is O(1), meaning it takes constant time regardless of the size of input data. This means that the runtime will remain consistent even as the number of elements increases in an array or list.
The GPL license allows users to modify and distribute the software for</t>
        </is>
      </c>
      <c r="I1319" t="n">
        <v>0.0035</v>
      </c>
      <c r="J1319" t="n">
        <v>0.0779</v>
      </c>
      <c r="K1319" t="n">
        <v>0.1786</v>
      </c>
      <c r="L1319" t="inlineStr">
        <is>
          <t>The provided code appears to be a Java package named "integration". It is designed for performing integration operations on data sets and may contain various methods related to numerical integration techniques such as the trapezoidal rule or Simpson's method. The main purpose of this package seems to be calculating an approximation of definite integrals using these algorithms.
Inputs would likely include two parameters -</t>
        </is>
      </c>
      <c r="M1319" t="n">
        <v>0.0028</v>
      </c>
      <c r="N1319" t="n">
        <v>0.0278</v>
      </c>
      <c r="O1319" t="n">
        <v>0.1103</v>
      </c>
    </row>
    <row r="1320">
      <c r="A1320" t="inlineStr">
        <is>
          <t>openmicroscopy</t>
        </is>
      </c>
      <c r="B1320" t="inlineStr">
        <is>
          <t>components/tools/OmeroJava/test/integration/TableTest.java</t>
        </is>
      </c>
      <c r="C1320">
        <f>HYPERLINK("https://github.com/ome/openmicroscopy/blob/master/components/tools/OmeroJava/test/integration/TableTest.java")</f>
        <v/>
      </c>
      <c r="D1320" t="inlineStr">
        <is>
          <t>ThisisatestingframeworkforJavaapplicationsthatfocusesontestingtableoperations.Itusesseveralannotationsthatallowforsettinguppreconditionsbeforetestsrunandcleaningupsafter.Therearemultiplemethodsdefinedtohandlecreationoftable,addingdata,readingdata,updatingdataanddeletingdatainaHBaseimplementedbyORER</t>
        </is>
      </c>
      <c r="E1320" t="n">
        <v>0</v>
      </c>
      <c r="F1320" t="n">
        <v>0</v>
      </c>
      <c r="G1320" t="n">
        <v>0</v>
      </c>
      <c r="H1320" t="inlineStr">
        <is>
          <t>The provided code is a Java class named "TableTest" that extends an abstract base test class called "AbstractServerTest". This class contains several tests for handling tables in the Omero server system. The complexity of these operations are not explicitly stated but they could be considered as O(n), where n represents the number of rows or columns to handle.
In this context, it</t>
        </is>
      </c>
      <c r="I1320" t="n">
        <v>0.0029</v>
      </c>
      <c r="J1320" t="n">
        <v>0.0282</v>
      </c>
      <c r="K1320" t="n">
        <v>0.0373</v>
      </c>
      <c r="L1320" t="inlineStr">
        <is>
          <t>```python
# The code is a Java program that tests the functionality of table handling in an integration package. 
# It uses TestNG for testing and has been written by Brian Loranger since version 3.0-Beta4 of the software.
# This repository contains backend software components related to data manipulation or processing tasks. 
# The main purpose</t>
        </is>
      </c>
      <c r="M1320" t="n">
        <v>0.0046</v>
      </c>
      <c r="N1320" t="n">
        <v>0.0645</v>
      </c>
      <c r="O1320" t="n">
        <v>0.1563</v>
      </c>
    </row>
    <row r="1321">
      <c r="A1321" t="inlineStr">
        <is>
          <t>openmicroscopy</t>
        </is>
      </c>
      <c r="B1321" t="inlineStr">
        <is>
          <t>components/tools/OmeroJava/test/integration/MapAnnotationTest.java</t>
        </is>
      </c>
      <c r="C1321">
        <f>HYPERLINK("https://github.com/ome/openmicroscopy/blob/master/components/tools/OmeroJava/test/integration/MapAnnotationTest.java")</f>
        <v/>
      </c>
      <c r="D1321" t="inlineStr">
        <is>
          <t>The provided code is a Java program that appears to be part of an OMERO server integration package. It's licensed under the GNU General Public License (GPL). The software is distributed with no warranty and can be freely redistributed or modified as per the terms of the GPL license. 
It implements core algorithms for data processing related to image analysis in bio</t>
        </is>
      </c>
      <c r="E1321" t="n">
        <v>0.0074</v>
      </c>
      <c r="F1321" t="n">
        <v>0.08450000000000001</v>
      </c>
      <c r="G1321" t="n">
        <v>0.2776</v>
      </c>
      <c r="H1321" t="inlineStr">
        <is>
          <t>The given code is a Java program that appears to be part of an integration package for the Omero image server software. It contains comments explaining its license and purpose. The main function seems to contain queries against the IQueryPrx interface in omero.api, possibly performing some sort of update operation with the IUpdatePRX interface as well. This could involve complex algorithms or operations on</t>
        </is>
      </c>
      <c r="I1321" t="n">
        <v>0.0034</v>
      </c>
      <c r="J1321" t="n">
        <v>0.0548</v>
      </c>
      <c r="K1321" t="n">
        <v>0.1103</v>
      </c>
      <c r="L1321" t="inlineStr">
        <is>
          <t>The provided code is part of a backend software component for an image analysis system using the Open Microscopy Environment (OME). It appears to be implementing integration with another server through OMERO's API, specifically `IQueryPrx` and `IUpdatePSummary` interfaces. 
It defines two main classes: `IntegrationServiceImpl` which implements `IInt</t>
        </is>
      </c>
      <c r="M1321" t="n">
        <v>0.0051</v>
      </c>
      <c r="N1321" t="n">
        <v>0.1071</v>
      </c>
      <c r="O1321" t="n">
        <v>0.1681</v>
      </c>
    </row>
    <row r="1322">
      <c r="A1322" t="inlineStr">
        <is>
          <t>openmicroscopy</t>
        </is>
      </c>
      <c r="B1322" t="inlineStr">
        <is>
          <t>components/tools/OmeroJava/test/integration/RenderingSettingsServicePermissionsTest.java</t>
        </is>
      </c>
      <c r="C1322">
        <f>HYPERLINK("https://github.com/ome/openmicroscopy/blob/master/components/tools/OmeroJava/test/integration/RenderingSettingsServicePermissionsTest.java")</f>
        <v/>
      </c>
      <c r="D1322" t="inlineStr">
        <is>
          <t>The code provided is a set of tests for rendering settings in the Open Microscopy Environment (OME). It imports various classes and packages from OME libraries such as omero.api, omero.cmd, omero.gateway.util, omero.model, and org.testng. The main functionality seems to be testing different aspects related to group permissions</t>
        </is>
      </c>
      <c r="E1322" t="n">
        <v>0.0046</v>
      </c>
      <c r="F1322" t="n">
        <v>0.0328</v>
      </c>
      <c r="G1322" t="n">
        <v>0.08400000000000001</v>
      </c>
      <c r="H1322" t="inlineStr">
        <is>
          <t>The provided code is a Java program that appears to be part of an integration package for microscopy software. It includes several import statements and classes from the omero API which are likely used for handling image data in this context. The main function or method defined seems to be `add` which takes two parameters (numbers), adds them together, and returns the result. This operation has a</t>
        </is>
      </c>
      <c r="I1322" t="n">
        <v>0.0032</v>
      </c>
      <c r="J1322" t="n">
        <v>0.08</v>
      </c>
      <c r="K1322" t="n">
        <v>0.1079</v>
      </c>
      <c r="L1322" t="inlineStr">
        <is>
          <t>The provided code is a Java program that interacts with the OMERO server using its API. The main purpose of this code seems to be testing rendering settings based on user groups permissions. It does so by creating instances of classes and interfaces from the omero package (which likely contains core functionalities for interacting with an OMERO server) and then uses these objects to perform various operations related</t>
        </is>
      </c>
      <c r="M1322" t="n">
        <v>0.0032</v>
      </c>
      <c r="N1322" t="n">
        <v>0.1053</v>
      </c>
      <c r="O1322" t="n">
        <v>0.2254</v>
      </c>
    </row>
    <row r="1323">
      <c r="A1323" t="inlineStr">
        <is>
          <t>openmicroscopy</t>
        </is>
      </c>
      <c r="B1323" t="inlineStr">
        <is>
          <t>components/tools/OmeroJava/test/integration/PixelsServiceTest.java</t>
        </is>
      </c>
      <c r="C1323">
        <f>HYPERLINK("https://github.com/ome/openmicroscopy/blob/master/components/tools/OmeroJava/test/integration/PixelsServiceTest.java")</f>
        <v/>
      </c>
      <c r="D1323" t="inlineStr">
        <is>
          <t>The provided code appears to be a Java implementation of some form of data acquisition and processing system using the Omero API for image analysis. The complexity is estimated at O(N), where N represents the number of operations or elements being processed. It includes import statements for various packages related to scientific computing, including omero (a library that provides classes for handling images). This software seems to have</t>
        </is>
      </c>
      <c r="E1323" t="n">
        <v>0.0063</v>
      </c>
      <c r="F1323" t="n">
        <v>0.0519</v>
      </c>
      <c r="G1323" t="n">
        <v>0.2657</v>
      </c>
      <c r="H1323" t="inlineStr">
        <is>
          <t>The provided code is a Java package named "integration". It contains several import statements for various classes and interfaces from the omero library. The main class seems to be responsible for handling image data related operations such as acquisition mode settings, binning configurations, channel definitions etc., using an object-oriented approach. 
The function add() does not seem to exist in this context but</t>
        </is>
      </c>
      <c r="I1323" t="n">
        <v>0.0029</v>
      </c>
      <c r="J1323" t="n">
        <v>0.0282</v>
      </c>
      <c r="K1323" t="n">
        <v>0.1119</v>
      </c>
      <c r="L1323" t="inlineStr">
        <is>
          <t>The provided code is a Java program that interacts with OMERO (a data management platform) through its API to perform various image processing tasks such as setting up rendering settings and acquisition modes for an experiment. The main purpose of the code seems to be managing images by creating channels, applying corrections, adjusting binning etc. It also deals with different types of detectors, experiments, filters,</t>
        </is>
      </c>
      <c r="M1323" t="n">
        <v>0.0028</v>
      </c>
      <c r="N1323" t="n">
        <v>0.0274</v>
      </c>
      <c r="O1323" t="n">
        <v>0.0365</v>
      </c>
    </row>
    <row r="1324">
      <c r="A1324" t="inlineStr">
        <is>
          <t>openmicroscopy</t>
        </is>
      </c>
      <c r="B1324" t="inlineStr">
        <is>
          <t>components/tools/OmeroJava/test/integration/DiskUsageTest.java</t>
        </is>
      </c>
      <c r="C1324">
        <f>HYPERLINK("https://github.com/ome/openmicroscopy/blob/master/components/tools/OmeroJava/test/integration/DiskUsageTest.java")</f>
        <v/>
      </c>
      <c r="D1324" t="inlineStr">
        <is>
          <t>The code you provided appears to be a Java program with GNU General Public License (GPL). It is designed for data processing and manipulation related tasks in the context of an image analysis software environment. The license allows users to freely use, modify, and distribute it as long as they comply with the terms of the GPL version 2 or later. This includes providing copies of your</t>
        </is>
      </c>
      <c r="E1324" t="n">
        <v>0.0036</v>
      </c>
      <c r="F1324" t="n">
        <v>0.0533</v>
      </c>
      <c r="G1324" t="n">
        <v>0.1079</v>
      </c>
      <c r="H1324" t="inlineStr">
        <is>
          <t>The code you provided is a simple function for addition of two numbers in Python. The functionality is straightforward and can be summarized as follows:
```python
# This function takes two parameters (numbers), adds them together 
# and returns the result. It operates with a time complexity of O(1).
def add(a, b):
    return a +</t>
        </is>
      </c>
      <c r="I1324" t="n">
        <v>0.0044</v>
      </c>
      <c r="J1324" t="n">
        <v>0.0968</v>
      </c>
      <c r="K1324" t="n">
        <v>0.1181</v>
      </c>
      <c r="L1324" t="inlineStr">
        <is>
          <t>The provided code is a Java program that integrates different files and directories into one large file for further processing or analysis. The main purpose of this software component is to merge multiple smaller files (specified by the input collection `files`) into a single output file named "merged_data". 
It does so through an algorithmic process which iteratively reads each file in the</t>
        </is>
      </c>
      <c r="M1324" t="n">
        <v>0.0035</v>
      </c>
      <c r="N1324" t="n">
        <v>0.0563</v>
      </c>
      <c r="O1324" t="n">
        <v>0.1907</v>
      </c>
    </row>
    <row r="1325">
      <c r="A1325" t="inlineStr">
        <is>
          <t>openmicroscopy</t>
        </is>
      </c>
      <c r="B1325" t="inlineStr">
        <is>
          <t>components/tools/OmeroJava/test/integration/ConfigurationServiceTest.java</t>
        </is>
      </c>
      <c r="C1325">
        <f>HYPERLINK("https://github.com/ome/openmicroscopy/blob/master/components/tools/OmeroJava/test/integration/ConfigurationServiceTest.java")</f>
        <v/>
      </c>
      <c r="D1325" t="inlineStr">
        <is>
          <t>The provided code is a Java class for testing the functionality of an `IConfig` service using TestNG framework. The tests are designed to test various methods and functionalities related to this service. It also uses other libraries such as Apache Commons BeanUtils for property manipulation and org.testng for unit testing. The complexity of these operations can be considered O(N), where N represents the</t>
        </is>
      </c>
      <c r="E1325" t="n">
        <v>0.0034</v>
      </c>
      <c r="F1325" t="n">
        <v>0.0548</v>
      </c>
      <c r="G1325" t="n">
        <v>0.1111</v>
      </c>
      <c r="H1325" t="inlineStr">
        <is>
          <t>The code provided is a Java class with several import statements and an `add` method defined within it. This function takes in two parameters (a, b), adds them together, and returns the result. The time complexity of this operation is O(1).
In summary, this code represents a simple addition functionality where given any two numbers, they are added together to produce a new number</t>
        </is>
      </c>
      <c r="I1325" t="n">
        <v>0.0037</v>
      </c>
      <c r="J1325" t="n">
        <v>0.0822</v>
      </c>
      <c r="K1325" t="n">
        <v>0.1103</v>
      </c>
      <c r="L1325" t="inlineStr">
        <is>
          <t>The provided code is a Java program that interacts with the OMERO (Optical Microscopy and Electrophysiology Research Object) system through its API for integration purposes. It contains several import statements indicating dependencies on external libraries such as Apache Commons Bean Utilities, TestNG, etc. The main class seems to be `IntegrationTests` which has methods annotated with @Test</t>
        </is>
      </c>
      <c r="M1325" t="n">
        <v>0.0033</v>
      </c>
      <c r="N1325" t="n">
        <v>0.0312</v>
      </c>
      <c r="O1325" t="n">
        <v>0.0391</v>
      </c>
    </row>
    <row r="1326">
      <c r="A1326" t="inlineStr">
        <is>
          <t>openmicroscopy</t>
        </is>
      </c>
      <c r="B1326" t="inlineStr">
        <is>
          <t>components/tools/OmeroJava/test/integration/MetadataServiceTest.java</t>
        </is>
      </c>
      <c r="C1326">
        <f>HYPERLINK("https://github.com/ome/openmicroscopy/blob/master/components/tools/OmeroJava/test/integration/MetadataServiceTest.java")</f>
        <v/>
      </c>
      <c r="D1326" t="inlineStr">
        <is>
          <t>The code provided appears to be a Java program that interacts with the Omero system through its API for managing datasets and annotations in microscopy images. The complexity of this code is estimated at O(N), where N represents the number of operations or data points processed by the algorithm implemented within it. This includes interactions with various classes and interfaces from the Omero library such as I</t>
        </is>
      </c>
      <c r="E1326" t="n">
        <v>0.0032</v>
      </c>
      <c r="F1326" t="n">
        <v>0.0789</v>
      </c>
      <c r="G1326" t="n">
        <v>0.1079</v>
      </c>
      <c r="H1326" t="inlineStr">
        <is>
          <t>The provided code is a Java package named "integration". It imports various classes and interfaces from the omero API for handling jobs, logging in to systems, managing metadata, creating datasets, and annotating them with different types of data like booleans or comments. The complexity seems to be O(n), as it appears that there are loops iterating over collections (like ArrayL</t>
        </is>
      </c>
      <c r="I1326" t="n">
        <v>0.003</v>
      </c>
      <c r="J1326" t="n">
        <v>0.029</v>
      </c>
      <c r="K1326" t="n">
        <v>0.0379</v>
      </c>
      <c r="L1326" t="inlineStr">
        <is>
          <t>The provided code is part of a backend software component for data integration and management in an Omero server environment. It uses the OMERO system API to interact with various services such as login, metadata service, admin service, etc. The main purpose of this code seems to be managing datasets along with their associated annotations (like comments or boolean values) within different channels using various acquisition modes.</t>
        </is>
      </c>
      <c r="M1326" t="n">
        <v>0.0032</v>
      </c>
      <c r="N1326" t="n">
        <v>0.0533</v>
      </c>
      <c r="O1326" t="n">
        <v>0.1439</v>
      </c>
    </row>
    <row r="1327">
      <c r="A1327" t="inlineStr">
        <is>
          <t>openmicroscopy</t>
        </is>
      </c>
      <c r="B1327" t="inlineStr">
        <is>
          <t>components/tools/OmeroJava/test/integration/PermissionsTestAll.java</t>
        </is>
      </c>
      <c r="C1327">
        <f>HYPERLINK("https://github.com/ome/openmicroscopy/blob/master/components/tools/OmeroJava/test/integration/PermissionsTestAll.java")</f>
        <v/>
      </c>
      <c r="D1327" t="inlineStr">
        <is>
          <t>The provided code is a Java program with the copyright notice at the top and GNU General Public License (GPL). It appears to be part of an integration package for backend software components. The complexity seems O(N), indicating that it may involve iteration or recursion over some data structure where N represents the size of this data structure. There are also comments explaining implementation details which could hint towards core algorithms</t>
        </is>
      </c>
      <c r="E1327" t="n">
        <v>0.0034</v>
      </c>
      <c r="F1327" t="n">
        <v>0.075</v>
      </c>
      <c r="G1327" t="n">
        <v>0.2098</v>
      </c>
      <c r="H1327" t="inlineStr">
        <is>
          <t>The provided code is a Java package named "integration" that contains an implementation of core algorithms for addition operation. The function add takes two parameters and returns their sum. This functionality can be summarized as follows:
```plaintext
Package Name: integration
Functionality: Implements basic arithmetic operations (addition).
Input Parameters: Two numbers to perform the addition on.</t>
        </is>
      </c>
      <c r="I1327" t="n">
        <v>0.0047</v>
      </c>
      <c r="J1327" t="n">
        <v>0.127</v>
      </c>
      <c r="K1327" t="n">
        <v>0.1969</v>
      </c>
      <c r="L1327" t="inlineStr">
        <is>
          <t>The code provided is a Java program that integrates two different algorithms from the Apache Commons library (specifically, it uses the Levenshtein Distance algorithm). The main purpose of this software component appears to be calculating and comparing similarity between strings using an edit distance metric known as the Levenshtein Distance. This implementation provides methods for finding the minimum number of single-character edits required</t>
        </is>
      </c>
      <c r="M1327" t="n">
        <v>0.0038</v>
      </c>
      <c r="N1327" t="n">
        <v>0.0833</v>
      </c>
      <c r="O1327" t="n">
        <v>0.1852</v>
      </c>
    </row>
    <row r="1328">
      <c r="A1328" t="inlineStr">
        <is>
          <t>openmicroscopy</t>
        </is>
      </c>
      <c r="B1328" t="inlineStr">
        <is>
          <t>components/tools/OmeroJava/test/integration/ProjectionServiceTest.java</t>
        </is>
      </c>
      <c r="C1328">
        <f>HYPERLINK("https://github.com/ome/openmicroscopy/blob/master/components/tools/OmeroJava/test/integration/ProjectionServiceTest.java")</f>
        <v/>
      </c>
      <c r="D1328" t="inlineStr">
        <is>
          <t>The provided code is a test class for the projection service of an image using different users in all groups type. It tests some methods by bypassing invalid parameters. The copyright information indicates that it's licensed under certain terms as stated in LICENSE.txt file. This code uses TestNG framework to run its tests and assertions are used to validate results. There are comments explaining what each part</t>
        </is>
      </c>
      <c r="E1328" t="n">
        <v>0.0032</v>
      </c>
      <c r="F1328" t="n">
        <v>0.0519</v>
      </c>
      <c r="G1328" t="n">
        <v>0.1079</v>
      </c>
      <c r="H1328" t="inlineStr">
        <is>
          <t>The provided code is a Java test class for testing the projection of an image by different users in all group types. It extends an abstract server test and contains several tests to validate methods with varying parameters. The copyright notice at the top indicates that this software may be used under certain terms specified in LICENSE.txt.
The function `add` takes two numbers as input and returns their</t>
        </is>
      </c>
      <c r="I1328" t="n">
        <v>0.0032</v>
      </c>
      <c r="J1328" t="n">
        <v>0.1039</v>
      </c>
      <c r="K1328" t="n">
        <v>0.2254</v>
      </c>
      <c r="L1328" t="inlineStr">
        <is>
          <t>The provided code is a test class for the ProjectionService in an image processing software system. The main purpose of this class is to validate the projection functionality by testing it with different users and groups types. It also tests some methods bypassing invalid parameters.
The input to the function are not explicitly mentioned but based on context, it could be images or user credentials which might include group type</t>
        </is>
      </c>
      <c r="M1328" t="n">
        <v>0.0034</v>
      </c>
      <c r="N1328" t="n">
        <v>0.0769</v>
      </c>
      <c r="O1328" t="n">
        <v>0.1408</v>
      </c>
    </row>
    <row r="1329">
      <c r="A1329" t="inlineStr">
        <is>
          <t>openmicroscopy</t>
        </is>
      </c>
      <c r="B1329" t="inlineStr">
        <is>
          <t>components/tools/OmeroJava/test/integration/DuplicationTest.java</t>
        </is>
      </c>
      <c r="C1329">
        <f>HYPERLINK("https://github.com/ome/openmicroscopy/blob/master/components/tools/OmeroJava/test/integration/DuplicationTest.java")</f>
        <v/>
      </c>
      <c r="D1329" t="inlineStr">
        <is>
          <t>The code provided appears to be a Java program with the GNU General Public License at the top of it indicating its free software nature and license details. It seems to contain some basic functionality for handling data structures like ArrayList, HashMap etc. The repository also contains comments about implementation of core algorithms which could indicate that this is part of an overall system or application. However, without seeing the actual code, I</t>
        </is>
      </c>
      <c r="E1329" t="n">
        <v>0.0035</v>
      </c>
      <c r="F1329" t="n">
        <v>0.0741</v>
      </c>
      <c r="G1329" t="n">
        <v>0.2069</v>
      </c>
      <c r="H1329" t="inlineStr">
        <is>
          <t>The provided code is a Java function for addition of two numbers (`add()`). It takes in two parameters `a` and `b` which are the numbers to be added together. The complexity of this operation is O(1), meaning it performs a fixed number of operations regardless of input size.
Here's a concise summary of its functionality: 
```</t>
        </is>
      </c>
      <c r="I1329" t="n">
        <v>0.0033</v>
      </c>
      <c r="J1329" t="n">
        <v>0.0615</v>
      </c>
      <c r="K1329" t="n">
        <v>0.1172</v>
      </c>
      <c r="L1329" t="inlineStr">
        <is>
          <t>The provided code appears to be a Java implementation of an algorithm for integration using the trapezoidal rule method. The main purpose is to calculate the integral value over a given range by dividing it into small intervals and approximating each area with a trapezoid. 
Inputs are two arrays - x values (representing points along the abscissa axis) and y</t>
        </is>
      </c>
      <c r="M1329" t="n">
        <v>0.003</v>
      </c>
      <c r="N1329" t="n">
        <v>0.0597</v>
      </c>
      <c r="O1329" t="n">
        <v>0.1136</v>
      </c>
    </row>
    <row r="1330">
      <c r="A1330" t="inlineStr">
        <is>
          <t>openmicroscopy</t>
        </is>
      </c>
      <c r="B1330" t="inlineStr">
        <is>
          <t>components/tools/OmeroJava/test/integration/AgentTest.java</t>
        </is>
      </c>
      <c r="C1330">
        <f>HYPERLINK("https://github.com/ome/openmicroscopy/blob/master/components/tools/OmeroJava/test/integration/AgentTest.java")</f>
        <v/>
      </c>
      <c r="D1330" t="inlineStr">
        <is>
          <t>The code is a test case for changing the User Agent when creating sessions in an OMERO server using TestNG framework and Guava library. It tests whether the session creation process correctly sets the user agent to "sessionTestAgent". The ImmutableMap TEST_AGENT_CONTEXT is used as context with key-value pair of omero.constants.AGENT (key</t>
        </is>
      </c>
      <c r="E1330" t="n">
        <v>0.0036</v>
      </c>
      <c r="F1330" t="n">
        <v>0.0312</v>
      </c>
      <c r="G1330" t="n">
        <v>0.0813</v>
      </c>
      <c r="H1330" t="inlineStr">
        <is>
          <t>The code you provided is a Java function for adding two numbers (`a` and `b`). The functionality of this code can be summarized as follows:
- It defines a method named "add". 
- This method takes in two parameters - 'a' and 'b'.
- Inside the body of the method, it returns the sum of these two inputs using</t>
        </is>
      </c>
      <c r="I1330" t="n">
        <v>0.0041</v>
      </c>
      <c r="J1330" t="n">
        <v>0.0635</v>
      </c>
      <c r="K1330" t="n">
        <v>0.1527</v>
      </c>
      <c r="L1330" t="inlineStr">
        <is>
          <t>The provided code is a test class for changing the User Agent when creating sessions in an OMERO server using TestNG framework. The main purpose of this class is to verify if setting up session with specific user agent works correctly or not. It does so by testing different scenarios and asserting whether expected result matches actual one or not. This helps maintain the integrity and correctness of the system under test</t>
        </is>
      </c>
      <c r="M1330" t="n">
        <v>0.003</v>
      </c>
      <c r="N1330" t="n">
        <v>0.05</v>
      </c>
      <c r="O1330" t="n">
        <v>0.1042</v>
      </c>
    </row>
    <row r="1331">
      <c r="A1331" t="inlineStr">
        <is>
          <t>openmicroscopy</t>
        </is>
      </c>
      <c r="B1331" t="inlineStr">
        <is>
          <t>components/tools/OmeroJava/test/integration/RenderingEngineTest.java</t>
        </is>
      </c>
      <c r="C1331">
        <f>HYPERLINK("https://github.com/ome/openmicroscopy/blob/master/components/tools/OmeroJava/test/integration/RenderingEngineTest.java")</f>
        <v/>
      </c>
      <c r="D1331" t="inlineStr">
        <is>
          <t>The provided code is a Java application that interacts with the Omero server for image processing and rendering tasks. It imports various packages including java.awt (for handling images), javax.imageio (for reading/writing images), ome.conditions (custom exceptions), ome.specification (mock objects &amp; XML writer classes), and ome.roi (region</t>
        </is>
      </c>
      <c r="E1331" t="n">
        <v>0.0041</v>
      </c>
      <c r="F1331" t="n">
        <v>0.0345</v>
      </c>
      <c r="G1331" t="n">
        <v>0.0427</v>
      </c>
      <c r="H1331" t="inlineStr">
        <is>
          <t>The provided code is a Java program that appears to be part of an image processing library or framework. It imports several classes from the java.awt and java.awt.image packages for working with images, as well as other classes related to XML handling and rendering engine usage. The main functionality seems to involve some form of image manipulation based on input parameters. 
However, without</t>
        </is>
      </c>
      <c r="I1331" t="n">
        <v>0.0034</v>
      </c>
      <c r="J1331" t="n">
        <v>0.027</v>
      </c>
      <c r="K1331" t="n">
        <v>0.0741</v>
      </c>
      <c r="L1331" t="inlineStr">
        <is>
          <t>The provided code is a Java program that performs image processing tasks using the OMERO (Optical Microscopy and Electronic Retrieval) API. The main purpose of this code seems to be rendering images based on user's specifications and writing them as XML files for further analysis or use in other applications.
Here are some key operations performed by the code:
1</t>
        </is>
      </c>
      <c r="M1331" t="n">
        <v>0.003</v>
      </c>
      <c r="N1331" t="n">
        <v>0.058</v>
      </c>
      <c r="O1331" t="n">
        <v>0.1136</v>
      </c>
    </row>
    <row r="1332">
      <c r="A1332" t="inlineStr">
        <is>
          <t>openmicroscopy</t>
        </is>
      </c>
      <c r="B1332" t="inlineStr">
        <is>
          <t>components/tools/OmeroJava/test/integration/RepositoryServiceTest.java</t>
        </is>
      </c>
      <c r="C1332">
        <f>HYPERLINK("https://github.com/ome/openmicroscopy/blob/master/components/tools/OmeroJava/test/integration/RepositoryServiceTest.java")</f>
        <v/>
      </c>
      <c r="D1332" t="inlineStr">
        <is>
          <t>The code is a test class for the Repository service using TestNG framework in Java. It tests the functionality of getFreeSpaceInKilobytes method from the IRepositoryInfoPrx interface by invoking it and asserting its response against expected values or conditions. The author has provided contact information to reach out with any queries related to this code. This code also includes comments explaining the</t>
        </is>
      </c>
      <c r="E1332" t="n">
        <v>0.0039</v>
      </c>
      <c r="F1332" t="n">
        <v>0.058</v>
      </c>
      <c r="G1332" t="n">
        <v>0.1128</v>
      </c>
      <c r="H1332" t="inlineStr">
        <is>
          <t>The function `add` is a simple mathematical operation that takes two numbers as input and returns their sum. It operates with constant time complexity O(1), meaning it performs the same number of operations regardless of the size of the inputs.
```java
int add(int a, int b){
    return a + b;  // Adding 'a' to 'b'.</t>
        </is>
      </c>
      <c r="I1332" t="n">
        <v>0.0033</v>
      </c>
      <c r="J1332" t="n">
        <v>0.0635</v>
      </c>
      <c r="K1332" t="n">
        <v>0.07870000000000001</v>
      </c>
      <c r="L1332" t="inlineStr">
        <is>
          <t>The code provided is a test suite for the Repository service in Omero (a bio-image data management system). The tests are designed to verify that the `getFreeSpaceInKilobytes` method works correctly by testing its functionality and ensuring it does not throw any exceptions. This function returns the amount of free space available on disk where the repository resides in kiloby</t>
        </is>
      </c>
      <c r="M1332" t="n">
        <v>0.0072</v>
      </c>
      <c r="N1332" t="n">
        <v>0.0588</v>
      </c>
      <c r="O1332" t="n">
        <v>0.1951</v>
      </c>
    </row>
    <row r="1333">
      <c r="A1333" t="inlineStr">
        <is>
          <t>openmicroscopy</t>
        </is>
      </c>
      <c r="B1333" t="inlineStr">
        <is>
          <t>components/tools/OmeroJava/test/integration/DeleteServiceTest.java</t>
        </is>
      </c>
      <c r="C1333">
        <f>HYPERLINK("https://github.com/ome/openmicroscopy/blob/master/components/tools/OmeroJava/test/integration/DeleteServiceTest.java")</f>
        <v/>
      </c>
      <c r="D1333" t="inlineStr">
        <is>
          <t>The code provided appears to be a Java class or package named "integration" that is part of the Omero project (a bioimaging platform). It imports various packages and classes from other projects such as ome.formats, ome.specification, XMLWriter, IMetadataPrx, IPixelsPrx, IRenderingSettingsPrx, RawFileStore</t>
        </is>
      </c>
      <c r="E1333" t="n">
        <v>0.0045</v>
      </c>
      <c r="F1333" t="n">
        <v>0.0392</v>
      </c>
      <c r="G1333" t="n">
        <v>0.0885</v>
      </c>
      <c r="H1333" t="inlineStr">
        <is>
          <t>ThegivenJava code is a part of an integration package for Omero image processing software. It imports various classes and interfaces from the omero API to handle metadata operations on datasets in this software. The main functionality seems to be related to deleting data entries using the Delete class imported at the top of the file. This operation might involve removing specific rows or columns based on certain conditions defined by</t>
        </is>
      </c>
      <c r="I1333" t="n">
        <v>0.0034</v>
      </c>
      <c r="J1333" t="n">
        <v>0.0769</v>
      </c>
      <c r="K1333" t="n">
        <v>0.1056</v>
      </c>
      <c r="L1333" t="inlineStr">
        <is>
          <t>The provided code is a Java application that interacts with OMERO server using the OMERO API to manage and manipulate image data stored in datasets. The main purpose of this code seems to be the integration between an external system (possibly another software or service) and OMERO for managing metadata associated with images.
Here are some key operations performed by the code:</t>
        </is>
      </c>
      <c r="M1333" t="n">
        <v>0.0035</v>
      </c>
      <c r="N1333" t="n">
        <v>0.0857</v>
      </c>
      <c r="O1333" t="n">
        <v>0.1493</v>
      </c>
    </row>
    <row r="1334">
      <c r="A1334" t="inlineStr">
        <is>
          <t>openmicroscopy</t>
        </is>
      </c>
      <c r="B1334" t="inlineStr">
        <is>
          <t>components/tools/OmeroJava/test/integration/ModelMockFactory.java</t>
        </is>
      </c>
      <c r="C1334">
        <f>HYPERLINK("https://github.com/ome/openmicroscopy/blob/master/components/tools/OmeroJava/test/integration/ModelMockFactory.java")</f>
        <v/>
      </c>
      <c r="D1334" t="inlineStr">
        <is>
          <t>The provided code is a Java program that appears to be part of an integration between the Omero server and other software systems. It imports various packages for handling images (`java.awt.image.BufferedImage`), file manipulation (`java.io.File`), UUID generation (`java.util.UUID`), image I/O operations (`javax.</t>
        </is>
      </c>
      <c r="E1334" t="n">
        <v>0.0054</v>
      </c>
      <c r="F1334" t="n">
        <v>0.0351</v>
      </c>
      <c r="G1334" t="n">
        <v>0.1327</v>
      </c>
      <c r="H1334" t="inlineStr">
        <is>
          <t>The provided code is a Java program that appears to be part of an integration package for image processing and data management system (likely based on Ome format). It imports several packages including java.awt.image, java.io, java.lang.reflect, java.util etc., which are commonly used in Java programming. The main functionality seems to be related to the addition operation between two numbers</t>
        </is>
      </c>
      <c r="I1334" t="n">
        <v>0.0037</v>
      </c>
      <c r="J1334" t="n">
        <v>0.0274</v>
      </c>
      <c r="K1334" t="n">
        <v>0.07630000000000001</v>
      </c>
      <c r="L1334" t="inlineStr">
        <is>
          <t>The provided code is a Java class file that appears to be part of an image processing and data management system. It imports several packages including java.awt.image, java.io, java.lang.reflect, java.util, javax.imageio, com.google.common.collect, ome.formats.model, ome.units, and o</t>
        </is>
      </c>
      <c r="M1334" t="n">
        <v>0.0052</v>
      </c>
      <c r="N1334" t="n">
        <v>0.0351</v>
      </c>
      <c r="O1334" t="n">
        <v>0.0926</v>
      </c>
    </row>
    <row r="1335">
      <c r="A1335" t="inlineStr">
        <is>
          <t>openmicroscopy</t>
        </is>
      </c>
      <c r="B1335" t="inlineStr">
        <is>
          <t>components/tools/OmeroJava/test/integration/RawPixelsStoreTest.java</t>
        </is>
      </c>
      <c r="C1335">
        <f>HYPERLINK("https://github.com/ome/openmicroscopy/blob/master/components/tools/OmeroJava/test/integration/RawPixelsStoreTest.java")</f>
        <v/>
      </c>
      <c r="D1335" t="inlineStr">
        <is>
          <t>The provided code is a Java program that appears to be part of an integration package for backend software components. It's distributed under the terms of the GNU General Public License and has been written by University of Dundee. The code implements core algorithms but it lacks specific details or functionality mentioned in its comments.
It seems like this repository contains complex logic related to data processing, possibly</t>
        </is>
      </c>
      <c r="E1335" t="n">
        <v>0.0071</v>
      </c>
      <c r="F1335" t="n">
        <v>0.1299</v>
      </c>
      <c r="G1335" t="n">
        <v>0.3046</v>
      </c>
      <c r="H1335" t="inlineStr">
        <is>
          <t>The provided code is a simple addition function that takes two numbers as input and returns their sum. It has a time complexity of O(1), meaning it performs the operation in constant time regardless of the size of the inputs. The GNU General Public License at the top of the file specifies conditions under which you can use, modify, or redistribute this program.
Here's the</t>
        </is>
      </c>
      <c r="I1335" t="n">
        <v>0.0028</v>
      </c>
      <c r="J1335" t="n">
        <v>0.0533</v>
      </c>
      <c r="K1335" t="n">
        <v>0.1095</v>
      </c>
      <c r="L1335" t="inlineStr">
        <is>
          <t>The provided code is a Java package named "integration" which contains the implementation of core algorithms for data integration tasks such as merging and sorting datasets. The main purpose of this software component seems to be handling large scale dataset integrations efficiently by using various algorithmic techniques like merge sort or quick sort etc. It's distributed under GNU General Public License (GPL). This program can be</t>
        </is>
      </c>
      <c r="M1335" t="n">
        <v>0.0039</v>
      </c>
      <c r="N1335" t="n">
        <v>0.08</v>
      </c>
      <c r="O1335" t="n">
        <v>0.2174</v>
      </c>
    </row>
    <row r="1336">
      <c r="A1336" t="inlineStr">
        <is>
          <t>openmicroscopy</t>
        </is>
      </c>
      <c r="B1336" t="inlineStr">
        <is>
          <t>components/tools/OmeroJava/test/integration/ExporterTest.java</t>
        </is>
      </c>
      <c r="C1336">
        <f>HYPERLINK("https://github.com/ome/openmicroscopy/blob/master/components/tools/OmeroJava/test/integration/ExporterTest.java")</f>
        <v/>
      </c>
      <c r="D1336" t="inlineStr">
        <is>
          <t>```java
/* 
 * Copyright 2006-2015 University of Dundee. All rights reserved.
 */
// This repository contains backend software components. The complexity is O(N). It implements core algorithms and has a large code size (1000 lines).
// Initial commit for the base code.
package integration</t>
        </is>
      </c>
      <c r="E1336" t="n">
        <v>0.0111</v>
      </c>
      <c r="F1336" t="n">
        <v>0.2041</v>
      </c>
      <c r="G1336" t="n">
        <v>0.3207</v>
      </c>
      <c r="H1336" t="inlineStr">
        <is>
          <t>The provided code is a Java program that performs addition operation on two numbers using the function `add`. The time complexity of this function is O(1), meaning it takes constant time to execute regardless of input size.
Here's an example of how you might use this function in your code:
```java
int sum = add(5, 7); // This will</t>
        </is>
      </c>
      <c r="I1336" t="n">
        <v>0.0031</v>
      </c>
      <c r="J1336" t="n">
        <v>0.0588</v>
      </c>
      <c r="K1336" t="n">
        <v>0.1145</v>
      </c>
      <c r="L1336" t="inlineStr">
        <is>
          <t>ThegivenJavacodeperformsvariousfunctionsrelatedtomembershipinfoprocessingfromaXMLdocument.ItreadsinformationaboutmembershipsinthemindatabaseformatusingJDBCAPIandconvertsthisintoformattedXMLfilesforstorageorfurtherprocessing.MainPurposeOfTheCodeIsToIntegrateDataFromMultipleSourcesIntoOneCons</t>
        </is>
      </c>
      <c r="M1336" t="n">
        <v>0</v>
      </c>
      <c r="N1336" t="n">
        <v>0</v>
      </c>
      <c r="O1336" t="n">
        <v>0</v>
      </c>
    </row>
    <row r="1337">
      <c r="A1337" t="inlineStr">
        <is>
          <t>openmicroscopy</t>
        </is>
      </c>
      <c r="B1337" t="inlineStr">
        <is>
          <t>components/tools/OmeroJava/test/integration/AbstractServerImportTest.java</t>
        </is>
      </c>
      <c r="C1337">
        <f>HYPERLINK("https://github.com/ome/openmicroscopy/blob/master/components/tools/OmeroJava/test/integration/AbstractServerImportTest.java")</f>
        <v/>
      </c>
      <c r="D1337" t="inlineStr">
        <is>
          <t>The provided code is a Java program that appears to be part of an image processing system or data analysis tool. It seems to contain the necessary license information at the top and comments explaining its functionality. The main component it contains looks like a reader for OME (Object Meta Environment) metadata files using LOCI library which provides support for reading different types of microscopy file formats.</t>
        </is>
      </c>
      <c r="E1337" t="n">
        <v>0.0027</v>
      </c>
      <c r="F1337" t="n">
        <v>0.0267</v>
      </c>
      <c r="G1337" t="n">
        <v>0.07190000000000001</v>
      </c>
      <c r="H1337" t="inlineStr">
        <is>
          <t>The provided code is a Java program that reads data from an Omero file format using the Loci library and stores it in an OMERO metadata store. The copyright information at the top of the file indicates this software is licensed under the GNU General Public License version 2 or later. This license requires users to disclose any modifications they make to the source code.
The function</t>
        </is>
      </c>
      <c r="I1337" t="n">
        <v>0.0036</v>
      </c>
      <c r="J1337" t="n">
        <v>0.08</v>
      </c>
      <c r="K1337" t="n">
        <v>0.1439</v>
      </c>
      <c r="L1337" t="inlineStr">
        <is>
          <t>The provided code is a Java program that integrates different microscopy file formats into an OMERO metadata store. The main purpose of the code seems to be reading data from various input files and storing it in an OMERO database for further analysis or visualization purposes. 
It uses several core algorithms (likely custom implementations based on Open Microscopy Environment's F</t>
        </is>
      </c>
      <c r="M1337" t="n">
        <v>0.0036</v>
      </c>
      <c r="N1337" t="n">
        <v>0.029</v>
      </c>
      <c r="O1337" t="n">
        <v>0.1515</v>
      </c>
    </row>
    <row r="1338">
      <c r="A1338" t="inlineStr">
        <is>
          <t>openmicroscopy</t>
        </is>
      </c>
      <c r="B1338" t="inlineStr">
        <is>
          <t>components/tools/OmeroJava/test/integration/FindParentsChildrenTest.java</t>
        </is>
      </c>
      <c r="C1338">
        <f>HYPERLINK("https://github.com/ome/openmicroscopy/blob/master/components/tools/OmeroJava/test/integration/FindParentsChildrenTest.java")</f>
        <v/>
      </c>
      <c r="D1338" t="inlineStr">
        <is>
          <t>The code provided is a Java program with the following features and functionalities:
It's licensed under GNU General Public License (GPL). The license allows users to freely use, modify, and redistribute this software as long as they comply with its terms of service. 
There are several packages being imported including java util for ArrayList and Arrays classes, org.apache</t>
        </is>
      </c>
      <c r="E1338" t="n">
        <v>0.0037</v>
      </c>
      <c r="F1338" t="n">
        <v>0.0882</v>
      </c>
      <c r="G1338" t="n">
        <v>0.1966</v>
      </c>
      <c r="H1338" t="inlineStr">
        <is>
          <t>The provided code is a Java function that performs addition of two numbers (`a` and `b`). The time complexity of this operation is O(1), meaning it takes constant time to execute regardless of the size of input data.
Here's a concise summary of its functionality: 
```plaintext
Function Name: add
Parameters: Two integers a and</t>
        </is>
      </c>
      <c r="I1338" t="n">
        <v>0.0034</v>
      </c>
      <c r="J1338" t="n">
        <v>0.09379999999999999</v>
      </c>
      <c r="K1338" t="n">
        <v>0.119</v>
      </c>
      <c r="L1338" t="inlineStr">
        <is>
          <t>The provided code is a Java program that integrates different algorithms from the Apache Commons Collections library into an application for data manipulation and analysis. The main purpose of this code is to compare two lists (`listOne` and `listTwo`). If they are identical in structure and content, it returns true; otherwise, false. This functionality can be considered as part of a larger system which</t>
        </is>
      </c>
      <c r="M1338" t="n">
        <v>0.0037</v>
      </c>
      <c r="N1338" t="n">
        <v>0.0556</v>
      </c>
      <c r="O1338" t="n">
        <v>0.1103</v>
      </c>
    </row>
    <row r="1339">
      <c r="A1339" t="inlineStr">
        <is>
          <t>openmicroscopy</t>
        </is>
      </c>
      <c r="B1339" t="inlineStr">
        <is>
          <t>components/tools/OmeroJava/test/integration/UpdateServiceTest.java</t>
        </is>
      </c>
      <c r="C1339">
        <f>HYPERLINK("https://github.com/ome/openmicroscopy/blob/master/components/tools/OmeroJava/test/integration/UpdateServiceTest.java")</f>
        <v/>
      </c>
      <c r="D1339" t="inlineStr">
        <is>
          <t>ThegivenJava code is part of the integration package which includes import statements for various Java libraries and classes such as ArrayList, Arrays, HashSet, Iterator, List, Set, UUID, ScriptRepoHelper, ServerError, ValidationException, IQueryPrx, IUpdatePrx, Delete2, Request, Requests, Annotation, BooleanAnnotation, CommentAnnotation among others.</t>
        </is>
      </c>
      <c r="E1339" t="n">
        <v>0.0046</v>
      </c>
      <c r="F1339" t="n">
        <v>0.0417</v>
      </c>
      <c r="G1339" t="n">
        <v>0.0893</v>
      </c>
      <c r="H1339" t="inlineStr">
        <is>
          <t>The provided code is a Java program that appears to be part of an integration package for the Omero image management system. It imports various classes from packages like java.util and omero. This code seems to handle operations related to dataset annotation in this system. The main function or method defined here could be add(), which takes two parameters (a and b), presumably numbers, and</t>
        </is>
      </c>
      <c r="I1339" t="n">
        <v>0.0033</v>
      </c>
      <c r="J1339" t="n">
        <v>0.08110000000000001</v>
      </c>
      <c r="K1339" t="n">
        <v>0.1095</v>
      </c>
      <c r="L1339" t="inlineStr">
        <is>
          <t>The provided code is a Java backend software component for managing annotations in the Omero system. The main purpose of this code seems to be interacting with various services and APIs related to data annotation tasks such as creating, updating, deleting or retrieving annotations. 
It uses several packages like `omero.api` which provides interfaces for querying and updating operations on datasets</t>
        </is>
      </c>
      <c r="M1339" t="n">
        <v>0.0036</v>
      </c>
      <c r="N1339" t="n">
        <v>0.058</v>
      </c>
      <c r="O1339" t="n">
        <v>0.1515</v>
      </c>
    </row>
    <row r="1340">
      <c r="A1340" t="inlineStr">
        <is>
          <t>openmicroscopy</t>
        </is>
      </c>
      <c r="B1340" t="inlineStr">
        <is>
          <t>components/tools/OmeroJava/test/integration/PyramidMinMaxTest.java</t>
        </is>
      </c>
      <c r="C1340">
        <f>HYPERLINK("https://github.com/ome/openmicroscopy/blob/master/components/tools/OmeroJava/test/integration/PyramidMinMaxTest.java")</f>
        <v/>
      </c>
      <c r="D1340" t="inlineStr">
        <is>
          <t>The provided code is a Java program with GPL (GNU General Public License) license information at the top of it. It appears to be part of an integration package and implements core algorithms for processing data. The complexity of this code seems to be O(N), where N represents some form of input or data size. There are also comments explaining its implementation of core algorithms. However, without seeing</t>
        </is>
      </c>
      <c r="E1340" t="n">
        <v>0.0063</v>
      </c>
      <c r="F1340" t="n">
        <v>0.0779</v>
      </c>
      <c r="G1340" t="n">
        <v>0.1786</v>
      </c>
      <c r="H1340" t="inlineStr">
        <is>
          <t>The provided code is a Java program that implements the GNU General Public License (GPL). It's used to ensure that any software using this license can be freely redistributed and modified under certain conditions outlined in the GPL. The copyright notice at the beginning of the file mentions University of Dundee as well as details about how you should contact them if you have questions or concerns regarding the</t>
        </is>
      </c>
      <c r="I1340" t="n">
        <v>0.0035</v>
      </c>
      <c r="J1340" t="n">
        <v>0.0513</v>
      </c>
      <c r="K1340" t="n">
        <v>0.1773</v>
      </c>
      <c r="L1340" t="inlineStr">
        <is>
          <t>The provided code is a Java package named "integration" which contains an implementation of core algorithms for data integration purposes. The main purpose of this software component appears to be the calculation and aggregation of statistical metrics from different sources of data. 
Inputs are various types of data (like sales records or user behavior logs) that need to be integrated into one unified view. Output</t>
        </is>
      </c>
      <c r="M1340" t="n">
        <v>0.0037</v>
      </c>
      <c r="N1340" t="n">
        <v>0.0822</v>
      </c>
      <c r="O1340" t="n">
        <v>0.2715</v>
      </c>
    </row>
    <row r="1341">
      <c r="A1341" t="inlineStr">
        <is>
          <t>openmicroscopy</t>
        </is>
      </c>
      <c r="B1341" t="inlineStr">
        <is>
          <t>components/tools/OmeroJava/test/integration/ScriptServiceTest.java</t>
        </is>
      </c>
      <c r="C1341">
        <f>HYPERLINK("https://github.com/ome/openmicroscopy/blob/master/components/tools/OmeroJava/test/integration/ScriptServiceTest.java")</f>
        <v/>
      </c>
      <c r="D1341" t="inlineStr">
        <is>
          <t>```plaintext
The provided code is a Java program with the following features and functionality:
- It's part of an integration package which contains backend software components for complex algorithms. 
- The complexity of this algorithm is O(N), meaning it scales linearly as input size increases.
- There are comments explaining the implementation of core algorithms used in the code.</t>
        </is>
      </c>
      <c r="E1341" t="n">
        <v>0.0041</v>
      </c>
      <c r="F1341" t="n">
        <v>0.09089999999999999</v>
      </c>
      <c r="G1341" t="n">
        <v>0.229</v>
      </c>
      <c r="H1341" t="inlineStr">
        <is>
          <t>The code provided is a simple addition function in Java named "add". It takes two parameters 'a' and 'b', adds them together and returns the result. The time complexity of this operation is O(1), meaning it performs constant amount of work regardless of input size. This means that no matter how many elements are added or removed from an array, performing operations like get element by index will</t>
        </is>
      </c>
      <c r="I1341" t="n">
        <v>0.0032</v>
      </c>
      <c r="J1341" t="n">
        <v>0.0519</v>
      </c>
      <c r="K1341" t="n">
        <v>0.1071</v>
      </c>
      <c r="L1341" t="inlineStr">
        <is>
          <t>The provided code file is a Java package named "integration". It contains two classes - "IntegrationService" and "Integrator", which are responsible for performing various integration tasks such as data extraction from databases or APIs, processing the extracted data, executing business logic based on the processed data, and finally providing an output to be consumed by other services in the system. The main purpose of</t>
        </is>
      </c>
      <c r="M1341" t="n">
        <v>0.0028</v>
      </c>
      <c r="N1341" t="n">
        <v>0.0563</v>
      </c>
      <c r="O1341" t="n">
        <v>0.0368</v>
      </c>
    </row>
    <row r="1342">
      <c r="A1342" t="inlineStr">
        <is>
          <t>openmicroscopy</t>
        </is>
      </c>
      <c r="B1342" t="inlineStr">
        <is>
          <t>components/tools/OmeroJava/test/integration/ImportAsTest.java</t>
        </is>
      </c>
      <c r="C1342">
        <f>HYPERLINK("https://github.com/ome/openmicroscopy/blob/master/components/tools/OmeroJava/test/integration/ImportAsTest.java")</f>
        <v/>
      </c>
      <c r="D1342" t="inlineStr">
        <is>
          <t>The code you provided is a header file that contains the copyright information and license details for an application. It does not contain any specific functionality or algorithm implementations. The repository also mentions about backend software components which may include complex algorithms implemented in other parts of the project.
Please provide the actual code to get more detailed summary.</t>
        </is>
      </c>
      <c r="E1342" t="n">
        <v>0.0041</v>
      </c>
      <c r="F1342" t="n">
        <v>0.0597</v>
      </c>
      <c r="G1342" t="n">
        <v>0.1527</v>
      </c>
      <c r="H1342" t="inlineStr">
        <is>
          <t>The provided code is a function named "add" that takes two parameters 'a' and 'b', performs addition operation on them and returns the result. The time complexity of this function is O(1), meaning it executes in constant time regardless of input size. It also contains GNU General Public License (GPL).
It sums up to be an efficient implementation for adding numbers together</t>
        </is>
      </c>
      <c r="I1342" t="n">
        <v>0.0029</v>
      </c>
      <c r="J1342" t="n">
        <v>0.0563</v>
      </c>
      <c r="K1342" t="n">
        <v>0.1866</v>
      </c>
      <c r="L1342" t="inlineStr">
        <is>
          <t>The provided code is part of a backend software component for integration between two systems (specifically Omer). This package contains classes and methods that handle the communication protocol used by these systems to exchange data. The main functionality includes sending requests to retrieve or send data from one system to another, as well as handling responses received in return.
It uses core algorithms such as HTTP requests with GET and</t>
        </is>
      </c>
      <c r="M1342" t="n">
        <v>0.0039</v>
      </c>
      <c r="N1342" t="n">
        <v>0.0769</v>
      </c>
      <c r="O1342" t="n">
        <v>0.1761</v>
      </c>
    </row>
    <row r="1343">
      <c r="A1343" t="inlineStr">
        <is>
          <t>openmicroscopy</t>
        </is>
      </c>
      <c r="B1343" t="inlineStr">
        <is>
          <t>components/tools/OmeroJava/test/integration/PojosServiceTest.java</t>
        </is>
      </c>
      <c r="C1343">
        <f>HYPERLINK("https://github.com/ome/openmicroscopy/blob/master/components/tools/OmeroJava/test/integration/PojosServiceTest.java")</f>
        <v/>
      </c>
      <c r="D1343" t="inlineStr">
        <is>
          <t>The provided code is a Java program that interacts with the Omero server API to manage datasets and experimenters in an image analysis platform. It uses various classes from the omero package for data modeling and manipulation of these objects. The main functionalities include creating/retrieving/modifying dataset annotations, managing comments on images, linking experiments to specific datasets etc. This software</t>
        </is>
      </c>
      <c r="E1343" t="n">
        <v>0.0072</v>
      </c>
      <c r="F1343" t="n">
        <v>0.058</v>
      </c>
      <c r="G1343" t="n">
        <v>0.2409</v>
      </c>
      <c r="H1343" t="inlineStr">
        <is>
          <t>The code provided is a Java program that imports various packages and classes from the omero package for data manipulation in an image processing system. The function `add` takes two parameters (a, b), adds them together, and returns their sum. This operation has a time complexity of O(1).
The rest of the code appears to be part of a larger application with</t>
        </is>
      </c>
      <c r="I1343" t="n">
        <v>0.0035</v>
      </c>
      <c r="J1343" t="n">
        <v>0.0563</v>
      </c>
      <c r="K1343" t="n">
        <v>0.1119</v>
      </c>
      <c r="L1343" t="inlineStr">
        <is>
          <t>The provided code is a Java application that interacts with the Omero server via its API for managing and manipulating datasets (images) in an image analysis environment. The main purpose of this code seems to be data integration between different platforms or services using Omero's APIs.
The code imports various utility classes from java.util package such as ArrayList, Arrays</t>
        </is>
      </c>
      <c r="M1343" t="n">
        <v>0.0031</v>
      </c>
      <c r="N1343" t="n">
        <v>0.029</v>
      </c>
      <c r="O1343" t="n">
        <v>0.1145</v>
      </c>
    </row>
    <row r="1344">
      <c r="A1344" t="inlineStr">
        <is>
          <t>openmicroscopy</t>
        </is>
      </c>
      <c r="B1344" t="inlineStr">
        <is>
          <t>components/tools/OmeroJava/test/integration/RawFileStoreTest.java</t>
        </is>
      </c>
      <c r="C1344">
        <f>HYPERLINK("https://github.com/ome/openmicroscopy/blob/master/components/tools/OmeroJava/test/integration/RawFileStoreTest.java")</f>
        <v/>
      </c>
      <c r="D1344" t="inlineStr">
        <is>
          <t>The provided code is a test suite for the `RawFileStore` service of Omero server using TestNG framework. It tests the functionality of uploading files to the service and checks if it works as expected. The complexity of this operation is considered to be O(N), where N represents the size of the file being uploaded. This implementation involves core algorithms that are used in handling data operations</t>
        </is>
      </c>
      <c r="E1344" t="n">
        <v>0.0039</v>
      </c>
      <c r="F1344" t="n">
        <v>0.08</v>
      </c>
      <c r="G1344" t="n">
        <v>0.1812</v>
      </c>
      <c r="H1344" t="inlineStr">
        <is>
          <t>The function provided is a simple addition operation between two numbers 'a' and 'b'. It returns the sum of these two numbers. The time complexity of this function is O(1), meaning it performs constant amount of operations regardless of the size of inputs. This means that there are no loops or recursive calls in this function which would increase its runtime with larger input sizes.
#</t>
        </is>
      </c>
      <c r="I1344" t="n">
        <v>0.0033</v>
      </c>
      <c r="J1344" t="n">
        <v>0.0541</v>
      </c>
      <c r="K1344" t="n">
        <v>0.1449</v>
      </c>
      <c r="L1344" t="inlineStr">
        <is>
          <t>The function `write` is used to write data into a file in the system. It takes two parameters - an iterator of bytes and a string representing the filename. The purpose of this method is to upload files from one server to another. If there are any errors during writing (such as insufficient disk space or network issues), it throws a Server Error.
```python
def</t>
        </is>
      </c>
      <c r="M1344" t="n">
        <v>0.0028</v>
      </c>
      <c r="N1344" t="n">
        <v>0.0556</v>
      </c>
      <c r="O1344" t="n">
        <v>0.1095</v>
      </c>
    </row>
    <row r="1345">
      <c r="A1345" t="inlineStr">
        <is>
          <t>openmicroscopy</t>
        </is>
      </c>
      <c r="B1345" t="inlineStr">
        <is>
          <t>components/tools/OmeroJava/test/integration/ClientUsageTest.java</t>
        </is>
      </c>
      <c r="C1345">
        <f>HYPERLINK("https://github.com/ome/openmicroscopy/blob/master/components/tools/OmeroJava/test/integration/ClientUsageTest.java")</f>
        <v/>
      </c>
      <c r="D1345" t="inlineStr">
        <is>
          <t>The provided code is a test case for the omero client usage in Java using TestNG framework from Glencoe Software Inc., which tests various functionalities of the `omerolog` object and its use with ICE (Internet Communication Engine). The copyright notice at the top indicates that this software may be subject to license terms specified in LICENSE.txt file. This particular test</t>
        </is>
      </c>
      <c r="E1345" t="n">
        <v>0.004</v>
      </c>
      <c r="F1345" t="n">
        <v>0.08699999999999999</v>
      </c>
      <c r="G1345" t="n">
        <v>0.1515</v>
      </c>
      <c r="H1345" t="inlineStr">
        <is>
          <t>The provided code is a Java test class that tests the functionality of an Omero client (a software component for managing biological image data). The function being tested appears to be `testCli` which closes automatically the session and throws exceptions if any error occurs during its execution.
It uses various classes from the omero package such as RString, Client, IAdminPr</t>
        </is>
      </c>
      <c r="I1345" t="n">
        <v>0.004</v>
      </c>
      <c r="J1345" t="n">
        <v>0.0882</v>
      </c>
      <c r="K1345" t="n">
        <v>0.1136</v>
      </c>
      <c r="L1345" t="inlineStr">
        <is>
          <t>The provided code is a Java test class that tests the functionality of an `omero` client object from OMERO (a data management platform). It uses various methods and functionalities offered by this object to perform different operations such as creating sessions, managing users, handling groups, etc. The main purpose of this code is to verify if all these functions are working properly or not.</t>
        </is>
      </c>
      <c r="M1345" t="n">
        <v>0.0034</v>
      </c>
      <c r="N1345" t="n">
        <v>0.0556</v>
      </c>
      <c r="O1345" t="n">
        <v>0.1103</v>
      </c>
    </row>
    <row r="1346">
      <c r="A1346" t="inlineStr">
        <is>
          <t>openmicroscopy</t>
        </is>
      </c>
      <c r="B1346" t="inlineStr">
        <is>
          <t>components/tools/OmeroJava/test/integration/RolesTests.java</t>
        </is>
      </c>
      <c r="C1346">
        <f>HYPERLINK("https://github.com/ome/openmicroscopy/blob/master/components/tools/OmeroJava/test/integration/RolesTests.java")</f>
        <v/>
      </c>
      <c r="D1346" t="inlineStr">
        <is>
          <t>The provided code is a Java program that handles file operations and string manipulations. It's distributed under the terms of the GNU General Public License (GPL). The software can be freely redistributed and modified by users but it must comply with certain conditions specified in the GPL license. This includes providing copies of the license to any derivative works or distributing them publicly.</t>
        </is>
      </c>
      <c r="E1346" t="n">
        <v>0.0038</v>
      </c>
      <c r="F1346" t="n">
        <v>0.0556</v>
      </c>
      <c r="G1346" t="n">
        <v>0.1481</v>
      </c>
      <c r="H1346" t="inlineStr">
        <is>
          <t>The code you provided is a simple function that adds two numbers together in Java. The functionality of the add method can be summarized as follows:
It takes two parameters (numbers), performs an addition operation on them and returns the result. This operation has a time complexity of O(1). 
Here's a concise summary without repeating any code: "The '</t>
        </is>
      </c>
      <c r="I1346" t="n">
        <v>0.0041</v>
      </c>
      <c r="J1346" t="n">
        <v>0.0588</v>
      </c>
      <c r="K1346" t="n">
        <v>0.1145</v>
      </c>
      <c r="L1346" t="inlineStr">
        <is>
          <t>ThegivenJavaSourceCodeperformsvariousdatahandlingtasksrelatedtothemanagementofimagesinvolvedinaProject'smicroscopyexperiments.ItreadsinformationaboutdifferentimagefilesfromaDirectoryandprocessessuchinformationusingalgorithmicfunctionslikecollectionsortingandstringmanipulation.Thecodealsoallowsforcustomizationthroughconfigurationparameterspassedduringinstantiation</t>
        </is>
      </c>
      <c r="M1346" t="n">
        <v>0</v>
      </c>
      <c r="N1346" t="n">
        <v>0</v>
      </c>
      <c r="O1346" t="n">
        <v>0</v>
      </c>
    </row>
    <row r="1347">
      <c r="A1347" t="inlineStr">
        <is>
          <t>openmicroscopy</t>
        </is>
      </c>
      <c r="B1347" t="inlineStr">
        <is>
          <t>components/tools/OmeroJava/test/integration/BfPixelBufferTest.java</t>
        </is>
      </c>
      <c r="C1347">
        <f>HYPERLINK("https://github.com/ome/openmicroscopy/blob/master/components/tools/OmeroJava/test/integration/BfPixelBufferTest.java")</f>
        <v/>
      </c>
      <c r="D1347" t="inlineStr">
        <is>
          <t>The code provided is a Java test class for testing the functionality of BfPixelBuffer in Open Microscopy Environment (OME). The purpose of this test class extends an abstract server test to set up and perform tests on raw pixels stored using OME's RawPixelsStorePrx interface. It uses ImageReader from LOCI library to read image files into memory as Pixels</t>
        </is>
      </c>
      <c r="E1347" t="n">
        <v>0.0037</v>
      </c>
      <c r="F1347" t="n">
        <v>0.0597</v>
      </c>
      <c r="G1347" t="n">
        <v>0.1154</v>
      </c>
      <c r="H1347" t="inlineStr">
        <is>
          <t>The code you provided is a Java class that tests the functionality of BfPixelBuffer using TestNG framework for unit testing in an OMERO (Optical Microscopy and Electronic Imaging Resource Organization) environment. It sets up test files, initializes instances of classes such as File, ImageReader etc., and performs various assertions to validate the correctness of its operations.</t>
        </is>
      </c>
      <c r="I1347" t="n">
        <v>0.0039</v>
      </c>
      <c r="J1347" t="n">
        <v>0.0625</v>
      </c>
      <c r="K1347" t="n">
        <v>0.0781</v>
      </c>
      <c r="L1347" t="inlineStr">
        <is>
          <t>The provided code is a Java test class named `BfPixelBufferTest` that extends an abstract base test class called `AbstractServerTest`. This class tests the functionality of the `BfPixelBuffer` class which appears to be part of the bio-formats library for reading and writing image data in various formats. 
The main purpose of this class seems to</t>
        </is>
      </c>
      <c r="M1347" t="n">
        <v>0.0045</v>
      </c>
      <c r="N1347" t="n">
        <v>0.09520000000000001</v>
      </c>
      <c r="O1347" t="n">
        <v>0.119</v>
      </c>
    </row>
    <row r="1348">
      <c r="A1348" t="inlineStr">
        <is>
          <t>openmicroscopy</t>
        </is>
      </c>
      <c r="B1348" t="inlineStr">
        <is>
          <t>components/tools/OmeroJava/test/integration/UpgradeCheckTest.java</t>
        </is>
      </c>
      <c r="C1348">
        <f>HYPERLINK("https://github.com/ome/openmicroscopy/blob/master/components/tools/OmeroJava/test/integration/UpgradeCheckTest.java")</f>
        <v/>
      </c>
      <c r="D1348" t="inlineStr">
        <is>
          <t>The code provided is a Java program with the GNU General Public License (GPL). It appears to be part of a larger software system and contains backend components for core algorithms. The repository also includes README files detailing its purpose and contents. However, without seeing the actual code or context, it's difficult to provide an in-depth summary.
It seems to have been written</t>
        </is>
      </c>
      <c r="E1348" t="n">
        <v>0.0038</v>
      </c>
      <c r="F1348" t="n">
        <v>0.0822</v>
      </c>
      <c r="G1348" t="n">
        <v>0.1481</v>
      </c>
      <c r="H1348" t="inlineStr">
        <is>
          <t>The provided code is a function named add that takes two parameters (a and b), adds them together, and returns the result. The functionality of this code is to perform addition operation on two numbers. It has a time complexity of O(1).
Here's the summary in one line: "Defines an 'add' function which performs addition between two input values."</t>
        </is>
      </c>
      <c r="I1348" t="n">
        <v>0.0037</v>
      </c>
      <c r="J1348" t="n">
        <v>0.058</v>
      </c>
      <c r="K1348" t="n">
        <v>0.1145</v>
      </c>
      <c r="L1348" t="inlineStr">
        <is>
          <t>The provided code is a Java program that appears to be part of the backend software components for an application related to integration and Omer Summary. The main purpose of this code seems to involve processing data using algorithms implemented by the developers. 
   This function takes as input some unknown type (presumably it's not explicitly mentioned in the context or comments) and returns another unknown type</t>
        </is>
      </c>
      <c r="M1348" t="n">
        <v>0.0036</v>
      </c>
      <c r="N1348" t="n">
        <v>0.1067</v>
      </c>
      <c r="O1348" t="n">
        <v>0.1812</v>
      </c>
    </row>
    <row r="1349">
      <c r="A1349" t="inlineStr">
        <is>
          <t>openmicroscopy</t>
        </is>
      </c>
      <c r="B1349" t="inlineStr">
        <is>
          <t>components/tools/OmeroJava/test/integration/AbstractServerTest.java</t>
        </is>
      </c>
      <c r="C1349">
        <f>HYPERLINK("https://github.com/ome/openmicroscopy/blob/master/components/tools/OmeroJava/test/integration/AbstractServerTest.java")</f>
        <v/>
      </c>
      <c r="D1349" t="inlineStr">
        <is>
          <t>The code provided appears to be a Java package named "integration" that contains import statements for various packages and classes related to image processing or data integration tasks in the OMERO project (a software suite used for managing digital images). The copyright notice at the top indicates this is open source software under licensing terms supplied in LICENSE.txt file. It seems like it's intended as</t>
        </is>
      </c>
      <c r="E1349" t="n">
        <v>0.0033</v>
      </c>
      <c r="F1349" t="n">
        <v>0.0533</v>
      </c>
      <c r="G1349" t="n">
        <v>0.146</v>
      </c>
      <c r="H1349" t="inlineStr">
        <is>
          <t>The provided code is a Java package named "integration". It contains import statements for various packages and classes used in the project such as File I/O operations, exceptions handling, collections framework (like ArrayList, HashMap), concurrency utilities etc. The main class of interest appears to be an OMEROMetadataStoreClient which seems to handle metadata storage and retrieval related tasks. This</t>
        </is>
      </c>
      <c r="I1349" t="n">
        <v>0.0037</v>
      </c>
      <c r="J1349" t="n">
        <v>0.0299</v>
      </c>
      <c r="K1349" t="n">
        <v>0.1154</v>
      </c>
      <c r="L1349" t="inlineStr">
        <is>
          <t>The provided code appears to be part of a backend software component for importing and managing data from various formats into an OMERO metadata store using the OMERO Java libraries. The main purpose is to observe changes in files (using IObservable interface) and notify observers when new candidates are found or existing ones have been updated. It also provides methods for starting/stopping the observer thread</t>
        </is>
      </c>
      <c r="M1349" t="n">
        <v>0.0033</v>
      </c>
      <c r="N1349" t="n">
        <v>0.0541</v>
      </c>
      <c r="O1349" t="n">
        <v>0.1095</v>
      </c>
    </row>
    <row r="1350">
      <c r="A1350" t="inlineStr">
        <is>
          <t>openmicroscopy</t>
        </is>
      </c>
      <c r="B1350" t="inlineStr">
        <is>
          <t>components/tools/OmeroJava/test/integration/LightAdminPrivilegesTest.java</t>
        </is>
      </c>
      <c r="C1350">
        <f>HYPERLINK("https://github.com/ome/openmicroscopy/blob/master/components/tools/OmeroJava/test/integration/LightAdminPrivilegesTest.java")</f>
        <v/>
      </c>
      <c r="D1350" t="inlineStr">
        <is>
          <t>The code provided is a Java program with the following features and functionalities:
1. It's copyrighted by University of Dundee &amp; Open Microscopy Environment (OME). All rights are reserved. 
    - The software can be freely redistributed and modified under the terms of GNU General Public License v2 or later versions.
    - This program comes with</t>
        </is>
      </c>
      <c r="E1350" t="n">
        <v>0.0044</v>
      </c>
      <c r="F1350" t="n">
        <v>0.06560000000000001</v>
      </c>
      <c r="G1350" t="n">
        <v>0.1181</v>
      </c>
      <c r="H1350" t="inlineStr">
        <is>
          <t>The function provided is a simple addition operation between two numbers (`a` and `b`). It returns the sum of these two numbers. The time complexity of this function is O(1), meaning it takes constant time regardless of the size of input data.
Here's the code snippet for reference: 
```python
def add(a, b):</t>
        </is>
      </c>
      <c r="I1350" t="n">
        <v>0.0035</v>
      </c>
      <c r="J1350" t="n">
        <v>0.0635</v>
      </c>
      <c r="K1350" t="n">
        <v>0.1613</v>
      </c>
      <c r="L1350" t="inlineStr">
        <is>
          <t>The provided code is a Java program that integrates multiple algorithms and utilizes various data structures for manipulation of strings in the Open Microscopy Environment (OME). The main purpose of this software component is to convert an array of byte arrays into a single string using Base64 encoding. 
Inputs are an ArrayList of String objects representing different parts of a larger image file broken down</t>
        </is>
      </c>
      <c r="M1350" t="n">
        <v>0.0033</v>
      </c>
      <c r="N1350" t="n">
        <v>0.0548</v>
      </c>
      <c r="O1350" t="n">
        <v>0.2304</v>
      </c>
    </row>
    <row r="1351">
      <c r="A1351" t="inlineStr">
        <is>
          <t>openmicroscopy</t>
        </is>
      </c>
      <c r="B1351" t="inlineStr">
        <is>
          <t>components/tools/OmeroJava/test/integration/ImporterTest.java</t>
        </is>
      </c>
      <c r="C1351">
        <f>HYPERLINK("https://github.com/ome/openmicroscopy/blob/master/components/tools/OmeroJava/test/integration/ImporterTest.java")</f>
        <v/>
      </c>
      <c r="D1351" t="inlineStr">
        <is>
          <t>ThegivenJava code is a part of an integration package which contains classes for handling XML files and database operations related to OME (Object Meta Environment). It includes import statements for various Java libraries such as java.io, java.sql, java.util etc., and specific packages like omero.api, omero.model etc. The main functionality seems to be focused on managing</t>
        </is>
      </c>
      <c r="E1351" t="n">
        <v>0.004</v>
      </c>
      <c r="F1351" t="n">
        <v>0.0294</v>
      </c>
      <c r="G1351" t="n">
        <v>0.07870000000000001</v>
      </c>
      <c r="H1351" t="inlineStr">
        <is>
          <t>The code provided is a Java package named "integration". It imports several packages and classes from other libraries or modules such as java.io for File handling, java.sql for Timestamp manipulation, java.util for various utility functions like ArrayList, Arrays etc., among others. The main class it contains seems to be related to image processing with OME (Object Meta Environment).</t>
        </is>
      </c>
      <c r="I1351" t="n">
        <v>0.0031</v>
      </c>
      <c r="J1351" t="n">
        <v>0.058</v>
      </c>
      <c r="K1351" t="n">
        <v>0.1154</v>
      </c>
      <c r="L1351" t="inlineStr">
        <is>
          <t>ThegivenJavaSourceCodehandlesimageprocessingrelatedfunctionsincludingROImanagementforimagesinspecifieddatasets.ItusesvariouslibrariessuchasOMEROAPIsfortaskcompletion. The mainclass'nameandsignatureindetailswheretheuseruploadsthroughaGUIinterface. ItalsoperformsdeleteoperationbyusingOMEROsAPI.</t>
        </is>
      </c>
      <c r="M1351" t="n">
        <v>0</v>
      </c>
      <c r="N1351" t="n">
        <v>0</v>
      </c>
      <c r="O1351" t="n">
        <v>0</v>
      </c>
    </row>
    <row r="1352">
      <c r="A1352" t="inlineStr">
        <is>
          <t>openmicroscopy</t>
        </is>
      </c>
      <c r="B1352" t="inlineStr">
        <is>
          <t>components/tools/OmeroJava/test/integration/gateway/GatewayUsageTest.java</t>
        </is>
      </c>
      <c r="C1352">
        <f>HYPERLINK("https://github.com/ome/openmicroscopy/blob/master/components/tools/OmeroJava/test/integration/gateway/GatewayUsageTest.java")</f>
        <v/>
      </c>
      <c r="D1352" t="inlineStr">
        <is>
          <t>The code you provided is a license header for the software program which states that it's free to use and can be modified under certain conditions as per GNU General Public License (GPL). The GPL allows users to modify or distribute this software freely but requires them to also provide copies of their modifications under similar terms. This repository contains backend components implementing core algorithms used in integration gateway functionality.</t>
        </is>
      </c>
      <c r="E1352" t="n">
        <v>0.0037</v>
      </c>
      <c r="F1352" t="n">
        <v>0.1266</v>
      </c>
      <c r="G1352" t="n">
        <v>0.3003</v>
      </c>
      <c r="H1352" t="inlineStr">
        <is>
          <t>The provided code is a simple addition function that takes two numbers as input and returns their sum. The functionality of this code can be summarized in the following way: "It adds (concatenates?) two given numbers together." Its complexity is O(1), meaning it performs a constant number of operations regardless of the size of the inputs.
Please note that the actual summary should not</t>
        </is>
      </c>
      <c r="I1352" t="n">
        <v>0.0034</v>
      </c>
      <c r="J1352" t="n">
        <v>0.0548</v>
      </c>
      <c r="K1352" t="n">
        <v>0.1103</v>
      </c>
      <c r="L1352" t="inlineStr">
        <is>
          <t>The code provided is a Java program that appears to be part of an integration gateway system. It's designed as free software under the terms of the GNU General Public License (GPL). The purpose of this code may involve handling and processing various types of data or messages in real time for use by other applications. This could include tasks such as message routing, transformation, filtering, aggregating, etc</t>
        </is>
      </c>
      <c r="M1352" t="n">
        <v>0.0035</v>
      </c>
      <c r="N1352" t="n">
        <v>0.0519</v>
      </c>
      <c r="O1352" t="n">
        <v>0.1429</v>
      </c>
    </row>
    <row r="1353">
      <c r="A1353" t="inlineStr">
        <is>
          <t>openmicroscopy</t>
        </is>
      </c>
      <c r="B1353" t="inlineStr">
        <is>
          <t>components/tools/OmeroJava/test/integration/gateway/GatewayTest.java</t>
        </is>
      </c>
      <c r="C1353">
        <f>HYPERLINK("https://github.com/ome/openmicroscopy/blob/master/components/tools/OmeroJava/test/integration/gateway/GatewayTest.java")</f>
        <v/>
      </c>
      <c r="D1353" t="inlineStr">
        <is>
          <t>The code provided is a copyright notice and license statement for the software application. It specifies that this program is free to use and can be redistributed under certain conditions as per GNU General Public License (GPL). The GPL states that users should receive a copy of the license along with their distribution. This repository contains backend components which implement core algorithms used in integration gateway functionality.
Please</t>
        </is>
      </c>
      <c r="E1353" t="n">
        <v>0.0038</v>
      </c>
      <c r="F1353" t="n">
        <v>0.1053</v>
      </c>
      <c r="G1353" t="n">
        <v>0.3046</v>
      </c>
      <c r="H1353" t="inlineStr">
        <is>
          <t>The provided code is a function named `add` that takes two parameters (numbers), adds them together and returns the result. This operation has a time complexity of O(1). The README file provides information about this software component which includes its purpose, functionality, complexities etc. It also contains licensing details for free use.
Please summarize it in one sentence as follows</t>
        </is>
      </c>
      <c r="I1353" t="n">
        <v>0.004</v>
      </c>
      <c r="J1353" t="n">
        <v>0.08699999999999999</v>
      </c>
      <c r="K1353" t="n">
        <v>0.2391</v>
      </c>
      <c r="L1353" t="inlineStr">
        <is>
          <t>The code provided is a Java program that appears to be part of an integration gateway software component for university project at University of Dundee. The purpose of this code seems to be related to the implementation and management of core algorithms used in data processing tasks. It's distributed under GNU General Public License which ensures free redistribution and modification of the source code subjected to certain conditions specified by the</t>
        </is>
      </c>
      <c r="M1353" t="n">
        <v>0.0034</v>
      </c>
      <c r="N1353" t="n">
        <v>0.1</v>
      </c>
      <c r="O1353" t="n">
        <v>0.2098</v>
      </c>
    </row>
    <row r="1354">
      <c r="A1354" t="inlineStr">
        <is>
          <t>openmicroscopy</t>
        </is>
      </c>
      <c r="B1354" t="inlineStr">
        <is>
          <t>components/tools/OmeroJava/test/integration/gateway/RawDataFacilityTest.java</t>
        </is>
      </c>
      <c r="C1354">
        <f>HYPERLINK("https://github.com/ome/openmicroscopy/blob/master/components/tools/OmeroJava/test/integration/gateway/RawDataFacilityTest.java")</f>
        <v/>
      </c>
      <c r="D1354" t="inlineStr">
        <is>
          <t>The provided code is a GNU General Public License (GPL), which ensures that any modifications or redistributions of the software are subject to certain conditions. The license allows for free use and modification but requires distribution under similar terms. This program has been distributed with the hope it will be useful, but without warranty regarding its merchantability or fitness for specific purposes. You should have received a copy of the</t>
        </is>
      </c>
      <c r="E1354" t="n">
        <v>0.0034</v>
      </c>
      <c r="F1354" t="n">
        <v>0.0513</v>
      </c>
      <c r="G1354" t="n">
        <v>0.2223</v>
      </c>
      <c r="H1354" t="inlineStr">
        <is>
          <t>The provided code is a simple addition function with time complexity of O(1). It takes two parameters (numbers), adds them together and returns the result. The GNU General Public License at the top ensures that this software can be freely used, modified and redistributed as per terms outlined in the license.
&lt;jupyter_text_output&gt;
&lt;empty_output&gt;</t>
        </is>
      </c>
      <c r="I1354" t="n">
        <v>0.0041</v>
      </c>
      <c r="J1354" t="n">
        <v>0.09229999999999999</v>
      </c>
      <c r="K1354" t="n">
        <v>0.2525</v>
      </c>
      <c r="L1354" t="inlineStr">
        <is>
          <t>The provided code is a Java program that appears to be part of an integration gateway system. It utilizes the GNU General Public License for distribution and modification rights. The main purpose of this software seems to be handling requests from various sources (possibly APIs or other services), processing them through various stages such as validation, transformation, routing etc., before delivering them to their final destinations. This process</t>
        </is>
      </c>
      <c r="M1354" t="n">
        <v>0.0035</v>
      </c>
      <c r="N1354" t="n">
        <v>0.0526</v>
      </c>
      <c r="O1354" t="n">
        <v>0.1429</v>
      </c>
    </row>
    <row r="1355">
      <c r="A1355" t="inlineStr">
        <is>
          <t>openmicroscopy</t>
        </is>
      </c>
      <c r="B1355" t="inlineStr">
        <is>
          <t>components/tools/OmeroJava/test/integration/gateway/LoadFacilityTest.java</t>
        </is>
      </c>
      <c r="C1355">
        <f>HYPERLINK("https://github.com/ome/openmicroscopy/blob/master/components/tools/OmeroJava/test/integration/gateway/LoadFacilityTest.java")</f>
        <v/>
      </c>
      <c r="D1355" t="inlineStr">
        <is>
          <t>The code you provided is a header file with license information and some comments about the software's purpose. It does not contain any actual functionality or implementation of core algorithms as per your request.
If this was part of an integration project between two systems (like APIs), it would provide context for how to use these components in other parts of the system. The complexity seems to be O</t>
        </is>
      </c>
      <c r="E1355" t="n">
        <v>0.0035</v>
      </c>
      <c r="F1355" t="n">
        <v>0.0769</v>
      </c>
      <c r="G1355" t="n">
        <v>0.1773</v>
      </c>
      <c r="H1355" t="inlineStr">
        <is>
          <t>The provided code is a simple addition function that takes two numbers as input and returns their sum. The time complexity of this operation is O(1), meaning it always executes in the same amount of time regardless of the size of the inputs (n). This program also complies with the GNU General Public License v2 or later which allows for free redistribution and modification under certain conditions.</t>
        </is>
      </c>
      <c r="I1355" t="n">
        <v>0.0032</v>
      </c>
      <c r="J1355" t="n">
        <v>0.0526</v>
      </c>
      <c r="K1355" t="n">
        <v>0.1079</v>
      </c>
      <c r="L1355" t="inlineStr">
        <is>
          <t>The provided code is part of a backend software component for an integration gateway. The main purpose of this component appears to be the processing and routing of messages between different systems or services based on predefined rules. It does so by implementing core algorithms that handle message transformation, filtering, aggregating, and error handling tasks.
The input to the system would likely include raw data from various sources</t>
        </is>
      </c>
      <c r="M1355" t="n">
        <v>0.0035</v>
      </c>
      <c r="N1355" t="n">
        <v>0.1053</v>
      </c>
      <c r="O1355" t="n">
        <v>0.3046</v>
      </c>
    </row>
    <row r="1356">
      <c r="A1356" t="inlineStr">
        <is>
          <t>openmicroscopy</t>
        </is>
      </c>
      <c r="B1356" t="inlineStr">
        <is>
          <t>components/tools/OmeroJava/test/integration/gateway/TablesFacilityTest.java</t>
        </is>
      </c>
      <c r="C1356">
        <f>HYPERLINK("https://github.com/ome/openmicroscopy/blob/master/components/tools/OmeroJava/test/integration/gateway/TablesFacilityTest.java")</f>
        <v/>
      </c>
      <c r="D1356" t="inlineStr">
        <is>
          <t>This code is a Java program that appears to be part of an integration gateway system for data processing and analysis. It's licensed under the GNU General Public License (GPL). The license allows users to freely distribute, modify, and use this software as long as they comply with its terms. 
    The main functionality seems to involve reading files from different sources or directories</t>
        </is>
      </c>
      <c r="E1356" t="n">
        <v>0.0041</v>
      </c>
      <c r="F1356" t="n">
        <v>0.0833</v>
      </c>
      <c r="G1356" t="n">
        <v>0.2338</v>
      </c>
      <c r="H1356" t="inlineStr">
        <is>
          <t>The function provided is a simple addition operation that takes two numbers as input and returns their sum. The time complexity of this operation is O(1), meaning it performs the same number of operations regardless of the size of the inputs.
&lt;jupyter_output&gt;
&lt;empty_output&gt;
&lt;jupyter_text&gt;
Question 4: Given an</t>
        </is>
      </c>
      <c r="I1356" t="n">
        <v>0.0038</v>
      </c>
      <c r="J1356" t="n">
        <v>0.0667</v>
      </c>
      <c r="K1356" t="n">
        <v>0.125</v>
      </c>
      <c r="L1356" t="inlineStr">
        <is>
          <t>The provided code is a Java class named `Gateway` that acts as an intermediary between the application and other services or components in the system. It's designed to handle data integration tasks such as file importing, processing, transformation, and exporting.
The main purpose of this class is to manage communication with external systems by providing methods for sending requests (like HTTP</t>
        </is>
      </c>
      <c r="M1356" t="n">
        <v>0.003</v>
      </c>
      <c r="N1356" t="n">
        <v>0.0286</v>
      </c>
      <c r="O1356" t="n">
        <v>0.0752</v>
      </c>
    </row>
    <row r="1357">
      <c r="A1357" t="inlineStr">
        <is>
          <t>openmicroscopy</t>
        </is>
      </c>
      <c r="B1357" t="inlineStr">
        <is>
          <t>components/tools/OmeroJava/test/integration/gateway/BrowseFacilityTest.java</t>
        </is>
      </c>
      <c r="C1357">
        <f>HYPERLINK("https://github.com/ome/openmicroscopy/blob/master/components/tools/OmeroJava/test/integration/gateway/BrowseFacilityTest.java")</f>
        <v/>
      </c>
      <c r="D1357" t="inlineStr">
        <is>
          <t>The provided code is a part of backend software components which implements core algorithms. It's free to use and can be redistributed under the terms of GNU General Public License (GPL). The program has been distributed in hope that it will be useful but WITHOUT ANY WARRANTY without even implied warranty of MERCHANTABILITY or FITNESS FOR A PARTICULAR P</t>
        </is>
      </c>
      <c r="E1357" t="n">
        <v>0.0078</v>
      </c>
      <c r="F1357" t="n">
        <v>0.1176</v>
      </c>
      <c r="G1357" t="n">
        <v>0.284</v>
      </c>
      <c r="H1357" t="inlineStr">
        <is>
          <t>The provided code is a simple function for addition of two numbers in Python. The functionality it provides can be summarized as follows: It takes two parameters (numbers), adds them together and returns the result. This operation has a time complexity of O(1).
```python
def add(a, b):  # Function to perform addition
    return a + b</t>
        </is>
      </c>
      <c r="I1357" t="n">
        <v>0.0043</v>
      </c>
      <c r="J1357" t="n">
        <v>0.0625</v>
      </c>
      <c r="K1357" t="n">
        <v>0.1172</v>
      </c>
      <c r="L1357" t="inlineStr">
        <is>
          <t>The code provided is a Java package named "integration.gateway". It appears to be part of an application that handles integration between different systems or services. The main purpose of this package seems to be the creation and management of communication channels (possibly HTTP connections in RESTful APIs context). This involves setting up requests, handling responses, managing connection pools etc. Code complexity appears to be</t>
        </is>
      </c>
      <c r="M1357" t="n">
        <v>0.0034</v>
      </c>
      <c r="N1357" t="n">
        <v>0.0548</v>
      </c>
      <c r="O1357" t="n">
        <v>0.1103</v>
      </c>
    </row>
    <row r="1358">
      <c r="A1358" t="inlineStr">
        <is>
          <t>openmicroscopy</t>
        </is>
      </c>
      <c r="B1358" t="inlineStr">
        <is>
          <t>components/tools/OmeroJava/test/integration/gateway/MetadataFacilityTest.java</t>
        </is>
      </c>
      <c r="C1358">
        <f>HYPERLINK("https://github.com/ome/openmicroscopy/blob/master/components/tools/OmeroJava/test/integration/gateway/MetadataFacilityTest.java")</f>
        <v/>
      </c>
      <c r="D1358" t="inlineStr">
        <is>
          <t>The provided code is a part of the backend software component for an integration gateway. It's written in Java and it follows the GNU General Public License (GPL). The complexity of this program appears to be O(N), indicating that its performance may increase linearly with input size N. This implementation includes core algorithms but does not have any specific comments or documentation explaining their purpose. There are also no</t>
        </is>
      </c>
      <c r="E1358" t="n">
        <v>0.0037</v>
      </c>
      <c r="F1358" t="n">
        <v>0.0759</v>
      </c>
      <c r="G1358" t="n">
        <v>0.2128</v>
      </c>
      <c r="H1358" t="inlineStr">
        <is>
          <t>The given code is a simple addition function in Python named `add` which takes two parameters and returns their sum. The time complexity of this operation is O(1), meaning it always executes the same number of steps regardless of input size. This program is licensed under GNU General Public License (GPL). It's distributed with no warranty but you should have received a copy of GPL along</t>
        </is>
      </c>
      <c r="I1358" t="n">
        <v>0.0033</v>
      </c>
      <c r="J1358" t="n">
        <v>0.0526</v>
      </c>
      <c r="K1358" t="n">
        <v>0.1087</v>
      </c>
      <c r="L1358" t="inlineStr">
        <is>
          <t>The provided code is a Java package named "integration.gateway". It appears to be part of an integration system where data from various sources can be gathered and processed together in one place. The main purpose seems to be the creation of a gateway that connects different systems or services by providing a common interface for their interactions. This could involve tasks such as fetching data from external APIs, processing</t>
        </is>
      </c>
      <c r="M1358" t="n">
        <v>0.0031</v>
      </c>
      <c r="N1358" t="n">
        <v>0.0256</v>
      </c>
      <c r="O1358" t="n">
        <v>0.1064</v>
      </c>
    </row>
    <row r="1359">
      <c r="A1359" t="inlineStr">
        <is>
          <t>openmicroscopy</t>
        </is>
      </c>
      <c r="B1359" t="inlineStr">
        <is>
          <t>components/tools/OmeroJava/test/integration/gateway/AdminFacilityTest.java</t>
        </is>
      </c>
      <c r="C1359">
        <f>HYPERLINK("https://github.com/ome/openmicroscopy/blob/master/components/tools/OmeroJava/test/integration/gateway/AdminFacilityTest.java")</f>
        <v/>
      </c>
      <c r="D1359" t="inlineStr">
        <is>
          <t>The code you provided is a license header for a free software program which grants users the right to redistribute and modify it under certain conditions as outlined by the GNU General Public License (GPL). The GPL specifies that derivative works must also be licensed under the same terms. This repository contains backend components of an application with complexity O(N), where N represents some form of data size or number</t>
        </is>
      </c>
      <c r="E1359" t="n">
        <v>0.0034</v>
      </c>
      <c r="F1359" t="n">
        <v>0.0506</v>
      </c>
      <c r="G1359" t="n">
        <v>0.1408</v>
      </c>
      <c r="H1359" t="inlineStr">
        <is>
          <t>The provided code is a simple addition function with time complexity of O(1). It takes two parameters 'a' and 'b', performs the operation of adding them together, then returns the result. The GNU General Public License at the top ensures that this software can be freely distributed, modified, and used under certain conditions.
Please provide more context or specific details about the task you are</t>
        </is>
      </c>
      <c r="I1359" t="n">
        <v>0.0033</v>
      </c>
      <c r="J1359" t="n">
        <v>0.08110000000000001</v>
      </c>
      <c r="K1359" t="n">
        <v>0.2304</v>
      </c>
      <c r="L1359" t="inlineStr">
        <is>
          <t>The code provided appears to be a Java package named "integration.gateway". It is designed as free software under the terms of the GNU General Public License (GPL). The purpose of this program seems to be related to integration with other systems or services, possibly through APIs. However, without more context and specific details about its functionality, it's hard to provide an accurate summary in</t>
        </is>
      </c>
      <c r="M1359" t="n">
        <v>0.0034</v>
      </c>
      <c r="N1359" t="n">
        <v>0.0541</v>
      </c>
      <c r="O1359" t="n">
        <v>0.1103</v>
      </c>
    </row>
    <row r="1360">
      <c r="A1360" t="inlineStr">
        <is>
          <t>openmicroscopy</t>
        </is>
      </c>
      <c r="B1360" t="inlineStr">
        <is>
          <t>components/tools/OmeroJava/test/integration/gateway/SearchFacilityTest.java</t>
        </is>
      </c>
      <c r="C1360">
        <f>HYPERLINK("https://github.com/ome/openmicroscopy/blob/master/components/tools/OmeroJava/test/integration/gateway/SearchFacilityTest.java")</f>
        <v/>
      </c>
      <c r="D1360" t="inlineStr">
        <is>
          <t>The provided code is a part of the backend software component for an integration gateway and it's licensed under GNU General Public License (GPL). The program can be freely redistributed and modified by users but they must comply with terms published by Free Software Foundation i.e., GPL version 2 or any later versions. This program is distributed in hope that it will be useful</t>
        </is>
      </c>
      <c r="E1360" t="n">
        <v>0.0037</v>
      </c>
      <c r="F1360" t="n">
        <v>0.0541</v>
      </c>
      <c r="G1360" t="n">
        <v>0.1471</v>
      </c>
      <c r="H1360" t="inlineStr">
        <is>
          <t>The code provided is a simple function for addition of two numbers in Python language with time complexity O(1). It's copyrighted under GNU General Public License and it should not be redistributed without permission from the Free Software Foundation. The purpose of this function is to add two numbers together.
&lt;jupyter_output&gt;
&lt;empty_output&gt;
&lt;</t>
        </is>
      </c>
      <c r="I1360" t="n">
        <v>0.0035</v>
      </c>
      <c r="J1360" t="n">
        <v>0.0625</v>
      </c>
      <c r="K1360" t="n">
        <v>0.16</v>
      </c>
      <c r="L1360" t="inlineStr">
        <is>
          <t>The code provided is a Java program that appears to be part of an integration gateway for handling various types of integrations including HTTP and JMS based ones. The main purpose of this software component seems to be the creation and management of different channels (which could represent connections or queues depending on the context). This functionality can be summarized as follows: "Manages communication channels between applications using various protocols</t>
        </is>
      </c>
      <c r="M1360" t="n">
        <v>0.0037</v>
      </c>
      <c r="N1360" t="n">
        <v>0.0769</v>
      </c>
      <c r="O1360" t="n">
        <v>0.1408</v>
      </c>
    </row>
    <row r="1361">
      <c r="A1361" t="inlineStr">
        <is>
          <t>openmicroscopy</t>
        </is>
      </c>
      <c r="B1361" t="inlineStr">
        <is>
          <t>components/tools/OmeroJava/test/integration/gateway/ROIFacilityTest.java</t>
        </is>
      </c>
      <c r="C1361">
        <f>HYPERLINK("https://github.com/ome/openmicroscopy/blob/master/components/tools/OmeroJava/test/integration/gateway/ROIFacilityTest.java")</f>
        <v/>
      </c>
      <c r="D1361" t="inlineStr">
        <is>
          <t>The provided code is a part of backend software components and it implements core algorithms for complex tasks. The complexity of the implementation appears to be O(N), where N represents some form of input or data size. This program is free software under GNU General Public License version 2 or later. It should come with a copy of this license along with the program. If not, you can write to</t>
        </is>
      </c>
      <c r="E1361" t="n">
        <v>0.0069</v>
      </c>
      <c r="F1361" t="n">
        <v>0.0759</v>
      </c>
      <c r="G1361" t="n">
        <v>0.3003</v>
      </c>
      <c r="H1361" t="inlineStr">
        <is>
          <t>The provided code is a simple function that adds two numbers together and returns the result. It has O(1) complexity as it performs a single operation regardless of input size. The comments indicate this functionality - addition.
```python
# Function to add two numbers
def add(a, b): 
    return a + b   # Performs the addition operation
```</t>
        </is>
      </c>
      <c r="I1361" t="n">
        <v>0.0038</v>
      </c>
      <c r="J1361" t="n">
        <v>0.0645</v>
      </c>
      <c r="K1361" t="n">
        <v>0.1163</v>
      </c>
      <c r="L1361" t="inlineStr">
        <is>
          <t>The code provided is a Java program that appears to be part of an integration gateway system. The purpose of this module seems to be the implementation and management of different types of integrations (like HTTP, JMS, FTP etc.). It uses various core algorithms for these purposes. This includes operations like request routing, transformation, error handling, security enforcement etc.
It has been committed in</t>
        </is>
      </c>
      <c r="M1361" t="n">
        <v>0.004</v>
      </c>
      <c r="N1361" t="n">
        <v>0.1111</v>
      </c>
      <c r="O1361" t="n">
        <v>0.2206</v>
      </c>
    </row>
    <row r="1362">
      <c r="A1362" t="inlineStr">
        <is>
          <t>openmicroscopy</t>
        </is>
      </c>
      <c r="B1362" t="inlineStr">
        <is>
          <t>components/tools/OmeroJava/test/integration/gateway/DataManagerFacilityTest.java</t>
        </is>
      </c>
      <c r="C1362">
        <f>HYPERLINK("https://github.com/ome/openmicroscopy/blob/master/components/tools/OmeroJava/test/integration/gateway/DataManagerFacilityTest.java")</f>
        <v/>
      </c>
      <c r="D1362" t="inlineStr">
        <is>
          <t>The provided code is a copyright notice and license agreement for the software program. It states that this program is free to use, modify or redistribute under certain conditions as specified by the GNU General Public License (GPL). The GPL details are also included in case they need to be modified or distributed with the software.
The main functionality of the given code seems not implemented yet because</t>
        </is>
      </c>
      <c r="E1362" t="n">
        <v>0.0035</v>
      </c>
      <c r="F1362" t="n">
        <v>0.0789</v>
      </c>
      <c r="G1362" t="n">
        <v>0.1786</v>
      </c>
      <c r="H1362" t="inlineStr">
        <is>
          <t>The provided code is a simple function for addition of two numbers in Python language. The functionality of the code is straightforward and clear as it takes two parameters (numbers), adds them together and returns the result. This operation has a time complexity of O(1).
&lt;jupyter_code&gt;
# Code: 
def add(a, b):
    return a</t>
        </is>
      </c>
      <c r="I1362" t="n">
        <v>0.0045</v>
      </c>
      <c r="J1362" t="n">
        <v>0.0635</v>
      </c>
      <c r="K1362" t="n">
        <v>0.12</v>
      </c>
      <c r="L1362" t="inlineStr">
        <is>
          <t>The provided code is a Java program that implements an integration gateway for handling requests and responses from various sources (like databases or APIs). The main purpose of this software component is to act as a bridge between different systems by providing a common interface for communication.
Inputs are the incoming requests from external services, processed through predefined rules, and outputs are the corresponding responses sent back to</t>
        </is>
      </c>
      <c r="M1362" t="n">
        <v>0.0035</v>
      </c>
      <c r="N1362" t="n">
        <v>0.0789</v>
      </c>
      <c r="O1362" t="n">
        <v>0.2254</v>
      </c>
    </row>
    <row r="1363">
      <c r="A1363" t="inlineStr">
        <is>
          <t>openmicroscopy</t>
        </is>
      </c>
      <c r="B1363" t="inlineStr">
        <is>
          <t>components/tools/OmeroJava/test/integration/thumbnail/BatchLoadingTest.java</t>
        </is>
      </c>
      <c r="C1363">
        <f>HYPERLINK("https://github.com/ome/openmicroscopy/blob/master/components/tools/OmeroJava/test/integration/thumbnail/BatchLoadingTest.java")</f>
        <v/>
      </c>
      <c r="D1363" t="inlineStr">
        <is>
          <t>The provided code is a Java program that defines the functionality of thumbnailing in an image server environment using Google's Guava library for immutable collections. The software is licensed under GNU General Public License (GPL), which requires redistribution and modification to be subjected to certain conditions. It also includes copyright information about the University of Dundee and Open Microscopy Environment. This</t>
        </is>
      </c>
      <c r="E1363" t="n">
        <v>0.0042</v>
      </c>
      <c r="F1363" t="n">
        <v>0.0571</v>
      </c>
      <c r="G1363" t="n">
        <v>0.1504</v>
      </c>
      <c r="H1363" t="inlineStr">
        <is>
          <t>The code provided is a simple function for addition of two numbers in Java named `add`. It takes two parameters (numbers), adds them together and returns the result. The time complexity of this operation is O(1).
&lt;jupyter_code&gt;
public int add(int a, int b){
    return a + b; 
}
&lt;j</t>
        </is>
      </c>
      <c r="I1363" t="n">
        <v>0.0037</v>
      </c>
      <c r="J1363" t="n">
        <v>0.06900000000000001</v>
      </c>
      <c r="K1363" t="n">
        <v>0.124</v>
      </c>
      <c r="L1363" t="inlineStr">
        <is>
          <t>The provided code appears to be a part of an image processing software component for the Open Microscopy Environment (OME). The main purpose seems to be creating thumbnails from large images using various algorithms implemented in Google's Guava library.
Here are some key operations and control flow points identified based on the given context: 
1. It uses `ImmutableList`</t>
        </is>
      </c>
      <c r="M1363" t="n">
        <v>0.0037</v>
      </c>
      <c r="N1363" t="n">
        <v>0.0896</v>
      </c>
      <c r="O1363" t="n">
        <v>0.1538</v>
      </c>
    </row>
    <row r="1364">
      <c r="A1364" t="inlineStr">
        <is>
          <t>openmicroscopy</t>
        </is>
      </c>
      <c r="B1364" t="inlineStr">
        <is>
          <t>components/tools/OmeroJava/test/integration/thumbnail/SkipThumbnailsPermissionsTest.java</t>
        </is>
      </c>
      <c r="C1364">
        <f>HYPERLINK("https://github.com/ome/openmicroscopy/blob/master/components/tools/OmeroJava/test/integration/thumbnail/SkipThumbnailsPermissionsTest.java")</f>
        <v/>
      </c>
      <c r="D1364" t="inlineStr">
        <is>
          <t>The code provided is a Java program that defines the package "integration.thumbnail". This package contains classes for testing server import functionality and configuring the import process. The GNU General Public License (GPL) conditions are also included in this software which govern its redistribution and modification rights. It's distributed under the hope that it will be useful but WITHOUT ANY WARRANTY without even</t>
        </is>
      </c>
      <c r="E1364" t="n">
        <v>0.0074</v>
      </c>
      <c r="F1364" t="n">
        <v>0.0833</v>
      </c>
      <c r="G1364" t="n">
        <v>0.2355</v>
      </c>
      <c r="H1364" t="inlineStr">
        <is>
          <t>The code you provided is a simple function that adds two numbers together. It's complexity is O(1), meaning it takes constant time to execute regardless of the size of inputs (n). The summary would be "This repository contains backend software components which implement core algorithms.".
&lt;jreadme&gt;</t>
        </is>
      </c>
      <c r="I1364" t="n">
        <v>0.0048</v>
      </c>
      <c r="J1364" t="n">
        <v>0.1429</v>
      </c>
      <c r="K1364" t="n">
        <v>0.2675</v>
      </c>
      <c r="L1364" t="inlineStr">
        <is>
          <t>The provided code is a Java program that integrates with an OMERO server to import images into the system using specific configurations. This process involves several steps including setting up the connection, preparing the image for rendering in summary form, and finally executing the render operation.
It has been designed as free software under GNU General Public License version 2 or later. The license details are included at</t>
        </is>
      </c>
      <c r="M1364" t="n">
        <v>0.0035</v>
      </c>
      <c r="N1364" t="n">
        <v>0.0526</v>
      </c>
      <c r="O1364" t="n">
        <v>0.1429</v>
      </c>
    </row>
    <row r="1365">
      <c r="A1365" t="inlineStr">
        <is>
          <t>openmicroscopy</t>
        </is>
      </c>
      <c r="B1365" t="inlineStr">
        <is>
          <t>components/tools/OmeroJava/test/integration/thumbnail/Utils.java</t>
        </is>
      </c>
      <c r="C1365">
        <f>HYPERLINK("https://github.com/ome/openmicroscopy/blob/master/components/tools/OmeroJava/test/integration/thumbnail/Utils.java")</f>
        <v/>
      </c>
      <c r="D1365" t="inlineStr">
        <is>
          <t># This is a summary of the provided code which includes copyright information and license details. It does not contain any functionalities as it's just an outline for documentation purpose. The actual functionality would be implemented in other parts of the software system. 
The program is free software distributed under GNU General Public License version 2 or later. Users are allowed to modify and redistribute this</t>
        </is>
      </c>
      <c r="E1365" t="n">
        <v>0.0039</v>
      </c>
      <c r="F1365" t="n">
        <v>0.08110000000000001</v>
      </c>
      <c r="G1365" t="n">
        <v>0.1812</v>
      </c>
      <c r="H1365" t="inlineStr">
        <is>
          <t>The provided code is a simple function for addition of two numbers in Python language. It takes two parameters 'a' and 'b', adds them together and returns the result. The time complexity of this operation is O(1), meaning it performs a constant number of operations regardless of input size.
&lt;jupyter_output&gt;
&lt;empty_output&gt;
&lt;jupy</t>
        </is>
      </c>
      <c r="I1365" t="n">
        <v>0.0035</v>
      </c>
      <c r="J1365" t="n">
        <v>0.0635</v>
      </c>
      <c r="K1365" t="n">
        <v>0.121</v>
      </c>
      <c r="L1365" t="inlineStr">
        <is>
          <t>The code provided is a Java class named "ThumbnailGenerator" which handles the creation of thumbnails from images. The main functionality it provides includes resizing and cropping an image to create a smaller version that can be displayed on web pages or in other applications without taking up too much space.
It takes as input an Image object (from java.awt package) representing the</t>
        </is>
      </c>
      <c r="M1365" t="n">
        <v>0.0035</v>
      </c>
      <c r="N1365" t="n">
        <v>0.0563</v>
      </c>
      <c r="O1365" t="n">
        <v>0.0746</v>
      </c>
    </row>
    <row r="1366">
      <c r="A1366" t="inlineStr">
        <is>
          <t>openmicroscopy</t>
        </is>
      </c>
      <c r="B1366" t="inlineStr">
        <is>
          <t>components/tools/OmeroJava/test/integration/thumbnail/SingleFileTest.java</t>
        </is>
      </c>
      <c r="C1366">
        <f>HYPERLINK("https://github.com/ome/openmicroscopy/blob/master/components/tools/OmeroJava/test/integration/thumbnail/SingleFileTest.java")</f>
        <v/>
      </c>
      <c r="D1366" t="inlineStr">
        <is>
          <t>The code provided is a Java program that includes the GNU General Public License (GPL), which specifies conditions for redistributing and modifying the software. The license allows users to use, modify, or distribute this software freely as long as they comply with its terms of service. This repository contains backend components related to image processing algorithms implemented in Java. It's complexity is O(N).</t>
        </is>
      </c>
      <c r="E1366" t="n">
        <v>0.0038</v>
      </c>
      <c r="F1366" t="n">
        <v>0.0822</v>
      </c>
      <c r="G1366" t="n">
        <v>0.1481</v>
      </c>
      <c r="H1366" t="inlineStr">
        <is>
          <t>The code you provided is a simple function for addition of two numbers in Python language. It takes two parameters 'a' and 'b', adds them together and returns the result. The time complexity of this operation is O(1), meaning it always executes in constant time regardless of input size.
Here are some details about your README file:
Title: This repository contains</t>
        </is>
      </c>
      <c r="I1366" t="n">
        <v>0.0036</v>
      </c>
      <c r="J1366" t="n">
        <v>0.0571</v>
      </c>
      <c r="K1366" t="n">
        <v>0.1128</v>
      </c>
      <c r="L1366" t="inlineStr">
        <is>
          <t>The code provided is a Java package named "integration.thumbnail". This package contains two classes that extend an abstract class called "AbstractServerTest" and import several other packages including ome.formats and omero. The purpose of this package seems to be related to the creation and management of thumbnails for microscopy data stored in OMERO server.</t>
        </is>
      </c>
      <c r="M1366" t="n">
        <v>0.0041</v>
      </c>
      <c r="N1366" t="n">
        <v>0.0635</v>
      </c>
      <c r="O1366" t="n">
        <v>0.08</v>
      </c>
    </row>
    <row r="1367">
      <c r="A1367" t="inlineStr">
        <is>
          <t>openmicroscopy</t>
        </is>
      </c>
      <c r="B1367" t="inlineStr">
        <is>
          <t>components/tools/OmeroJava/test/integration/delete/AdditionalDeleteTest.java</t>
        </is>
      </c>
      <c r="C1367">
        <f>HYPERLINK("https://github.com/ome/openmicroscopy/blob/master/components/tools/OmeroJava/test/integration/delete/AdditionalDeleteTest.java")</f>
        <v/>
      </c>
      <c r="D1367" t="inlineStr">
        <is>
          <t>ThegivenJava-basedcodeisrelatedtoimageannotationprocessingusingawebapplicationframeworkcalledOMERO.Itusesvariousclassesfromdifferentpackageslike'integration', 'omero','omero.cmd','omero.cmd.graphs'. It also uses classes for handling images and annotations like 'omero.model.ImageI', 'omero.model.FileAnnotation</t>
        </is>
      </c>
      <c r="E1367" t="n">
        <v>0.0143</v>
      </c>
      <c r="F1367" t="n">
        <v>0.0588</v>
      </c>
      <c r="G1367" t="n">
        <v>0.1163</v>
      </c>
      <c r="H1367" t="inlineStr">
        <is>
          <t>The provided code is a Java function named "add". This function takes two parameters (numbers), adds them together and returns the result. The time complexity of this operation is O(1). It's part of an integration package for software that deals with data manipulation in a scientific context.
&lt;jreadmefile&gt;
# Glencoe Software Inc. License</t>
        </is>
      </c>
      <c r="I1367" t="n">
        <v>0.0045</v>
      </c>
      <c r="J1367" t="n">
        <v>0.0968</v>
      </c>
      <c r="K1367" t="n">
        <v>0.16</v>
      </c>
      <c r="L1367" t="inlineStr">
        <is>
          <t>ThegivenJavaSourceCodeperformsdataanalysisusingvariousOMEROmodelsincludingDataset,Image,AnnotationAnnotationLink,etc.ItusesseveralclassesfromtheOMEROfamilysuchasRObject,DatasetI,ImageI,etc.Thecodealsoallowsfordeletingobjectsbasedongivenconditionsorcriteria.However,thereseemsnoto be</t>
        </is>
      </c>
      <c r="M1367" t="n">
        <v>0</v>
      </c>
      <c r="N1367" t="n">
        <v>0</v>
      </c>
      <c r="O1367" t="n">
        <v>0</v>
      </c>
    </row>
    <row r="1368">
      <c r="A1368" t="inlineStr">
        <is>
          <t>presto</t>
        </is>
      </c>
      <c r="B1368" t="inlineStr">
        <is>
          <t>presto-tests/src/main/java/com/facebook/presto/tests/StatefulSleepingSum.java</t>
        </is>
      </c>
      <c r="C1368">
        <f>HYPERLINK("https://github.com/prestodb/presto/blob/master/presto-tests/src/main/java/com/facebook/presto/tests/StatefulSleepingSum.java")</f>
        <v/>
      </c>
      <c r="D1368" t="inlineStr">
        <is>
          <t>The code provided is a Java class for testing the functionality of Apache Presto, an open source distributed SQL query engine for big data. It imports necessary classes and interfaces from other packages to perform various operations related to metadata management, function signatures, scalar functions, etc., which are fundamental components of any database system. The license at the top specifies that this software can be used under certain conditions as</t>
        </is>
      </c>
      <c r="E1368" t="n">
        <v>0.0034</v>
      </c>
      <c r="F1368" t="n">
        <v>0.0513</v>
      </c>
      <c r="G1368" t="n">
        <v>0.2223</v>
      </c>
      <c r="H1368" t="inlineStr">
        <is>
          <t>The code provided is a Java method for adding two numbers together using the + operator in an Apache License 2.0 compliant environment. The function takes in two parameters 'a' and 'b', adds them together and returns the result. It has a time complexity of O(1), meaning it performs a fixed number of operations regardless of input size.
Here is the summary without</t>
        </is>
      </c>
      <c r="I1368" t="n">
        <v>0.0029</v>
      </c>
      <c r="J1368" t="n">
        <v>0.0556</v>
      </c>
      <c r="K1368" t="n">
        <v>0.0741</v>
      </c>
      <c r="L1368" t="inlineStr">
        <is>
          <t>The provided code is a part of the Presto SQL project and it's related to handling scalar functions in an application for managing metadata about function signatures. The main purpose of this module seems to be defining custom built-in scalar functions that can then be used within queries.
Key operations involve creating instances of `SqlScalarFunction` with specific properties such as name, return type</t>
        </is>
      </c>
      <c r="M1368" t="n">
        <v>0.0034</v>
      </c>
      <c r="N1368" t="n">
        <v>0.0822</v>
      </c>
      <c r="O1368" t="n">
        <v>0.1481</v>
      </c>
    </row>
    <row r="1369">
      <c r="A1369" t="inlineStr">
        <is>
          <t>presto</t>
        </is>
      </c>
      <c r="B1369" t="inlineStr">
        <is>
          <t>presto-tests/src/main/java/com/facebook/presto/tests/AbstractTestingPrestoClient.java</t>
        </is>
      </c>
      <c r="C1369">
        <f>HYPERLINK("https://github.com/prestodb/presto/blob/master/presto-tests/src/main/java/com/facebook/presto/tests/AbstractTestingPrestoClient.java")</f>
        <v/>
      </c>
      <c r="D1369" t="inlineStr">
        <is>
          <t>The provided code is a Java implementation of core algorithms using Facebook's Presto framework and Airlift JSON library for handling JSON serialization and deserialization. It contains classes related to session management (`Session`), client sessions (`ClientSession`), column definitions (`Column`), query status information (`QueryStatusInfo`), statement clients (`StatementClient`), and error</t>
        </is>
      </c>
      <c r="E1369" t="n">
        <v>0.0046</v>
      </c>
      <c r="F1369" t="n">
        <v>0.1071</v>
      </c>
      <c r="G1369" t="n">
        <v>0.1681</v>
      </c>
      <c r="H1369" t="inlineStr">
        <is>
          <t>The function provided is a simple addition operation that takes two numbers as input and returns their sum. It's complexity is O(1), meaning it performs a constant number of operations regardless of the size of the inputs. The code does not contain any loops or recursive calls which makes this an efficient solution for such problems.
&lt;jupyter_output&gt;
&lt;empty_output&gt;</t>
        </is>
      </c>
      <c r="I1369" t="n">
        <v>0.0031</v>
      </c>
      <c r="J1369" t="n">
        <v>0.0571</v>
      </c>
      <c r="K1369" t="n">
        <v>0.1154</v>
      </c>
      <c r="L1369" t="inlineStr">
        <is>
          <t>The provided code is a part of Facebook's Presto project and it deals with querying data from various sources using SQL like syntax. The main purpose of the code seems to be executing queries on different types of databases (like Hive, Cassandra etc.) and providing results in JSON format. It also handles errors related to invalid queries or unsupported operations gracefully by returning appropriate error messages</t>
        </is>
      </c>
      <c r="M1369" t="n">
        <v>0.0028</v>
      </c>
      <c r="N1369" t="n">
        <v>0.0267</v>
      </c>
      <c r="O1369" t="n">
        <v>0.0725</v>
      </c>
    </row>
    <row r="1370">
      <c r="A1370" t="inlineStr">
        <is>
          <t>presto</t>
        </is>
      </c>
      <c r="B1370" t="inlineStr">
        <is>
          <t>presto-tests/src/main/java/com/facebook/presto/tests/CustomRank.java</t>
        </is>
      </c>
      <c r="C1370">
        <f>HYPERLINK("https://github.com/prestodb/presto/blob/master/presto-tests/src/main/java/com/facebook/presto/tests/CustomRank.java")</f>
        <v/>
      </c>
      <c r="D1370" t="inlineStr">
        <is>
          <t>The code provided is a custom window function named "custom_rank". This function extends the RankingWindowFunction class from Presto, which is an open source distributed SQL query engine for big data. The purpose of this function is to rank rows within a frame according to their values and return them as BigInt (long type in Java).
The implementation complexity is O(N),</t>
        </is>
      </c>
      <c r="E1370" t="n">
        <v>0.0036</v>
      </c>
      <c r="F1370" t="n">
        <v>0.0857</v>
      </c>
      <c r="G1370" t="n">
        <v>0.1515</v>
      </c>
      <c r="H1370" t="inlineStr">
        <is>
          <t>The provided code is a custom window function for ranking in Presto SQL (formerly known as HiveQL). The function's name is "custom_rank". It returns the rank of each row within its partition based on some ordering criteria specified by the user. This implementation uses an algorithm that has complexity O(n), where n represents the number of rows in the current partition being processed</t>
        </is>
      </c>
      <c r="I1370" t="n">
        <v>0.0029</v>
      </c>
      <c r="J1370" t="n">
        <v>0.0541</v>
      </c>
      <c r="K1370" t="n">
        <v>0.1111</v>
      </c>
      <c r="L1370" t="inlineStr">
        <is>
          <t>The provided code is a custom window function named "custom_rank". This function extends the `RankingWindowFunction` class from Presto, which is used for ranking operations in data processing frameworks like Hadoop and Apache Spark. 
The main purpose of this function seems to be to rank rows within a window based on some criteria defined by an aggregator or compar</t>
        </is>
      </c>
      <c r="M1370" t="n">
        <v>0.0037</v>
      </c>
      <c r="N1370" t="n">
        <v>0.0896</v>
      </c>
      <c r="O1370" t="n">
        <v>0.1154</v>
      </c>
    </row>
    <row r="1371">
      <c r="A1371" t="inlineStr">
        <is>
          <t>presto</t>
        </is>
      </c>
      <c r="B1371" t="inlineStr">
        <is>
          <t>presto-tests/src/main/java/com/facebook/presto/tests/H2ConnectionModule.java</t>
        </is>
      </c>
      <c r="C1371">
        <f>HYPERLINK("https://github.com/prestodb/presto/blob/master/presto-tests/src/main/java/com/facebook/presto/tests/H2ConnectionModule.java")</f>
        <v/>
      </c>
      <c r="D1371" t="inlineStr">
        <is>
          <t>The provided code is a part of the Presto project by Facebook. It defines an abstract configuration aware module for managing function namespaces in MySQL database. The code includes Apache License 2.0 information at the top which specifies conditions under which users can use and distribute the software. This license covers both as-is and any modifications to the original source code.
The main functionality of</t>
        </is>
      </c>
      <c r="E1371" t="n">
        <v>0.004</v>
      </c>
      <c r="F1371" t="n">
        <v>0.08</v>
      </c>
      <c r="G1371" t="n">
        <v>0.146</v>
      </c>
      <c r="H1371" t="inlineStr">
        <is>
          <t>The code provided is a Java class that extends an abstract configuration aware module from the Presto project by Facebook for managing function namespaces in MySQL database. The complexity of this operation can be considered as O(1), meaning it has constant time complexity since no loop or recursion are involved and there's only one method being executed. This method appears to add two numbers together using basic arithmetic</t>
        </is>
      </c>
      <c r="I1371" t="n">
        <v>0.0035</v>
      </c>
      <c r="J1371" t="n">
        <v>0.0769</v>
      </c>
      <c r="K1371" t="n">
        <v>0.1429</v>
      </c>
      <c r="L1371" t="inlineStr">
        <is>
          <t>The provided code is a part of Facebook's Presto project and it deals with managing function namespaces in MySQL database using Guice (Google's dependency injection framework). The main purpose of this module is to provide an abstraction layer for the Function Namespace DAO which interacts directly with the MySQL database. 
It binds `FunctionNamespaceDao` class</t>
        </is>
      </c>
      <c r="M1371" t="n">
        <v>0.004</v>
      </c>
      <c r="N1371" t="n">
        <v>0.09379999999999999</v>
      </c>
      <c r="O1371" t="n">
        <v>0.1587</v>
      </c>
    </row>
    <row r="1372">
      <c r="A1372" t="inlineStr">
        <is>
          <t>presto</t>
        </is>
      </c>
      <c r="B1372" t="inlineStr">
        <is>
          <t>presto-tests/src/main/java/com/facebook/presto/tests/H2ConnectionConfig.java</t>
        </is>
      </c>
      <c r="C1372">
        <f>HYPERLINK("https://github.com/prestodb/presto/blob/master/presto-tests/src/main/java/com/facebook/presto/tests/H2ConnectionConfig.java")</f>
        <v/>
      </c>
      <c r="D1372" t="inlineStr">
        <is>
          <t>The provided code is a configuration class for an H2 database connection in Java. The Apache License 2.0 is included at the top of this file which specifies that users may not use it except in compliance with the license terms. This software can be distributed under certain conditions as specified by the license.
In detail, there are two fields and two methods defined here - `databaseName</t>
        </is>
      </c>
      <c r="E1372" t="n">
        <v>0.0064</v>
      </c>
      <c r="F1372" t="n">
        <v>0.08</v>
      </c>
      <c r="G1372" t="n">
        <v>0.2271</v>
      </c>
      <c r="H1372" t="inlineStr">
        <is>
          <t>The provided code is a Java class named `H2ConnectionConfig` that provides configuration for an H2 database connection. It includes methods to get and set the name of the database (`getDatabaseName()` and `setDatabaseName(String databaseName)`). The Apache License version 2.0 applies to this code.
It's configured with Airlift Configuration library</t>
        </is>
      </c>
      <c r="I1372" t="n">
        <v>0.0038</v>
      </c>
      <c r="J1372" t="n">
        <v>0.0339</v>
      </c>
      <c r="K1372" t="n">
        <v>0.0833</v>
      </c>
      <c r="L1372" t="inlineStr">
        <is>
          <t>The provided code is a Java class named `H2ConnectionConfig` that acts as the configuration for an H2 database connection. This class has one private field called `databaseName` and two methods - getter (`getDatabaseName()`) and setter (`setDatabaseName(String databaseName)`). The purpose of this class seems to be managing or configuring the name</t>
        </is>
      </c>
      <c r="M1372" t="n">
        <v>0.0044</v>
      </c>
      <c r="N1372" t="n">
        <v>0.06900000000000001</v>
      </c>
      <c r="O1372" t="n">
        <v>0.082</v>
      </c>
    </row>
    <row r="1373">
      <c r="A1373" t="inlineStr">
        <is>
          <t>presto</t>
        </is>
      </c>
      <c r="B1373" t="inlineStr">
        <is>
          <t>presto-tests/src/main/java/com/facebook/presto/tests/AbstractTestOrderByQueries.java</t>
        </is>
      </c>
      <c r="C1373">
        <f>HYPERLINK("https://github.com/prestodb/presto/blob/master/presto-tests/src/main/java/com/facebook/presto/tests/AbstractTestOrderByQueries.java")</f>
        <v/>
      </c>
      <c r="D1373" t="inlineStr">
        <is>
          <t>The code provided is a Java class that contains several test cases for the Presto SQL query engine developed by Facebook. The tests are designed to verify correctness of various aspects of the system like distributed sorting and exploiting constraints in queries. It also includes Apache License information which specifies conditions under which users may use this software.
The main function being tested appears to be `explore</t>
        </is>
      </c>
      <c r="E1373" t="n">
        <v>0.0027</v>
      </c>
      <c r="F1373" t="n">
        <v>0.08</v>
      </c>
      <c r="G1373" t="n">
        <v>0.1079</v>
      </c>
      <c r="H1373" t="inlineStr">
        <is>
          <t>The code you provided is a simple function that adds two numbers together in Python. It's complexity is O(1), meaning it takes constant time to execute regardless of the size of input data. The summary can be as follows: "This repository contains backend software components which implement core algorithms."
Please provide more specific information if this does not meet your requirements.</t>
        </is>
      </c>
      <c r="I1373" t="n">
        <v>0.0036</v>
      </c>
      <c r="J1373" t="n">
        <v>0.1127</v>
      </c>
      <c r="K1373" t="n">
        <v>0.2797</v>
      </c>
      <c r="L1373" t="inlineStr">
        <is>
          <t>The given code is a test suite for the Presto SQL query execution engine. The purpose of this suite involves testing various aspects such as distributed sorting and exploiting constraints in order to optimize queries' performance. It uses TestNG framework to run tests which are annotated with @Test annotation. 
It takes input from Session class (which represents an individual user session) and outputs</t>
        </is>
      </c>
      <c r="M1373" t="n">
        <v>0.0029</v>
      </c>
      <c r="N1373" t="n">
        <v>0.0563</v>
      </c>
      <c r="O1373" t="n">
        <v>0.1111</v>
      </c>
    </row>
    <row r="1374">
      <c r="A1374" t="inlineStr">
        <is>
          <t>presto</t>
        </is>
      </c>
      <c r="B1374" t="inlineStr">
        <is>
          <t>presto-tests/src/main/java/com/facebook/presto/tests/TestingPrestoClient.java</t>
        </is>
      </c>
      <c r="C1374">
        <f>HYPERLINK("https://github.com/prestodb/presto/blob/master/presto-tests/src/main/java/com/facebook/presto/tests/TestingPrestoClient.java")</f>
        <v/>
      </c>
      <c r="D1374" t="inlineStr">
        <is>
          <t>The provided code is a Java implementation of core algorithms and data structures used in the Presto SQL query engine by Facebook. It's licensed under Apache License 2.0. The code defines classes for handling different types such as IntervalDayTime, IntervalYearMonth, QueryData, etc., which are part of the Presto framework. This software can be distributed</t>
        </is>
      </c>
      <c r="E1374" t="n">
        <v>0.008500000000000001</v>
      </c>
      <c r="F1374" t="n">
        <v>0.09379999999999999</v>
      </c>
      <c r="G1374" t="n">
        <v>0.3384</v>
      </c>
      <c r="H1374" t="inlineStr">
        <is>
          <t>The function provided is a simple addition operation between two numbers 'a' and 'b'. It returns the sum of these two numbers. The time complexity of this function is O(1), meaning it takes constant time to execute regardless of the size of input data.
Here are some examples of how you can use this code in different programming languages:
Java: 
```java</t>
        </is>
      </c>
      <c r="I1374" t="n">
        <v>0.003</v>
      </c>
      <c r="J1374" t="n">
        <v>0.0571</v>
      </c>
      <c r="K1374" t="n">
        <v>0.1504</v>
      </c>
      <c r="L1374" t="inlineStr">
        <is>
          <t>```java
// This code is licensed under the Apache License Version 2.0 (the "License"). You may not use this file except in compliance with the License. You can obtain a copy of the License at http://www.apache.org/licenses/LICENSE-2.0 Unless required by applicable law or agreed to in writing, software distributed under the License</t>
        </is>
      </c>
      <c r="M1374" t="n">
        <v>0.0043</v>
      </c>
      <c r="N1374" t="n">
        <v>0.0606</v>
      </c>
      <c r="O1374" t="n">
        <v>0.122</v>
      </c>
    </row>
    <row r="1375">
      <c r="A1375" t="inlineStr">
        <is>
          <t>presto</t>
        </is>
      </c>
      <c r="B1375" t="inlineStr">
        <is>
          <t>presto-tests/src/main/java/com/facebook/presto/tests/ResultsSession.java</t>
        </is>
      </c>
      <c r="C1375">
        <f>HYPERLINK("https://github.com/prestodb/presto/blob/master/presto-tests/src/main/java/com/facebook/presto/tests/ResultsSession.java")</f>
        <v/>
      </c>
      <c r="D1375" t="inlineStr">
        <is>
          <t>The provided code is a Java interface named `ResultsSession` that provides default methods for setting and getting update information related to query results from the Presto client library. The implementation of these methods are not included in this summary as they would be too complex or specific to the actual use case. This interface seems to be part of some sort of framework or utility class where it may handle session management,</t>
        </is>
      </c>
      <c r="E1375" t="n">
        <v>0.003</v>
      </c>
      <c r="F1375" t="n">
        <v>0.025</v>
      </c>
      <c r="G1375" t="n">
        <v>0.1389</v>
      </c>
      <c r="H1375" t="inlineStr">
        <is>
          <t>The code you provided appears to be a Java interface named `ResultsSession` that has several default methods for setting and getting various types of information related to the session's results. The method names suggest they are used for updating certain aspects of the query result or status info. However, without seeing the full context or additional code, it is difficult to provide an accurate summary. This includes understanding what each</t>
        </is>
      </c>
      <c r="I1375" t="n">
        <v>0.0031</v>
      </c>
      <c r="J1375" t="n">
        <v>0.0253</v>
      </c>
      <c r="K1375" t="n">
        <v>0.1056</v>
      </c>
      <c r="L1375" t="inlineStr">
        <is>
          <t>The provided code is a Java interface named `ResultsSession` that defines several default methods related to managing query results and updates in the Presto client library. The purpose of this class seems to be handling session information for executing queries against a data source.
Here's an overview of its functionality:
1. It provides access to update information about the current session (via `</t>
        </is>
      </c>
      <c r="M1375" t="n">
        <v>0.0029</v>
      </c>
      <c r="N1375" t="n">
        <v>0.0563</v>
      </c>
      <c r="O1375" t="n">
        <v>0.0741</v>
      </c>
    </row>
    <row r="1376">
      <c r="A1376" t="inlineStr">
        <is>
          <t>presto</t>
        </is>
      </c>
      <c r="B1376" t="inlineStr">
        <is>
          <t>presto-tests/src/main/java/com/facebook/presto/tests/AbstractTestDistributedQueries.java</t>
        </is>
      </c>
      <c r="C1376">
        <f>HYPERLINK("https://github.com/prestodb/presto/blob/master/presto-tests/src/main/java/com/facebook/presto/tests/AbstractTestDistributedQueries.java")</f>
        <v/>
      </c>
      <c r="D1376" t="inlineStr">
        <is>
          <t>The code provided is a Java implementation of core algorithms used in the Presto project by Facebook. It includes various functionalities such as managing sessions, dispatching tasks and executing queries. The license for this software is Apache 2.0 which allows it to be freely distributed under certain conditions.
Please note that due to confidentiality agreements or other legal reasons, I cannot provide the full</t>
        </is>
      </c>
      <c r="E1376" t="n">
        <v>0.0037</v>
      </c>
      <c r="F1376" t="n">
        <v>0.1096</v>
      </c>
      <c r="G1376" t="n">
        <v>0.3135</v>
      </c>
      <c r="H1376" t="inlineStr">
        <is>
          <t>The provided code is a Java function named add that takes two parameters and returns their sum. The complexity of this operation is O(1), meaning it performs a fixed number of operations regardless of the size of input data. This function is part of an Apache License 2.0 licensed software package, which means you can use, modify or distribute it under certain conditions outlined in its license text.</t>
        </is>
      </c>
      <c r="I1376" t="n">
        <v>0.0035</v>
      </c>
      <c r="J1376" t="n">
        <v>0.0513</v>
      </c>
      <c r="K1376" t="n">
        <v>0.1429</v>
      </c>
      <c r="L1376" t="inlineStr">
        <is>
          <t>The provided code is a part of Facebook's Presto project and it seems to be related to managing queries in an SQL execution environment. 
It imports several classes from the Airlift library for testing assertions, handling durations, creating sessions, dispatching tasks, query management, basic information about queries etc. The main class being referred to appears to manage these operations through</t>
        </is>
      </c>
      <c r="M1376" t="n">
        <v>0.003</v>
      </c>
      <c r="N1376" t="n">
        <v>0.029</v>
      </c>
      <c r="O1376" t="n">
        <v>0.07580000000000001</v>
      </c>
    </row>
    <row r="1377">
      <c r="A1377" t="inlineStr">
        <is>
          <t>presto</t>
        </is>
      </c>
      <c r="B1377" t="inlineStr">
        <is>
          <t>presto-tests/src/main/java/com/facebook/presto/tests/TestingCoordinatorPlugin.java</t>
        </is>
      </c>
      <c r="C1377">
        <f>HYPERLINK("https://github.com/prestodb/presto/blob/master/presto-tests/src/main/java/com/facebook/presto/tests/TestingCoordinatorPlugin.java")</f>
        <v/>
      </c>
      <c r="D1377" t="inlineStr">
        <is>
          <t>The code provided is a Java class implementing the CoordinatorPlugin interface from Presto, an open source distributed SQL query engine for big data. It overrides the getFunctionNamespaceManagerFactories method to throw a Runtime Exception with a message indicating that this exception confirms that the README file in this repository contains backend software components and complexity of implementation of core algorithms. The function returns an Iter</t>
        </is>
      </c>
      <c r="E1377" t="n">
        <v>0.0037</v>
      </c>
      <c r="F1377" t="n">
        <v>0.1389</v>
      </c>
      <c r="G1377" t="n">
        <v>0.2206</v>
      </c>
      <c r="H1377" t="inlineStr">
        <is>
          <t>The function `add` in the provided code is a simple addition operation that takes two numbers as input and returns their sum. The functionality of this code involves adding two numbers together. It operates with a time complexity of O(1), meaning it performs a fixed number of operations regardless of the size of the inputs. The license for this code states under Apache License Version 2.0 which allows you</t>
        </is>
      </c>
      <c r="I1377" t="n">
        <v>0.0031</v>
      </c>
      <c r="J1377" t="n">
        <v>0.0506</v>
      </c>
      <c r="K1377" t="n">
        <v>0.1064</v>
      </c>
      <c r="L1377" t="inlineStr">
        <is>
          <t>The code provided is a Java class named "TestingCoordinatorPlugin". This class implements the interface CoordinatorPlugin from package com.facebook.presto.spi and overrides its method getFunctionNamespaceManagerFactories(). The purpose of this class seems to be for testing purposes only as it throws an exception when called. In summary, this class provides functionality related to managing function</t>
        </is>
      </c>
      <c r="M1377" t="n">
        <v>0.005</v>
      </c>
      <c r="N1377" t="n">
        <v>0.09520000000000001</v>
      </c>
      <c r="O1377" t="n">
        <v>0.1613</v>
      </c>
    </row>
    <row r="1378">
      <c r="A1378" t="inlineStr">
        <is>
          <t>presto</t>
        </is>
      </c>
      <c r="B1378" t="inlineStr">
        <is>
          <t>presto-tests/src/main/java/com/facebook/presto/tests/QueryAssertions.java</t>
        </is>
      </c>
      <c r="C1378">
        <f>HYPERLINK("https://github.com/prestodb/presto/blob/master/presto-tests/src/main/java/com/facebook/presto/tests/QueryAssertions.java")</f>
        <v/>
      </c>
      <c r="D1378" t="inlineStr">
        <is>
          <t>The provided code is a Java implementation of Facebook's Presto SQL query engine. It includes Apache License 2.0 conditions for usage and distribution. The main functionality involves executing queries against an underlying data source using various algorithms implemented by the system.
It also handles transactions, warnings collection, plan generation, and testing utilities related to these functionalities. However, without seeing the</t>
        </is>
      </c>
      <c r="E1378" t="n">
        <v>0.0036</v>
      </c>
      <c r="F1378" t="n">
        <v>0.0857</v>
      </c>
      <c r="G1378" t="n">
        <v>0.1136</v>
      </c>
      <c r="H1378" t="inlineStr">
        <is>
          <t>The code you provided is a simple function for addition of two numbers in Python named `add`. It takes two parameters (numbers), adds them together and returns the result. The time complexity of this operation is O(1).
Here's an equivalent summary with your example:
```python
# Licensed under the Apache License, Version 2.0 (the</t>
        </is>
      </c>
      <c r="I1378" t="n">
        <v>0.0034</v>
      </c>
      <c r="J1378" t="n">
        <v>0.0625</v>
      </c>
      <c r="K1378" t="n">
        <v>0.119</v>
      </c>
      <c r="L1378" t="inlineStr">
        <is>
          <t>The provided code is part of a Facebook's Presto SQL query execution engine project. The main purpose of this code seems to be the implementation and testing of queries in an abstract syntax tree (AST) format using various algorithms for planning and executing these queries. 
It appears to work with session information related to transactions, warnings, plans, AST nodes etc. It also includes</t>
        </is>
      </c>
      <c r="M1378" t="n">
        <v>0.0029</v>
      </c>
      <c r="N1378" t="n">
        <v>0.0833</v>
      </c>
      <c r="O1378" t="n">
        <v>0.1481</v>
      </c>
    </row>
    <row r="1379">
      <c r="A1379" t="inlineStr">
        <is>
          <t>presto</t>
        </is>
      </c>
      <c r="B1379" t="inlineStr">
        <is>
          <t>presto-tests/src/main/java/com/facebook/presto/tests/CustomSum.java</t>
        </is>
      </c>
      <c r="C1379">
        <f>HYPERLINK("https://github.com/prestodb/presto/blob/master/presto-tests/src/main/java/com/facebook/presto/tests/CustomSum.java")</f>
        <v/>
      </c>
      <c r="D1379" t="inlineStr">
        <is>
          <t>The code provided is a Java implementation of an aggregation function for Presto SQL (a distributed SQL query engine). The purpose of this code seems to be to calculate the sum of long integers in a group of data. It uses Apache License 2.0 which means it can be used freely under certain conditions as stated in the license file.
It defines an Aggregation Function</t>
        </is>
      </c>
      <c r="E1379" t="n">
        <v>0</v>
      </c>
      <c r="F1379" t="n">
        <v>0.0541</v>
      </c>
      <c r="G1379" t="n">
        <v>0.146</v>
      </c>
      <c r="H1379" t="inlineStr">
        <is>
          <t>The provided code is a Java implementation of an aggregation function for the Presto SQL query engine. The purpose of this function appears to be to add up large amounts of data in parallel using distributed computing principles. 
It uses Apache License version 2.0 which means it's free to use and modify under certain conditions. It also includes comments explaining these terms. This function</t>
        </is>
      </c>
      <c r="I1379" t="n">
        <v>0.0034</v>
      </c>
      <c r="J1379" t="n">
        <v>0.08110000000000001</v>
      </c>
      <c r="K1379" t="n">
        <v>0.1471</v>
      </c>
      <c r="L1379" t="inlineStr">
        <is>
          <t>The provided code is an implementation of a custom aggregation function in Presto SQL (a distributed SQL query engine). The purpose of this code seems to be to calculate the sum of long values and return it as BigInt type. 
Here's a concise summary of its functionality: This code defines a new aggregate function named "sum_bigint". It takes input data</t>
        </is>
      </c>
      <c r="M1379" t="n">
        <v>0.0036</v>
      </c>
      <c r="N1379" t="n">
        <v>0.0857</v>
      </c>
      <c r="O1379" t="n">
        <v>0.1894</v>
      </c>
    </row>
    <row r="1380">
      <c r="A1380" t="inlineStr">
        <is>
          <t>presto</t>
        </is>
      </c>
      <c r="B1380" t="inlineStr">
        <is>
          <t>presto-tests/src/main/java/com/facebook/presto/tests/TestingProcedures.java</t>
        </is>
      </c>
      <c r="C1380">
        <f>HYPERLINK("https://github.com/prestodb/presto/blob/master/presto-tests/src/main/java/com/facebook/presto/tests/TestingProcedures.java")</f>
        <v/>
      </c>
      <c r="D1380" t="inlineStr">
        <is>
          <t>The code provided is a Java class that contains the definition of a Procedure in Presto, an open source distributed SQL query engine for big data. The purpose of this procedure seems to be to test other procedures (possibly unit tests). It uses Apache License 2.0 which means it can be used and modified freely as long as compliance with the license terms are maintained.</t>
        </is>
      </c>
      <c r="E1380" t="n">
        <v>0.0028</v>
      </c>
      <c r="F1380" t="n">
        <v>0.0541</v>
      </c>
      <c r="G1380" t="n">
        <v>0.1865</v>
      </c>
      <c r="H1380" t="inlineStr">
        <is>
          <t>The code provided is a Java method for addition of two numbers (`add()`). It takes in two parameters `a` and `b` which are to be added together. The function returns the sum of these two numbers. This operation has a time complexity of O(1), meaning it performs a constant number of operations regardless of input size.
Here's the summary of</t>
        </is>
      </c>
      <c r="I1380" t="n">
        <v>0.0036</v>
      </c>
      <c r="J1380" t="n">
        <v>0.0286</v>
      </c>
      <c r="K1380" t="n">
        <v>0.1515</v>
      </c>
      <c r="L1380" t="inlineStr">
        <is>
          <t>The provided code is a Java implementation of an Apache Presto database connector procedure for testing purposes. The main purpose of this code is to test the functionality and behavior of procedures in the Presto framework by providing input arguments and returning outputs based on those inputs. This process involves identifying key operations such as creating new instances of ProcedureTester class with specific configurations, executing tests using these instances,</t>
        </is>
      </c>
      <c r="M1380" t="n">
        <v>0.0062</v>
      </c>
      <c r="N1380" t="n">
        <v>0.0779</v>
      </c>
      <c r="O1380" t="n">
        <v>0.1418</v>
      </c>
    </row>
    <row r="1381">
      <c r="A1381" t="inlineStr">
        <is>
          <t>presto</t>
        </is>
      </c>
      <c r="B1381" t="inlineStr">
        <is>
          <t>presto-tests/src/main/java/com/facebook/presto/tests/AbstractTestIndexedQueries.java</t>
        </is>
      </c>
      <c r="C1381">
        <f>HYPERLINK("https://github.com/prestodb/presto/blob/master/presto-tests/src/main/java/com/facebook/presto/tests/AbstractTestIndexedQueries.java")</f>
        <v/>
      </c>
      <c r="D1381" t="inlineStr">
        <is>
          <t>The code is a Java program that tests the functionality of Presto, an open source distributed SQL query engine for big data processing. It's licensed under Apache License 2.0 and includes comments explaining its purpose and implementation details. The main class has methods to test TPC-H queries with different join configurations.
It uses various libraries such as TestNG for testing framework,</t>
        </is>
      </c>
      <c r="E1381" t="n">
        <v>0.0036</v>
      </c>
      <c r="F1381" t="n">
        <v>0.0556</v>
      </c>
      <c r="G1381" t="n">
        <v>0.1128</v>
      </c>
      <c r="H1381" t="inlineStr">
        <is>
          <t>The code provided is a simple function for addition of two numbers in Python. It takes two parameters (numbers), adds them together and returns the result. The time complexity of this operation is O(1).
Here's the summary without repeating any code:
```python
# Licensed under the Apache License, Version 2.0 (the "License");
#</t>
        </is>
      </c>
      <c r="I1381" t="n">
        <v>0.0035</v>
      </c>
      <c r="J1381" t="n">
        <v>0.0645</v>
      </c>
      <c r="K1381" t="n">
        <v>0.12</v>
      </c>
      <c r="L1381" t="inlineStr">
        <is>
          <t>The provided code is a part of the Presto SQL test suite for Facebook's distributed SQL query engine. It tests various aspects of TPC-H queries using different join types and configurations. The main purpose of this code seems to be testing performance characteristics of different joins on large datasets with varying numbers of partitions.
The function `runJoinTests` executes multiple iterations of joining</t>
        </is>
      </c>
      <c r="M1381" t="n">
        <v>0.0029</v>
      </c>
      <c r="N1381" t="n">
        <v>0.0556</v>
      </c>
      <c r="O1381" t="n">
        <v>0.1119</v>
      </c>
    </row>
    <row r="1382">
      <c r="A1382" t="inlineStr">
        <is>
          <t>presto</t>
        </is>
      </c>
      <c r="B1382" t="inlineStr">
        <is>
          <t>presto-tests/src/main/java/com/facebook/presto/tests/AbstractTestEngineOnlyQueries.java</t>
        </is>
      </c>
      <c r="C1382">
        <f>HYPERLINK("https://github.com/prestodb/presto/blob/master/presto-tests/src/main/java/com/facebook/presto/tests/AbstractTestEngineOnlyQueries.java")</f>
        <v/>
      </c>
      <c r="D1382" t="inlineStr">
        <is>
          <t>The code provided is a Java implementation of some date and time functionalities using the java.time package from JDK 8 onwards. It includes classes for LocalDate, LocalDateTime, LocalTime, OffsetTime, ZoneId, ZoneOffset, and ZonedDateTime which are used to handle different types of dates and times in Java. The Apache License version 2.0 applies to this</t>
        </is>
      </c>
      <c r="E1382" t="n">
        <v>0.0034</v>
      </c>
      <c r="F1382" t="n">
        <v>0.09379999999999999</v>
      </c>
      <c r="G1382" t="n">
        <v>0.1587</v>
      </c>
      <c r="H1382" t="inlineStr">
        <is>
          <t>The code you provided is a simple function that performs addition of two numbers in Python. The functionality can be summarized as follows:
```plaintext
Function Name: add
Inputs: Two numeric values (either integers or floating point numbers).
Output: Returns the sum of the input numbers.
Complexity: O(1), meaning it has constant time complexity since</t>
        </is>
      </c>
      <c r="I1382" t="n">
        <v>0.0034</v>
      </c>
      <c r="J1382" t="n">
        <v>0.0317</v>
      </c>
      <c r="K1382" t="n">
        <v>0.0794</v>
      </c>
      <c r="L1382" t="inlineStr">
        <is>
          <t>The provided code is a part of Facebook's Presto project which includes unit tests for the core date and time functionalities in Java 8 using TestNG framework. The main purpose of this code seems to be testing various operations related to dates, times, offsets, zone ids, zoned datetime objects etc.
It uses Apache License Version 2.0 as stated</t>
        </is>
      </c>
      <c r="M1382" t="n">
        <v>0.0037</v>
      </c>
      <c r="N1382" t="n">
        <v>0.0588</v>
      </c>
      <c r="O1382" t="n">
        <v>0.1538</v>
      </c>
    </row>
    <row r="1383">
      <c r="A1383" t="inlineStr">
        <is>
          <t>presto</t>
        </is>
      </c>
      <c r="B1383" t="inlineStr">
        <is>
          <t>presto-tests/src/main/java/com/facebook/presto/tests/AbstractTestVerboseMemoryExceededErrors.java</t>
        </is>
      </c>
      <c r="C1383">
        <f>HYPERLINK("https://github.com/prestodb/presto/blob/master/presto-tests/src/main/java/com/facebook/presto/tests/AbstractTestVerboseMemoryExceededErrors.java")</f>
        <v/>
      </c>
      <c r="D1383" t="inlineStr">
        <is>
          <t>The code provided is a Java implementation of core algorithms from Facebook's Presto project for testing purposes. It includes various classes and interfaces related to data processing tasks such as window operations, hash aggregation operators, etc. The license at the top restricts its use without compliance with Apache License 2.0. This software can be distributed freely but must include this notice and any modifications made under</t>
        </is>
      </c>
      <c r="E1383" t="n">
        <v>0.0069</v>
      </c>
      <c r="F1383" t="n">
        <v>0.0789</v>
      </c>
      <c r="G1383" t="n">
        <v>0.2174</v>
      </c>
      <c r="H1383" t="inlineStr">
        <is>
          <t>The code you provided is a simple function that adds two numbers together in Java. It takes two parameters (numbers), adds them together and returns the result. The time complexity of this operation is O(1).
Here's a summary for your reference: 
```java
// Licensed under the Apache License, Version 2.0 (the "License");</t>
        </is>
      </c>
      <c r="I1383" t="n">
        <v>0.0035</v>
      </c>
      <c r="J1383" t="n">
        <v>0.0645</v>
      </c>
      <c r="K1383" t="n">
        <v>0.121</v>
      </c>
      <c r="L1383" t="inlineStr">
        <is>
          <t>The provided code is a Java implementation of unit tests for Presto SQL queries using TestNG framework. The main purpose of this code is to test the performance and functionality of these queries by simulating different scenarios such as memory reservation, window operations, hash aggregation, etc.
Here are some key components involved in this code:
1. It uses `@Test`</t>
        </is>
      </c>
      <c r="M1383" t="n">
        <v>0.0037</v>
      </c>
      <c r="N1383" t="n">
        <v>0.0597</v>
      </c>
      <c r="O1383" t="n">
        <v>0.1527</v>
      </c>
    </row>
    <row r="1384">
      <c r="A1384" t="inlineStr">
        <is>
          <t>presto</t>
        </is>
      </c>
      <c r="B1384" t="inlineStr">
        <is>
          <t>presto-tests/src/main/java/com/facebook/presto/tests/AbstractTestWindowQueries.java</t>
        </is>
      </c>
      <c r="C1384">
        <f>HYPERLINK("https://github.com/prestodb/presto/blob/master/presto-tests/src/main/java/com/facebook/presto/tests/AbstractTestWindowQueries.java")</f>
        <v/>
      </c>
      <c r="D1384" t="inlineStr">
        <is>
          <t>The code provided appears to be a Java class with several import statements and an annotation for TestNG testing framework. It also contains comments about the license under Apache 2.0, which is typically required in open source projects. The main functionality of this code seems to involve unit tests for some form of data processing or querying system using Presto, Facebook's SQL-like database engine.</t>
        </is>
      </c>
      <c r="E1384" t="n">
        <v>0.0034</v>
      </c>
      <c r="F1384" t="n">
        <v>0.0267</v>
      </c>
      <c r="G1384" t="n">
        <v>0.1103</v>
      </c>
      <c r="H1384" t="inlineStr">
        <is>
          <t>The provided code is a Java implementation of the add function which adds two numbers together. The complexity of this operation is O(1), meaning it takes constant time to execute regardless of the size of the input data. It's licensed under Apache License Version 2.0 and contains comments explaining its functionality and limitations.
&lt;jupyter_text&gt;
I am an expert software</t>
        </is>
      </c>
      <c r="I1384" t="n">
        <v>0.0072</v>
      </c>
      <c r="J1384" t="n">
        <v>0.08450000000000001</v>
      </c>
      <c r="K1384" t="n">
        <v>0.284</v>
      </c>
      <c r="L1384" t="inlineStr">
        <is>
          <t>The provided code is a test suite for an application using TestNG framework in Java language. The main purpose of this code seems to be testing the functionality of some presto related operations like materializing results and handling different types of data (like BigInt, Double, Varchar). This code also includes licensing information at the top which states that it's licensed under Apache License 2.0</t>
        </is>
      </c>
      <c r="M1384" t="n">
        <v>0.0037</v>
      </c>
      <c r="N1384" t="n">
        <v>0.08110000000000001</v>
      </c>
      <c r="O1384" t="n">
        <v>0.1103</v>
      </c>
    </row>
    <row r="1385">
      <c r="A1385" t="inlineStr">
        <is>
          <t>presto</t>
        </is>
      </c>
      <c r="B1385" t="inlineStr">
        <is>
          <t>presto-tests/src/main/java/com/facebook/presto/tests/H2FunctionNamespaceManagerFactory.java</t>
        </is>
      </c>
      <c r="C1385">
        <f>HYPERLINK("https://github.com/prestodb/presto/blob/master/presto-tests/src/main/java/com/facebook/presto/tests/H2FunctionNamespaceManagerFactory.java")</f>
        <v/>
      </c>
      <c r="D1385" t="inlineStr">
        <is>
          <t>The code provided is a Java implementation of Presto, an open source distributed SQL query engine for big data processing. It uses Apache License 2.0 which allows users to use the software in any way they wish as long as it complies with the terms and conditions specified by the license. The main components used are Bootstrap (for bootstrapping), Drift Netty Client Module (</t>
        </is>
      </c>
      <c r="E1385" t="n">
        <v>0.0034</v>
      </c>
      <c r="F1385" t="n">
        <v>0.0556</v>
      </c>
      <c r="G1385" t="n">
        <v>0.1838</v>
      </c>
      <c r="H1385" t="inlineStr">
        <is>
          <t>The provided code is a Java program that uses the Apache Presto framework for executing SQL functions on MySQL databases. It includes several modules such as Drift Netty Client Module and MySql Function Namespace Manager module which are used to handle network communications and database functionalities respectively. The main function namespace manager class `MySqlFunctionNamespaceManager` provides methods for managing function namespaces in MySQL databases.</t>
        </is>
      </c>
      <c r="I1385" t="n">
        <v>0.0034</v>
      </c>
      <c r="J1385" t="n">
        <v>0.08450000000000001</v>
      </c>
      <c r="K1385" t="n">
        <v>0.1111</v>
      </c>
      <c r="L1385" t="inlineStr">
        <is>
          <t>The provided code is a Java application that uses Apache Presto as its query engine and interacts with MySQL database through the use of function namespaces. The main purpose of this code seems to be managing and executing SQL functions defined in different namespace managers for various databases like MySQL.
Here's an overview of what it does: 
1) It initializes bootstrapping</t>
        </is>
      </c>
      <c r="M1385" t="n">
        <v>0.003</v>
      </c>
      <c r="N1385" t="n">
        <v>0.0571</v>
      </c>
      <c r="O1385" t="n">
        <v>0.1128</v>
      </c>
    </row>
    <row r="1386">
      <c r="A1386" t="inlineStr">
        <is>
          <t>presto</t>
        </is>
      </c>
      <c r="B1386" t="inlineStr">
        <is>
          <t>presto-tests/src/main/java/com/facebook/presto/tests/AbstractTestRepartitionQueries.java</t>
        </is>
      </c>
      <c r="C1386">
        <f>HYPERLINK("https://github.com/prestodb/presto/blob/master/presto-tests/src/main/java/com/facebook/presto/tests/AbstractTestRepartitionQueries.java")</f>
        <v/>
      </c>
      <c r="D1386" t="inlineStr">
        <is>
          <t>The code is licensed under the Apache License Version 2.0 and it's distributed on an "AS IS" basis without any warranties or conditions of any kind either expressed or implied. The specific language governing permissions and limitations under this license are to be seen at http://www.apache.org/licenses/LICENSE-2.0. This software may not be used except in</t>
        </is>
      </c>
      <c r="E1386" t="n">
        <v>0.007900000000000001</v>
      </c>
      <c r="F1386" t="n">
        <v>0.0563</v>
      </c>
      <c r="G1386" t="n">
        <v>0.2505</v>
      </c>
      <c r="H1386" t="inlineStr">
        <is>
          <t>The code you provided appears to be a Java method for adding two numbers together (`a + b`). The function is named `add` and takes in two parameters of type integer or any numeric data types that support addition operation. It returns the sum of these two numbers. This functionality can be summarized as follows: "Adds two numbers." Its complexity is O(1), meaning</t>
        </is>
      </c>
      <c r="I1386" t="n">
        <v>0.0038</v>
      </c>
      <c r="J1386" t="n">
        <v>0.0563</v>
      </c>
      <c r="K1386" t="n">
        <v>0.1481</v>
      </c>
      <c r="L1386" t="inlineStr">
        <is>
          <t>The provided code is a Java test class for testing the repartition queries in Presto, a distributed SQL query engine for big data processing. The main purpose of this class seems to be to verify if boolean values are correctly partitioned across different nodes during query execution.
Here's a concise summary of its functionality: 
It tests whether Boolean values are accurately and consistently</t>
        </is>
      </c>
      <c r="M1386" t="n">
        <v>0.0029</v>
      </c>
      <c r="N1386" t="n">
        <v>0.0833</v>
      </c>
      <c r="O1386" t="n">
        <v>0.0741</v>
      </c>
    </row>
    <row r="1387">
      <c r="A1387" t="inlineStr">
        <is>
          <t>presto</t>
        </is>
      </c>
      <c r="B1387" t="inlineStr">
        <is>
          <t>presto-tests/src/main/java/com/facebook/presto/tests/AbstractTestSqlInvokedFunctions.java</t>
        </is>
      </c>
      <c r="C1387">
        <f>HYPERLINK("https://github.com/prestodb/presto/blob/master/presto-tests/src/main/java/com/facebook/presto/tests/AbstractTestSqlInvokedFunctions.java")</f>
        <v/>
      </c>
      <c r="D1387" t="inlineStr">
        <is>
          <t>The code provided is a Java class with an Apache License header and it appears to be part of the Presto project from Facebook (a distributed SQL query engine). The license allows for use in any application as long as compliance is maintained. This particular piece of code seems to set up system properties related to key based sampling which could potentially influence how data is processed or queried within the context of</t>
        </is>
      </c>
      <c r="E1387" t="n">
        <v>0.003</v>
      </c>
      <c r="F1387" t="n">
        <v>0.0247</v>
      </c>
      <c r="G1387" t="n">
        <v>0.1034</v>
      </c>
      <c r="H1387" t="inlineStr">
        <is>
          <t>The function provided is a simple addition operation that takes two numbers as input and returns their sum. The functionality of this code is straightforward - it adds (i.e., sums up) the values passed to it by using the '+' operator in Python. This operation has a time complexity of O(1), meaning its execution time does not increase with the size of the inputs.</t>
        </is>
      </c>
      <c r="I1387" t="n">
        <v>0.0037</v>
      </c>
      <c r="J1387" t="n">
        <v>0.0556</v>
      </c>
      <c r="K1387" t="n">
        <v>0.1471</v>
      </c>
      <c r="L1387" t="inlineStr">
        <is>
          <t>The provided code is a part of Presto, an open source distributed SQL query engine for running interactive analytic queries against various data sources such as Hadoop. The main purpose of this piece of code appears to be setting up and managing key based sampling in the session properties of the presto system. Specifically, it enables or disables key based sampling using a specific function (specified by KEY_</t>
        </is>
      </c>
      <c r="M1387" t="n">
        <v>0.0027</v>
      </c>
      <c r="N1387" t="n">
        <v>0.0526</v>
      </c>
      <c r="O1387" t="n">
        <v>0.1071</v>
      </c>
    </row>
    <row r="1388">
      <c r="A1388" t="inlineStr">
        <is>
          <t>presto</t>
        </is>
      </c>
      <c r="B1388" t="inlineStr">
        <is>
          <t>presto-tests/src/main/java/com/facebook/presto/tests/AbstractTestNativeTpchConnectorQueries.java</t>
        </is>
      </c>
      <c r="C1388">
        <f>HYPERLINK("https://github.com/prestodb/presto/blob/master/presto-tests/src/main/java/com/facebook/presto/tests/AbstractTestNativeTpchConnectorQueries.java")</f>
        <v/>
      </c>
      <c r="D1388" t="inlineStr">
        <is>
          <t>The code is licensed under the Apache License 2.0 and it's a test class for TPC-H queries using the Native connector in Presto. The tests are annotated with @Test to be picked up by TestNG testing framework. It contains assertions (checks) of different SQL queries against customer, line item, orders, and nation tables from TPC-H</t>
        </is>
      </c>
      <c r="E1388" t="n">
        <v>0.0033</v>
      </c>
      <c r="F1388" t="n">
        <v>0.0299</v>
      </c>
      <c r="G1388" t="n">
        <v>0.07870000000000001</v>
      </c>
      <c r="H1388" t="inlineStr">
        <is>
          <t>The provided code is a Java method for adding two numbers (`add()`). It takes in two parameters `a` and `b` and returns their sum. The time complexity of this function is O(1), meaning it performs a constant number of operations regardless of the size of the input data.
Here's an example summary with further details about its functionality, complexity,</t>
        </is>
      </c>
      <c r="I1388" t="n">
        <v>0.0031</v>
      </c>
      <c r="J1388" t="n">
        <v>0.058</v>
      </c>
      <c r="K1388" t="n">
        <v>0.1145</v>
      </c>
      <c r="L1388" t="inlineStr">
        <is>
          <t>The provided code is a test class in Java for Presto (a distributed SQL query engine). The purpose of this class is to validate the correctness and performance of queries against TPC-H benchmark tables using native connector. It contains four tests that verify count aggregates on customer, line item, orders, and nation tables respectively. Each assertions checks if the result matches with expected output by</t>
        </is>
      </c>
      <c r="M1388" t="n">
        <v>0.0028</v>
      </c>
      <c r="N1388" t="n">
        <v>0.0541</v>
      </c>
      <c r="O1388" t="n">
        <v>0.1095</v>
      </c>
    </row>
    <row r="1389">
      <c r="A1389" t="inlineStr">
        <is>
          <t>presto</t>
        </is>
      </c>
      <c r="B1389" t="inlineStr">
        <is>
          <t>presto-tests/src/main/java/com/facebook/presto/tests/StandaloneQueryRunner.java</t>
        </is>
      </c>
      <c r="C1389">
        <f>HYPERLINK("https://github.com/prestodb/presto/blob/master/presto-tests/src/main/java/com/facebook/presto/tests/StandaloneQueryRunner.java")</f>
        <v/>
      </c>
      <c r="D1389" t="inlineStr">
        <is>
          <t>The provided code is a Java implementation of core algorithms used in the Presto project by Facebook. It appears to be related to metadata management and session handling for a distributed computing system. The license at the top indicates that it's licensed under Apache 2.0.
It seems to import various packages from different libraries such as Airlift, presto common, cost calculation etc.,</t>
        </is>
      </c>
      <c r="E1389" t="n">
        <v>0.0035</v>
      </c>
      <c r="F1389" t="n">
        <v>0.0833</v>
      </c>
      <c r="G1389" t="n">
        <v>0.1493</v>
      </c>
      <c r="H1389" t="inlineStr">
        <is>
          <t>The provided code is a Java implementation of the add function which adds two numbers together. The complexity of this operation is O(1), meaning it takes constant time regardless of the size of the input data. This means that the amount of resources (like memory or CPU cycles) used by the function does not change with an increase in its input.
In terms of functionality, this code defines</t>
        </is>
      </c>
      <c r="I1389" t="n">
        <v>0.0027</v>
      </c>
      <c r="J1389" t="n">
        <v>0.0519</v>
      </c>
      <c r="K1389" t="n">
        <v>0.1071</v>
      </c>
      <c r="L1389" t="inlineStr">
        <is>
          <t>The provided code is part of a complex system that handles various tasks related to query execution and optimization in an open source project called Presto by Facebook. The main purpose of this module seems to be the calculation of statistics for cost estimation during SQL queries' planning phase. 
It uses several classes from different packages including Session (for managing session properties), QualifiedObjectName (representing</t>
        </is>
      </c>
      <c r="M1389" t="n">
        <v>0.0034</v>
      </c>
      <c r="N1389" t="n">
        <v>0.0556</v>
      </c>
      <c r="O1389" t="n">
        <v>0.1471</v>
      </c>
    </row>
    <row r="1390">
      <c r="A1390" t="inlineStr">
        <is>
          <t>presto</t>
        </is>
      </c>
      <c r="B1390" t="inlineStr">
        <is>
          <t>presto-tests/src/main/java/com/facebook/presto/tests/CustomStructWithoutPassthrough.java</t>
        </is>
      </c>
      <c r="C1390">
        <f>HYPERLINK("https://github.com/prestodb/presto/blob/master/presto-tests/src/main/java/com/facebook/presto/tests/CustomStructWithoutPassthrough.java")</f>
        <v/>
      </c>
      <c r="D1390" t="inlineStr">
        <is>
          <t>The code provided is a Java class named "CustomStructWithoutPassthrough". This class appears to be part of the Presto project's source code and it seems to contain annotations for functions that are being declared as scalar functions in this context. The function decorator @ScalarFunction indicates that these methods will operate on scalars - single values rather than collections or arrays.</t>
        </is>
      </c>
      <c r="E1390" t="n">
        <v>0.0037</v>
      </c>
      <c r="F1390" t="n">
        <v>0.0597</v>
      </c>
      <c r="G1390" t="n">
        <v>0.1145</v>
      </c>
      <c r="H1390" t="inlineStr">
        <is>
          <t>The function is a scalar function that adds two numbers together and returns the result. It takes in two parameters of type long (which represent the input values to be added). The complexity of this operation is O(1), meaning it performs a constant number of operations regardless of the size of the inputs.
The code uses Java annotations provided by Presto's SPI (Service Pro</t>
        </is>
      </c>
      <c r="I1390" t="n">
        <v>0.0028</v>
      </c>
      <c r="J1390" t="n">
        <v>0.0541</v>
      </c>
      <c r="K1390" t="n">
        <v>0.1103</v>
      </c>
      <c r="L1390" t="inlineStr">
        <is>
          <t>The provided code is a Java class named `CustomStructWithoutPassthrough` that contains two static methods and one non-static method related to the manipulation of data blocks in PrestoDB (a distributed SQL query engine).
Here's an overview of what it does: 
It defines three functions:
1) The first function, annotated</t>
        </is>
      </c>
      <c r="M1390" t="n">
        <v>0.0038</v>
      </c>
      <c r="N1390" t="n">
        <v>0.0345</v>
      </c>
      <c r="O1390" t="n">
        <v>0.0417</v>
      </c>
    </row>
    <row r="1391">
      <c r="A1391" t="inlineStr">
        <is>
          <t>presto</t>
        </is>
      </c>
      <c r="B1391" t="inlineStr">
        <is>
          <t>presto-tests/src/main/java/com/facebook/presto/tests/StructuralTestUtil.java</t>
        </is>
      </c>
      <c r="C1391">
        <f>HYPERLINK("https://github.com/prestodb/presto/blob/master/presto-tests/src/main/java/com/facebook/presto/tests/StructuralTestUtil.java")</f>
        <v/>
      </c>
      <c r="D1391" t="inlineStr">
        <is>
          <t>The code provided is a Java implementation of core algorithms used in PrestoDB (a distributed SQL query engine for big data). It includes various import statements related to the use of types and blocks within Presto's architecture such as DecimalType, Block, MapType, RowType etc., along with Apache License 2.0 details at the top which specifies conditions under which license can</t>
        </is>
      </c>
      <c r="E1391" t="n">
        <v>0.0036</v>
      </c>
      <c r="F1391" t="n">
        <v>0.0857</v>
      </c>
      <c r="G1391" t="n">
        <v>0.1515</v>
      </c>
      <c r="H1391" t="inlineStr">
        <is>
          <t>The code provided is a Java implementation of the function `add` which adds two numbers together using the + operator in Java programming language. The time complexity of this operation is O(1), meaning it takes constant time to perform regardless of the size of the input data.
&lt;jupyter_output&gt;
&lt;empty_output&gt;
&lt;jupyter_text</t>
        </is>
      </c>
      <c r="I1391" t="n">
        <v>0</v>
      </c>
      <c r="J1391" t="n">
        <v>0.06560000000000001</v>
      </c>
      <c r="K1391" t="n">
        <v>0.123</v>
      </c>
      <c r="L1391" t="inlineStr">
        <is>
          <t>The provided code file is a part of Facebook's Presto project. It appears to be implementing various operations related to data types in the framework. The main purpose seems to be managing and manipulating different types of data such as DecimalType, MapType, RowType etc. 
It uses core algorithms for handling these types effectively. However, without context or additional information about</t>
        </is>
      </c>
      <c r="M1391" t="n">
        <v>0.0036</v>
      </c>
      <c r="N1391" t="n">
        <v>0.058</v>
      </c>
      <c r="O1391" t="n">
        <v>0.1515</v>
      </c>
    </row>
    <row r="1392">
      <c r="A1392" t="inlineStr">
        <is>
          <t>presto</t>
        </is>
      </c>
      <c r="B1392" t="inlineStr">
        <is>
          <t>presto-tests/src/main/java/com/facebook/presto/tests/CustomAdd.java</t>
        </is>
      </c>
      <c r="C1392">
        <f>HYPERLINK("https://github.com/prestodb/presto/blob/master/presto-tests/src/main/java/com/facebook/presto/tests/CustomAdd.java")</f>
        <v/>
      </c>
      <c r="D1392" t="inlineStr">
        <is>
          <t>The code provided is a Java class named "CustomAdd". This class contains one static method called "customAdd", which takes two parameters of type long and returns their sum as a result. The function has been annotated with @ScalarFunction to indicate that it's a scalar function in Presto SQL (a distributed SQL query engine for big data). It also uses the @SqlType</t>
        </is>
      </c>
      <c r="E1392" t="n">
        <v>0.0036</v>
      </c>
      <c r="F1392" t="n">
        <v>0.0571</v>
      </c>
      <c r="G1392" t="n">
        <v>0.1504</v>
      </c>
      <c r="H1392" t="inlineStr">
        <is>
          <t>The function `add` takes two parameters of type long (BigInteger in Java), and returns their sum. The complexity is O(1). It's a simple addition operation that doesn't involve any loops or recursion.
It adheres to the Apache License 2.0 which means it can be used freely under certain conditions as specified by the license. This includes not</t>
        </is>
      </c>
      <c r="I1392" t="n">
        <v>0.0038</v>
      </c>
      <c r="J1392" t="n">
        <v>0.058</v>
      </c>
      <c r="K1392" t="n">
        <v>0.1163</v>
      </c>
      <c r="L1392" t="inlineStr">
        <is>
          <t>The provided code is a Java class named "CustomAdd". This class contains one static method called "customAdd", which takes two long type parameters and returns their sum as a result. The function has been annotated with the @ScalarFunction annotation from Presto's SPI (Service Provider Interface). 
The main purpose of this function seems to be performing an addition operation</t>
        </is>
      </c>
      <c r="M1392" t="n">
        <v>0.0037</v>
      </c>
      <c r="N1392" t="n">
        <v>0.0597</v>
      </c>
      <c r="O1392" t="n">
        <v>0.1538</v>
      </c>
    </row>
    <row r="1393">
      <c r="A1393" t="inlineStr">
        <is>
          <t>presto</t>
        </is>
      </c>
      <c r="B1393" t="inlineStr">
        <is>
          <t>presto-tests/src/main/java/com/facebook/presto/tests/TestTableFunctionInvocation.java</t>
        </is>
      </c>
      <c r="C1393">
        <f>HYPERLINK("https://github.com/prestodb/presto/blob/master/presto-tests/src/main/java/com/facebook/presto/tests/TestTableFunctionInvocation.java")</f>
        <v/>
      </c>
      <c r="D1393" t="inlineStr">
        <is>
          <t>```java
// Licensed under the Apache License, Version 2.0 (the "License");
// you may not use this file except in compliance with the License.
// You can obtain a copy of the License at http://www.apache.org/licenses/LICENSE-2.0
// Unless required by applicable law or agreed to in writing,</t>
        </is>
      </c>
      <c r="E1393" t="n">
        <v>0</v>
      </c>
      <c r="F1393" t="n">
        <v>0.0345</v>
      </c>
      <c r="G1393" t="n">
        <v>0.0847</v>
      </c>
      <c r="H1393" t="inlineStr">
        <is>
          <t>The code provided is a Java package for testing table functions in Presto SQL. The main class `TestTVFConnectorPlugin` contains the implementation of core algorithms used by this software component. It's licensed under Apache License 2.0 and can be found at http://www.apache.org/licenses/LICENSE-2.0. This plugin provides functionality to test</t>
        </is>
      </c>
      <c r="I1393" t="n">
        <v>0.0058</v>
      </c>
      <c r="J1393" t="n">
        <v>0.09379999999999999</v>
      </c>
      <c r="K1393" t="n">
        <v>0.2521</v>
      </c>
      <c r="L1393" t="inlineStr">
        <is>
          <t>The provided code is a part of Presto SQL project's test suite for testing Table Valued Functions (TVF). It imports several classes from the `com.facebook.presto.connector.tvf` package and defines two custom table functions using the TestingTableFunctions class. The main purpose of this code seems to be creating instances of these TVF</t>
        </is>
      </c>
      <c r="M1393" t="n">
        <v>0.0037</v>
      </c>
      <c r="N1393" t="n">
        <v>0.0635</v>
      </c>
      <c r="O1393" t="n">
        <v>0.123</v>
      </c>
    </row>
    <row r="1394">
      <c r="A1394" t="inlineStr">
        <is>
          <t>presto</t>
        </is>
      </c>
      <c r="B1394" t="inlineStr">
        <is>
          <t>presto-tests/src/main/java/com/facebook/presto/tests/H2FunctionNamespaceManagerPlugin.java</t>
        </is>
      </c>
      <c r="C1394">
        <f>HYPERLINK("https://github.com/prestodb/presto/blob/master/presto-tests/src/main/java/com/facebook/presto/tests/H2FunctionNamespaceManagerPlugin.java")</f>
        <v/>
      </c>
      <c r="D1394" t="inlineStr">
        <is>
          <t>The code provided is a plugin for the Presto SQL query engine that manages function namespaces in an H2 database. The plugin provides a list of Function Namespace Manager Factories which are responsible for creating instances of classes implementing the `FunctionNamespaceManager` interface. These managers handle operations related to managing and organizing functions within different namespace categories (like table or view). This includes tasks such</t>
        </is>
      </c>
      <c r="E1394" t="n">
        <v>0.0034</v>
      </c>
      <c r="F1394" t="n">
        <v>0.0556</v>
      </c>
      <c r="G1394" t="n">
        <v>0.1471</v>
      </c>
      <c r="H1394" t="inlineStr">
        <is>
          <t>The code provided is a Java class that implements the Plugin interface from Presto, an open source distributed SQL query engine for big data processing. This plugin provides H2 function namespace manager factories which are used to manage and organize functions in different namespaces of the system. The implementation includes obtaining a list of Function Namespace Manager Factories using getFunctionNamespaceManagerFactories() method.</t>
        </is>
      </c>
      <c r="I1394" t="n">
        <v>0.0039</v>
      </c>
      <c r="J1394" t="n">
        <v>0.08699999999999999</v>
      </c>
      <c r="K1394" t="n">
        <v>0.1504</v>
      </c>
      <c r="L1394" t="inlineStr">
        <is>
          <t>The provided code is a Java class that implements the Plugin interface from Presto, an open source distributed SQL query engine for running interactive analytic queries against various data sources of all sizes ranging from gigantic tables to single row values.
The main purpose of this plugin (`H2FunctionNamespaceManagerPlugin`) is to provide `FunctionNamespaceManagerFactory` instances which manage function names</t>
        </is>
      </c>
      <c r="M1394" t="n">
        <v>0.0032</v>
      </c>
      <c r="N1394" t="n">
        <v>0.0615</v>
      </c>
      <c r="O1394" t="n">
        <v>0.1163</v>
      </c>
    </row>
    <row r="1395">
      <c r="A1395" t="inlineStr">
        <is>
          <t>presto</t>
        </is>
      </c>
      <c r="B1395" t="inlineStr">
        <is>
          <t>presto-tests/src/main/java/com/facebook/presto/tests/AbstractTestAggregations.java</t>
        </is>
      </c>
      <c r="C1395">
        <f>HYPERLINK("https://github.com/prestodb/presto/blob/master/presto-tests/src/main/java/com/facebook/presto/tests/AbstractTestAggregations.java")</f>
        <v/>
      </c>
      <c r="D1395" t="inlineStr">
        <is>
          <t>The code provided is a Java class for testing the functionality of Apache Presto's aggregation node implementation under various conditions. It uses TestNG framework to run tests and provides data via Data Providers. The license at the top indicates that it can be used in compliance with the terms specified by the License (Apache 2.0). This software may also be distributed on an "AS</t>
        </is>
      </c>
      <c r="E1395" t="n">
        <v>0.0072</v>
      </c>
      <c r="F1395" t="n">
        <v>0.0541</v>
      </c>
      <c r="G1395" t="n">
        <v>0.2735</v>
      </c>
      <c r="H1395" t="inlineStr">
        <is>
          <t>The code you provided is a simple function that adds two numbers together in Python. It's named "add", and it takes two parameters 'a' and 'b'. The complexity of this operation is O(1), meaning the time taken does not increase with an increase in input size. This function simply returns the sum of these two inputs.
In summary, the add function performs</t>
        </is>
      </c>
      <c r="I1395" t="n">
        <v>0.0035</v>
      </c>
      <c r="J1395" t="n">
        <v>0.0556</v>
      </c>
      <c r="K1395" t="n">
        <v>0.1493</v>
      </c>
      <c r="L1395" t="inlineStr">
        <is>
          <t>The code provided is a part of the Presto SQL testing suite for Facebook's Hive connector. It includes several test cases related to aggregation operations in Presto SQL queries using various data types and functions. The main purpose of this code is to validate the correctness of these aggregation operations by comparing their results with expected values.
Inputs are precomputed query</t>
        </is>
      </c>
      <c r="M1395" t="n">
        <v>0.003</v>
      </c>
      <c r="N1395" t="n">
        <v>0.0286</v>
      </c>
      <c r="O1395" t="n">
        <v>0.1128</v>
      </c>
    </row>
    <row r="1396">
      <c r="A1396" t="inlineStr">
        <is>
          <t>presto</t>
        </is>
      </c>
      <c r="B1396" t="inlineStr">
        <is>
          <t>presto-tests/src/main/java/com/facebook/presto/tests/TestLikeQueries.java</t>
        </is>
      </c>
      <c r="C1396">
        <f>HYPERLINK("https://github.com/prestodb/presto/blob/master/presto-tests/src/main/java/com/facebook/presto/tests/TestLikeQueries.java")</f>
        <v/>
      </c>
      <c r="D1396" t="inlineStr">
        <is>
          <t>The code provided is a Java class that tests the functionality of like queries in Presto, an open-source distributed SQL query engine for big data. The class extends AbstractTestQueryFramework and overrides the createQueryRunner method to return a QueryRunner instance used for executing test cases related to like queries. It also sets up a session with README instructions on how to use it, complexity details</t>
        </is>
      </c>
      <c r="E1396" t="n">
        <v>0.0034</v>
      </c>
      <c r="F1396" t="n">
        <v>0.0548</v>
      </c>
      <c r="G1396" t="n">
        <v>0.0735</v>
      </c>
      <c r="H1396" t="inlineStr">
        <is>
          <t>The provided code is a Java class `TestLikeQueries` that extends an abstract base class `AbstractTestQueryFramework` for testing query functionality in Presto, Facebook's distributed SQL engine. The complexity of this implementation can be considered O(N), where N represents the number of tests being run.
The main method within this class creates a new instance of QueryRunner and</t>
        </is>
      </c>
      <c r="I1396" t="n">
        <v>0.0039</v>
      </c>
      <c r="J1396" t="n">
        <v>0.09089999999999999</v>
      </c>
      <c r="K1396" t="n">
        <v>0.1563</v>
      </c>
      <c r="L1396" t="inlineStr">
        <is>
          <t>The provided code is a Java class named `TestLikeQueries` that extends an abstract base class called `AbstractTestQueryFramework`. This class contains several tests for like queries in the Presto SQL database system.
Here's what it does overall: 
It creates a QueryRunner instance to run test cases on like queries using Presto SQL. The session</t>
        </is>
      </c>
      <c r="M1396" t="n">
        <v>0.0035</v>
      </c>
      <c r="N1396" t="n">
        <v>0.0323</v>
      </c>
      <c r="O1396" t="n">
        <v>0.08</v>
      </c>
    </row>
    <row r="1397">
      <c r="A1397" t="inlineStr">
        <is>
          <t>presto</t>
        </is>
      </c>
      <c r="B1397" t="inlineStr">
        <is>
          <t>presto-tests/src/main/java/com/facebook/presto/tests/AbstractTestJoinQueries.java</t>
        </is>
      </c>
      <c r="C1397">
        <f>HYPERLINK("https://github.com/prestodb/presto/blob/master/presto-tests/src/main/java/com/facebook/presto/tests/AbstractTestJoinQueries.java")</f>
        <v/>
      </c>
      <c r="D1397" t="inlineStr">
        <is>
          <t>The code provided is a Java implementation of core algorithms used in PrestoDB (a distributed SQL query engine for big data). It includes various classes and interfaces related to session management, type handling, features configuration, testing materialization of results, etc. The license details at the top indicate that this software can be redistributed under certain conditions as specified by Apache 2.0 License.</t>
        </is>
      </c>
      <c r="E1397" t="n">
        <v>0.0039</v>
      </c>
      <c r="F1397" t="n">
        <v>0.08450000000000001</v>
      </c>
      <c r="G1397" t="n">
        <v>0.3182</v>
      </c>
      <c r="H1397" t="inlineStr">
        <is>
          <t>The code provided is a Java function for adding two numbers together. It takes in parameters 'a' and 'b', adds them together using the addition operator (+), then returns the result. The time complexity of this operation is O(1). This means that it always performs exactly one operation regardless of input size.
In terms of licensing, this software falls under Apache License</t>
        </is>
      </c>
      <c r="I1397" t="n">
        <v>0.0039</v>
      </c>
      <c r="J1397" t="n">
        <v>0.0571</v>
      </c>
      <c r="K1397" t="n">
        <v>0.2355</v>
      </c>
      <c r="L1397" t="inlineStr">
        <is>
          <t>The provided code is a part of the Presto SQL query execution engine. It's designed to analyze and execute queries against an underlying data source.
Here are key aspects about this software component:
1) The main purpose of the code is to provide an interface for executing SQL queries on top of various types of storage systems like HDFS, Cassandra etc.</t>
        </is>
      </c>
      <c r="M1397" t="n">
        <v>0.0036</v>
      </c>
      <c r="N1397" t="n">
        <v>0.0571</v>
      </c>
      <c r="O1397" t="n">
        <v>0.2373</v>
      </c>
    </row>
    <row r="1398">
      <c r="A1398" t="inlineStr">
        <is>
          <t>presto</t>
        </is>
      </c>
      <c r="B1398" t="inlineStr">
        <is>
          <t>presto-tests/src/main/java/com/facebook/presto/tests/DistributedQueryRunner.java</t>
        </is>
      </c>
      <c r="C1398">
        <f>HYPERLINK("https://github.com/prestodb/presto/blob/master/presto-tests/src/main/java/com/facebook/presto/tests/DistributedQueryRunner.java")</f>
        <v/>
      </c>
      <c r="D1398" t="inlineStr">
        <is>
          <t>The code provided is a Java program that uses the Apache License 2.0 for licensing purposes. It imports various packages from Facebook's Airlift library which provides functionalities related to HTTP client and server testing. The main class seems to be TestingDiscoveryServer but without more context it's hard to provide an accurate summary of its functionality.
In general terms,</t>
        </is>
      </c>
      <c r="E1398" t="n">
        <v>0.0031</v>
      </c>
      <c r="F1398" t="n">
        <v>0.058</v>
      </c>
      <c r="G1398" t="n">
        <v>0.0769</v>
      </c>
      <c r="H1398" t="inlineStr">
        <is>
          <t>The provided code is a Java program that uses the Apache HttpClient library to make HTTP requests and handle responses. It's licensed under the Apache License 2.0 which means it can be used freely in any project as long as attribution is given. The main functionality of this code involves starting an instance of JettyHttpClient for handling HTTP requests and responses, setting up logging with Air</t>
        </is>
      </c>
      <c r="I1398" t="n">
        <v>0.0033</v>
      </c>
      <c r="J1398" t="n">
        <v>0.0526</v>
      </c>
      <c r="K1398" t="n">
        <v>0.1087</v>
      </c>
      <c r="L1398" t="inlineStr">
        <is>
          <t>The code you've provided is a part of the Presto project from Facebook. It sets up and tests an HTTP client for communication with a discovery server used in Airlift library by Facebook. The main purpose of this code seems to be setting up a test environment for network communications between clients and servers.
It starts by creating a Jetty HttpClient instance which can handle requests</t>
        </is>
      </c>
      <c r="M1398" t="n">
        <v>0.0028</v>
      </c>
      <c r="N1398" t="n">
        <v>0.0533</v>
      </c>
      <c r="O1398" t="n">
        <v>0.1087</v>
      </c>
    </row>
    <row r="1399">
      <c r="A1399" t="inlineStr">
        <is>
          <t>presto</t>
        </is>
      </c>
      <c r="B1399" t="inlineStr">
        <is>
          <t>presto-tests/src/main/java/com/facebook/presto/tests/AbstractTestNanQueries.java</t>
        </is>
      </c>
      <c r="C1399">
        <f>HYPERLINK("https://github.com/prestodb/presto/blob/master/presto-tests/src/main/java/com/facebook/presto/tests/AbstractTestNanQueries.java")</f>
        <v/>
      </c>
      <c r="D1399" t="inlineStr">
        <is>
          <t>The code provided is a Java class named `AbstractTestNaNQueries` that extends the abstract base class `AbstractTestQueryFramework` from the package `com.facebook.presto.tests`. This class contains several test methods for testing queries involving NaN (Not a Number). The tests are designed to run after and before each class using TestNG annotations (@BeforeClass,</t>
        </is>
      </c>
      <c r="E1399" t="n">
        <v>0.0045</v>
      </c>
      <c r="F1399" t="n">
        <v>0.0667</v>
      </c>
      <c r="G1399" t="n">
        <v>0.124</v>
      </c>
      <c r="H1399" t="inlineStr">
        <is>
          <t>The provided code is a Java class that tests the functionality of an abstract base class for querying frameworks using TestNG testing framework. The main function being tested involves addition of two numbers and checks if they are equal to expected results. If not, it throws an exception indicating test failure. This code also includes Apache License 2.0 comments at the top which specifies conditions under which you can use</t>
        </is>
      </c>
      <c r="I1399" t="n">
        <v>0.0034</v>
      </c>
      <c r="J1399" t="n">
        <v>0.0506</v>
      </c>
      <c r="K1399" t="n">
        <v>0.1056</v>
      </c>
      <c r="L1399" t="inlineStr">
        <is>
          <t>The code provided is a Java class named `AbstractTestNaNQueries` that extends another abstract class called `AbstractTestQueryFramework`. This class appears to be part of the Presto SQL test suite for Facebook's software project.
It seems to contain several tests related to handling and querying data with special floating point values (specifically NaN - Not a Number</t>
        </is>
      </c>
      <c r="M1399" t="n">
        <v>0.0044</v>
      </c>
      <c r="N1399" t="n">
        <v>0.09520000000000001</v>
      </c>
      <c r="O1399" t="n">
        <v>0.1575</v>
      </c>
    </row>
    <row r="1400">
      <c r="A1400" t="inlineStr">
        <is>
          <t>presto</t>
        </is>
      </c>
      <c r="B1400" t="inlineStr">
        <is>
          <t>presto-tests/src/main/java/com/facebook/presto/tests/PlanDeterminismChecker.java</t>
        </is>
      </c>
      <c r="C1400">
        <f>HYPERLINK("https://github.com/prestodb/presto/blob/master/presto-tests/src/main/java/com/facebook/presto/tests/PlanDeterminismChecker.java")</f>
        <v/>
      </c>
      <c r="D1400" t="inlineStr">
        <is>
          <t>The code provided is a Java implementation of core algorithms and data structures used by Facebook's Presto SQL query optimizer. It includes classes for managing sessions, warning collection, optimization of queries, planning and printing of plans, as well as running local tests with the LocalQueryRunner class. The complexity appears to be O(N), but without specific details about what it refers to in this context</t>
        </is>
      </c>
      <c r="E1400" t="n">
        <v>0.0034</v>
      </c>
      <c r="F1400" t="n">
        <v>0.08110000000000001</v>
      </c>
      <c r="G1400" t="n">
        <v>0.1838</v>
      </c>
      <c r="H1400" t="inlineStr">
        <is>
          <t>The code you provided is a Java function that performs addition of two numbers using the + operator. The functionality it provides can be summarized as follows: It takes in two parameters (numbers), adds them together and returns the result. This operation has a time complexity of O(1).
If there are any other functions or methods within this package which perform similar operations but with different names</t>
        </is>
      </c>
      <c r="I1400" t="n">
        <v>0.0036</v>
      </c>
      <c r="J1400" t="n">
        <v>0.0533</v>
      </c>
      <c r="K1400" t="n">
        <v>0.1079</v>
      </c>
      <c r="L1400" t="inlineStr">
        <is>
          <t>The provided code is a Java implementation of an SQL optimizer for the Presto database system. It utilizes various core algorithms to optimize query plans and enhance performance. 
It begins with importing necessary packages such as `com.facebook.presto.Session`, `com.facebook.presto.spi.WarningCollector`, etc., which are</t>
        </is>
      </c>
      <c r="M1400" t="n">
        <v>0.0054</v>
      </c>
      <c r="N1400" t="n">
        <v>0.1071</v>
      </c>
      <c r="O1400" t="n">
        <v>0.1327</v>
      </c>
    </row>
    <row r="1401">
      <c r="A1401" t="inlineStr">
        <is>
          <t>presto</t>
        </is>
      </c>
      <c r="B1401" t="inlineStr">
        <is>
          <t>presto-tests/src/main/java/com/facebook/presto/tests/CreateHll.java</t>
        </is>
      </c>
      <c r="C1401">
        <f>HYPERLINK("https://github.com/prestodb/presto/blob/master/presto-tests/src/main/java/com/facebook/presto/tests/CreateHll.java")</f>
        <v/>
      </c>
      <c r="D1401" t="inlineStr">
        <is>
          <t>The code provided is a Java implementation of the HyperLogLog algorithm for estimating distinct elements in large datasets with low memory usage and high accuracy. It uses Apache License 2.0 which allows users to use it without restrictions under specific conditions mentioned in the license. The code defines a function that calculates cardinality estimation using HyperLogLog method from Facebook's Presto project.</t>
        </is>
      </c>
      <c r="E1401" t="n">
        <v>0.003</v>
      </c>
      <c r="F1401" t="n">
        <v>0.0563</v>
      </c>
      <c r="G1401" t="n">
        <v>0.1128</v>
      </c>
      <c r="H1401" t="inlineStr">
        <is>
          <t>The code provided is a Java function for addition of two numbers using the ScalarFunction annotation from Presto SQL framework. The complexity of this operation is O(1), meaning it performs a constant number of operations regardless of input size. It takes in two parameters 'a' and 'b', adds them together, and returns the result. This function does not repeat any code or comments as per</t>
        </is>
      </c>
      <c r="I1401" t="n">
        <v>0.0033</v>
      </c>
      <c r="J1401" t="n">
        <v>0.0541</v>
      </c>
      <c r="K1401" t="n">
        <v>0.1095</v>
      </c>
      <c r="L1401" t="inlineStr">
        <is>
          <t>The provided code is a part of PrestoDB project which includes several packages and classes related to data processing tasks such as aggregating sets using HyperLogLog algorithm for cardinality estimation. The main purpose of the code seems to be implementing an Apache License 2.0 licensed function that calculates approximate set cardinalities based on input values. It uses core algorithms from Airlift library like Hy</t>
        </is>
      </c>
      <c r="M1401" t="n">
        <v>0.0034</v>
      </c>
      <c r="N1401" t="n">
        <v>0.0548</v>
      </c>
      <c r="O1401" t="n">
        <v>0.1471</v>
      </c>
    </row>
    <row r="1402">
      <c r="A1402" t="inlineStr">
        <is>
          <t>presto</t>
        </is>
      </c>
      <c r="B1402" t="inlineStr">
        <is>
          <t>presto-tests/src/main/java/com/facebook/presto/tests/ResultWithQueryId.java</t>
        </is>
      </c>
      <c r="C1402">
        <f>HYPERLINK("https://github.com/prestodb/presto/blob/master/presto-tests/src/main/java/com/facebook/presto/tests/ResultWithQueryId.java")</f>
        <v/>
      </c>
      <c r="D1402" t="inlineStr">
        <is>
          <t>The code provided is a Java class named "ResultWithQueryId". This class represents an object that holds both the result of some operation and its associated query ID from Presto, a distributed SQL query engine for big data processing. The QueryID is used to identify which specific query this result corresponds to in large systems with many queries running concurrently. It's licensed under Apache License</t>
        </is>
      </c>
      <c r="E1402" t="n">
        <v>0.0034</v>
      </c>
      <c r="F1402" t="n">
        <v>0.0548</v>
      </c>
      <c r="G1402" t="n">
        <v>0.1103</v>
      </c>
      <c r="H1402" t="inlineStr">
        <is>
          <t>The provided code is a Java class named ResultWithQueryId that holds two properties - queryId and result of type T. The constructor takes these as parameters to initialize the object with them. It also provides getter methods for both properties. 
Under Apache License Version 2.0 (http://www.apache.org/licenses/LICENSE-2.0), this</t>
        </is>
      </c>
      <c r="I1402" t="n">
        <v>0.0039</v>
      </c>
      <c r="J1402" t="n">
        <v>0.0323</v>
      </c>
      <c r="K1402" t="n">
        <v>0.08400000000000001</v>
      </c>
      <c r="L1402" t="inlineStr">
        <is>
          <t>The provided code is a simple Java class named `ResultWithQueryId` that holds two pieces of information - an instance of the QueryId class and a generic type T object. The main purpose of this class seems to be encapsulation of query results along with their associated query IDs for tracking purposes. 
It has two methods (getters) which allow access to</t>
        </is>
      </c>
      <c r="M1402" t="n">
        <v>0.003</v>
      </c>
      <c r="N1402" t="n">
        <v>0.0299</v>
      </c>
      <c r="O1402" t="n">
        <v>0.07580000000000001</v>
      </c>
    </row>
    <row r="1403">
      <c r="A1403" t="inlineStr">
        <is>
          <t>presto</t>
        </is>
      </c>
      <c r="B1403" t="inlineStr">
        <is>
          <t>presto-tests/src/main/java/com/facebook/presto/tests/AbstractTestIntegrationSmokeTest.java</t>
        </is>
      </c>
      <c r="C1403">
        <f>HYPERLINK("https://github.com/prestodb/presto/blob/master/presto-tests/src/main/java/com/facebook/presto/tests/AbstractTestIntegrationSmokeTest.java")</f>
        <v/>
      </c>
      <c r="D1403" t="inlineStr">
        <is>
          <t>The code you provided is a Java class that contains tests for the Presto SQL query engine developed by Facebook. It uses TestNG as its testing framework and includes Apache License 2.0 in its header comments to specify license conditions of use. The code defines several test methods which are expected to run different scenarios or queries on the presto sql engine with varying parameters and assertions</t>
        </is>
      </c>
      <c r="E1403" t="n">
        <v>0.0027</v>
      </c>
      <c r="F1403" t="n">
        <v>0.0263</v>
      </c>
      <c r="G1403" t="n">
        <v>0.07190000000000001</v>
      </c>
      <c r="H1403" t="inlineStr">
        <is>
          <t>The provided code is a Java function named "add". It takes two parameters and returns their sum. The complexity of this operation is O(1), meaning it always executes in the same amount of time regardless of input size. This function can be used for adding numbers together.
Here's an example usage: 
```java
long result = add(5, 7</t>
        </is>
      </c>
      <c r="I1403" t="n">
        <v>0.0038</v>
      </c>
      <c r="J1403" t="n">
        <v>0.0597</v>
      </c>
      <c r="K1403" t="n">
        <v>0.1163</v>
      </c>
      <c r="L1403" t="inlineStr">
        <is>
          <t>The provided code is a test suite for the Presto SQL query engine developed by Facebook. It tests various functionalities of this engine such as executing queries with different data types and checking if the results are correctly computed. The main purpose of these tests is to ensure that the correctness of the implementation of core algorithms used in the engine. This code follows good coding practices like readability, maintainability</t>
        </is>
      </c>
      <c r="M1403" t="n">
        <v>0.0034</v>
      </c>
      <c r="N1403" t="n">
        <v>0.0769</v>
      </c>
      <c r="O1403" t="n">
        <v>0.1761</v>
      </c>
    </row>
    <row r="1404">
      <c r="A1404" t="inlineStr">
        <is>
          <t>presto</t>
        </is>
      </c>
      <c r="B1404" t="inlineStr">
        <is>
          <t>presto-tests/src/main/java/com/facebook/presto/tests/CustomStructWithPassthrough.java</t>
        </is>
      </c>
      <c r="C1404">
        <f>HYPERLINK("https://github.com/prestodb/presto/blob/master/presto-tests/src/main/java/com/facebook/presto/tests/CustomStructWithPassthrough.java")</f>
        <v/>
      </c>
      <c r="D1404" t="inlineStr">
        <is>
          <t>The code provided is a Java class named `CustomStructWithPassthrough` that represents a custom structure with passthrough functionality in the Presto framework for distributed SQL query engine developed by Facebook. The purpose of this class seems to be to handle and manipulate data structures related to complex algorithms or computations within the context of big data processing systems like Hadoop MapReduce</t>
        </is>
      </c>
      <c r="E1404" t="n">
        <v>0.0036</v>
      </c>
      <c r="F1404" t="n">
        <v>0.0588</v>
      </c>
      <c r="G1404" t="n">
        <v>0.1136</v>
      </c>
      <c r="H1404" t="inlineStr">
        <is>
          <t>The provided code is a Java class `CustomStructWithPassthrough` that contains the implementation of core algorithms used in backend software components. The complexity of this function appears to be O(n), as it seems to iterate over an array or list with n elements. 
However, without more context about what exactly is being done within this method, we can't</t>
        </is>
      </c>
      <c r="I1404" t="n">
        <v>0.0038</v>
      </c>
      <c r="J1404" t="n">
        <v>0.0896</v>
      </c>
      <c r="K1404" t="n">
        <v>0.1938</v>
      </c>
      <c r="L1404" t="inlineStr">
        <is>
          <t>The provided code is a Java class named `CustomStructWithPassthrough` which appears to be part of Facebook's Presto project for SQL querying and data analysis. 
It seems to define a custom structure with passthrough functionality using annotations from the Presto SPI (Service Provider Interface) package. This might involve creating or manipulating</t>
        </is>
      </c>
      <c r="M1404" t="n">
        <v>0.0048</v>
      </c>
      <c r="N1404" t="n">
        <v>0.0339</v>
      </c>
      <c r="O1404" t="n">
        <v>0.123</v>
      </c>
    </row>
    <row r="1405">
      <c r="A1405" t="inlineStr">
        <is>
          <t>presto</t>
        </is>
      </c>
      <c r="B1405" t="inlineStr">
        <is>
          <t>presto-tests/src/main/java/com/facebook/presto/tests/AbstractTestQueryFramework.java</t>
        </is>
      </c>
      <c r="C1405">
        <f>HYPERLINK("https://github.com/prestodb/presto/blob/master/presto-tests/src/main/java/com/facebook/presto/tests/AbstractTestQueryFramework.java")</f>
        <v/>
      </c>
      <c r="D1405" t="inlineStr">
        <is>
          <t>The provided code is a Java implementation of core algorithms used in the Presto SQL query execution engine by Facebook. It includes various classes and interfaces related to transaction management, type definitions, cost calculation for queries etc. The license under which this software can be redistributed is specified at the top of the file.
It appears that it's using Apache License Version 2.0</t>
        </is>
      </c>
      <c r="E1405" t="n">
        <v>0.0038</v>
      </c>
      <c r="F1405" t="n">
        <v>0.0822</v>
      </c>
      <c r="G1405" t="n">
        <v>0.3158</v>
      </c>
      <c r="H1405" t="inlineStr">
        <is>
          <t>The function `add` takes two parameters (numbers a and b), adds them together, and returns the result. The time complexity of this operation is O(1). This means that it performs a constant number of operations regardless of the size of inputs. It does not depend on any loops or recursive calls.
```java
public int add(int a, int b){</t>
        </is>
      </c>
      <c r="I1405" t="n">
        <v>0.0037</v>
      </c>
      <c r="J1405" t="n">
        <v>0.0588</v>
      </c>
      <c r="K1405" t="n">
        <v>0.1154</v>
      </c>
      <c r="L1405" t="inlineStr">
        <is>
          <t>The provided code is a part of Facebook's Presto project which includes various classes and interfaces for managing transactions in the database system. It also contains logic to calculate cost related information based on different factors like duration, session details etc. 
The main purpose of this module seems to be calculating costs associated with query execution plans using different strategies such as CostCalculator, CostCalculator</t>
        </is>
      </c>
      <c r="M1405" t="n">
        <v>0.0034</v>
      </c>
      <c r="N1405" t="n">
        <v>0.0548</v>
      </c>
      <c r="O1405" t="n">
        <v>0.1471</v>
      </c>
    </row>
    <row r="1406">
      <c r="A1406" t="inlineStr">
        <is>
          <t>presto</t>
        </is>
      </c>
      <c r="B1406" t="inlineStr">
        <is>
          <t>presto-tests/src/main/java/com/facebook/presto/tests/AbstractTestTopNQueries.java</t>
        </is>
      </c>
      <c r="C1406">
        <f>HYPERLINK("https://github.com/prestodb/presto/blob/master/presto-tests/src/main/java/com/facebook/presto/tests/AbstractTestTopNQueries.java")</f>
        <v/>
      </c>
      <c r="D1406" t="inlineStr">
        <is>
          <t>The provided code is a Java class that extends an abstract Test Query Framework for testing Top N Queries in Presto (a distributed SQL query engine). The class contains two test methods `testUngroupedTopN` and `testGroupedTopN` which are annotated with @Test from the org.testng package. These tests assert whether queries match expected results by comparing</t>
        </is>
      </c>
      <c r="E1406" t="n">
        <v>0.0034</v>
      </c>
      <c r="F1406" t="n">
        <v>0.0317</v>
      </c>
      <c r="G1406" t="n">
        <v>0.0397</v>
      </c>
      <c r="H1406" t="inlineStr">
        <is>
          <t>This repository contains backend software components that implement core algorithms. The complexity of the code varies from O(1) to O(N), depending on the specific algorithm being implemented.
 Comments: Implementing a simple math function for addition. Complexity: O(1). Commits: Initial commit size: 30 Summary: Adds two numbers together. Now summarize:</t>
        </is>
      </c>
      <c r="I1406" t="n">
        <v>0.0049</v>
      </c>
      <c r="J1406" t="n">
        <v>0.1667</v>
      </c>
      <c r="K1406" t="n">
        <v>0.2066</v>
      </c>
      <c r="L1406" t="inlineStr">
        <is>
          <t>The provided code is a Java class that tests the top N queries in Presto using TestNG framework. The main purpose of this class is to test ungrouped and grouped Top N queries by executing SQL statements against a database.
Here's a concise summary: 
This class extends an abstract base testing class for query frameworks and contains two methods annotated</t>
        </is>
      </c>
      <c r="M1406" t="n">
        <v>0.0036</v>
      </c>
      <c r="N1406" t="n">
        <v>0.058</v>
      </c>
      <c r="O1406" t="n">
        <v>0.1136</v>
      </c>
    </row>
    <row r="1407">
      <c r="A1407" t="inlineStr">
        <is>
          <t>presto</t>
        </is>
      </c>
      <c r="B1407" t="inlineStr">
        <is>
          <t>presto-tests/src/main/java/com/facebook/presto/tests/H2QueryRunner.java</t>
        </is>
      </c>
      <c r="C1407">
        <f>HYPERLINK("https://github.com/prestodb/presto/blob/master/presto-tests/src/main/java/com/facebook/presto/tests/H2QueryRunner.java")</f>
        <v/>
      </c>
      <c r="D1407" t="inlineStr">
        <is>
          <t>The code provided is a Java class that contains the licensing information and some comments about its purpose. It does not contain any actual implementation or functionality. The license details are also included in this file. This repository appears to be for backend software components related to Facebook's Presto database system. Its complexity seems to be O(N), indicating linear time complexity due to the number</t>
        </is>
      </c>
      <c r="E1407" t="n">
        <v>0.0037</v>
      </c>
      <c r="F1407" t="n">
        <v>0.0533</v>
      </c>
      <c r="G1407" t="n">
        <v>0.146</v>
      </c>
      <c r="H1407" t="inlineStr">
        <is>
          <t>The provided code is a Java function named add that takes two parameters and returns their sum. The time complexity of this operation is O(1), meaning it performs the addition in constant time regardless of the size of the input numbers. This function does not use any loops or recursion to perform its task which makes it highly efficient for large inputs as well. It also follows good coding practices such as using</t>
        </is>
      </c>
      <c r="I1407" t="n">
        <v>0.003</v>
      </c>
      <c r="J1407" t="n">
        <v>0.0488</v>
      </c>
      <c r="K1407" t="n">
        <v>0.1034</v>
      </c>
      <c r="L1407" t="inlineStr">
        <is>
          <t>The given code file is a part of the Presto SQL query engine's testing framework. It imports various classes and packages related to data types used in Presto SQL queries. The main purpose of this module seems to be creating instances of these different type objects for use within tests. 
It defines several classes that represent specific data types (like ArrayType, CharType</t>
        </is>
      </c>
      <c r="M1407" t="n">
        <v>0.0035</v>
      </c>
      <c r="N1407" t="n">
        <v>0.0563</v>
      </c>
      <c r="O1407" t="n">
        <v>0.1493</v>
      </c>
    </row>
    <row r="1408">
      <c r="A1408" t="inlineStr">
        <is>
          <t>presto</t>
        </is>
      </c>
      <c r="B1408" t="inlineStr">
        <is>
          <t>presto-tests/src/main/java/com/facebook/presto/tests/AbstractTestQueries.java</t>
        </is>
      </c>
      <c r="C1408">
        <f>HYPERLINK("https://github.com/prestodb/presto/blob/master/presto-tests/src/main/java/com/facebook/presto/tests/AbstractTestQueries.java")</f>
        <v/>
      </c>
      <c r="D1408" t="inlineStr">
        <is>
          <t>The code provided is a Java class that defines the functionality of an Apache Presto test suite for SQL queries and functions. It includes methods to create sessions with specific properties, register custom functions, validate timestamps, etc., all under the terms specified in the license at the top of the file. The complexity seems to be O(n), but without more context it's hard to say</t>
        </is>
      </c>
      <c r="E1408" t="n">
        <v>0.0033</v>
      </c>
      <c r="F1408" t="n">
        <v>0.0533</v>
      </c>
      <c r="G1408" t="n">
        <v>0.073</v>
      </c>
      <c r="H1408" t="inlineStr">
        <is>
          <t>The provided code is a Java function named "add". It takes two parameters (a and b), adds them together, and returns the result. The time complexity of this operation is O(1). This means that it performs a constant number of operations regardless of the size of the input data.
In terms of functionality, this function provides simple arithmetic addition between two numbers.</t>
        </is>
      </c>
      <c r="I1408" t="n">
        <v>0.0035</v>
      </c>
      <c r="J1408" t="n">
        <v>0.0563</v>
      </c>
      <c r="K1408" t="n">
        <v>0.1119</v>
      </c>
      <c r="L1408" t="inlineStr">
        <is>
          <t>The code provided is part of a Presto SQL query engine implementation in Java. It defines several utility functions for managing and configuring the session properties within the system. The main purpose of this module seems to be to provide an interface between the core algorithms implemented by Facebook's Presto team and external users or applications that might need to interact with it.
The function `get</t>
        </is>
      </c>
      <c r="M1408" t="n">
        <v>0.0036</v>
      </c>
      <c r="N1408" t="n">
        <v>0.1067</v>
      </c>
      <c r="O1408" t="n">
        <v>0.2174</v>
      </c>
    </row>
    <row r="1409">
      <c r="A1409" t="inlineStr">
        <is>
          <t>presto</t>
        </is>
      </c>
      <c r="B1409" t="inlineStr">
        <is>
          <t>presto-tests/src/main/java/com/facebook/presto/tests/SslKeystoreManager.java</t>
        </is>
      </c>
      <c r="C1409">
        <f>HYPERLINK("https://github.com/prestodb/presto/blob/master/presto-tests/src/main/java/com/facebook/presto/tests/SslKeystoreManager.java")</f>
        <v/>
      </c>
      <c r="D1409" t="inlineStr">
        <is>
          <t>The code provided is a Java implementation of core algorithms using Bouncy Castle libraries for certificate handling and signing operations. It's licensed under the Apache License 2.0. The software uses X509 certificates to handle digital signatures in various applications.
It seems like it follows an Object Oriented Programming (OOP) paradigm where classes are defined with their methods</t>
        </is>
      </c>
      <c r="E1409" t="n">
        <v>0.0042</v>
      </c>
      <c r="F1409" t="n">
        <v>0.0896</v>
      </c>
      <c r="G1409" t="n">
        <v>0.1938</v>
      </c>
      <c r="H1409" t="inlineStr">
        <is>
          <t>The code provided is a Java implementation of the addition operation between two numbers using Bouncy Castle's X509 certificate generation and signing library. The complexity of this function appears to be O(1), as it performs only one basic arithmetic operation (adding two integers). However, without additional context or details about how these certificates are being used in the larger system, we can'</t>
        </is>
      </c>
      <c r="I1409" t="n">
        <v>0.0029</v>
      </c>
      <c r="J1409" t="n">
        <v>0.0556</v>
      </c>
      <c r="K1409" t="n">
        <v>0.1493</v>
      </c>
      <c r="L1409" t="inlineStr">
        <is>
          <t>The provided code is a part of the backend software component for Presto, an open source distributed SQL query engine for big data processing. It's responsible for testing and managing certificates using Bouncy Castle library in Java. The main purpose seems to be generating X509 certificate holders from given inputs (a name and content signer).
There are two classes involved</t>
        </is>
      </c>
      <c r="M1409" t="n">
        <v>0.0036</v>
      </c>
      <c r="N1409" t="n">
        <v>0.058</v>
      </c>
      <c r="O1409" t="n">
        <v>0.1136</v>
      </c>
    </row>
    <row r="1410">
      <c r="A1410" t="inlineStr">
        <is>
          <t>presto</t>
        </is>
      </c>
      <c r="B1410" t="inlineStr">
        <is>
          <t>presto-tests/src/main/java/com/facebook/presto/tests/H2FunctionNamespaceDao.java</t>
        </is>
      </c>
      <c r="C1410">
        <f>HYPERLINK("https://github.com/prestodb/presto/blob/master/presto-tests/src/main/java/com/facebook/presto/tests/H2FunctionNamespaceDao.java")</f>
        <v/>
      </c>
      <c r="D1410" t="inlineStr">
        <is>
          <t>The provided code is a Java interface that extends the FunctionNamespaceDao class from Presto, an open source distributed SQL query engine for big data. This code defines methods to interact with MySQL database using JDBI (Java Database Access Interface). The purpose of this extension seems to be managing function namespaces in some kind of registry or repository. 
The @SqlUpdate annotation indicates</t>
        </is>
      </c>
      <c r="E1410" t="n">
        <v>0.003</v>
      </c>
      <c r="F1410" t="n">
        <v>0.058</v>
      </c>
      <c r="G1410" t="n">
        <v>0.0752</v>
      </c>
      <c r="H1410" t="inlineStr">
        <is>
          <t>The provided code is a Java interface that extends the FunctionNamespaceDao class from Presto, which provides an abstraction for managing function namespaces in distributed systems like Hadoop and Hive. The @SqlUpdate annotation on the add() method indicates it's intended to be used with JDBI (Java Database Integration), a lightweight framework designed to simplify database access within Java applications.</t>
        </is>
      </c>
      <c r="I1410" t="n">
        <v>0.0031</v>
      </c>
      <c r="J1410" t="n">
        <v>0.0597</v>
      </c>
      <c r="K1410" t="n">
        <v>0.0769</v>
      </c>
      <c r="L1410" t="inlineStr">
        <is>
          <t>The provided code is a Java interface that extends the `FunctionNamespaceDao` from Presto, an open source distributed SQL query engine for big data. This interface provides methods to interact with a database table containing information about functions in a namespace.
Here's a concise summary of its functionality: 
It defines two methods related to updating records in a database table (</t>
        </is>
      </c>
      <c r="M1410" t="n">
        <v>0.003</v>
      </c>
      <c r="N1410" t="n">
        <v>0.0588</v>
      </c>
      <c r="O1410" t="n">
        <v>0.07580000000000001</v>
      </c>
    </row>
    <row r="1411">
      <c r="A1411" t="inlineStr">
        <is>
          <t>presto</t>
        </is>
      </c>
      <c r="B1411" t="inlineStr">
        <is>
          <t>presto-tests/src/main/java/com/facebook/presto/tests/TestSequenceFunction.java</t>
        </is>
      </c>
      <c r="C1411">
        <f>HYPERLINK("https://github.com/prestodb/presto/blob/master/presto-tests/src/main/java/com/facebook/presto/tests/TestSequenceFunction.java")</f>
        <v/>
      </c>
      <c r="D1411" t="inlineStr">
        <is>
          <t>The code provided appears to be a Java class file with Apache License 2.0 header comments and import statements for various packages used in Facebook's Presto database testing framework. It defines a test case using TestNG annotations that uses the QueryRunner from TPCH plugin of presto db to run tests on data stored in Tiny Schema format. The specific function or method is</t>
        </is>
      </c>
      <c r="E1411" t="n">
        <v>0.0029</v>
      </c>
      <c r="F1411" t="n">
        <v>0.0274</v>
      </c>
      <c r="G1411" t="n">
        <v>0.0741</v>
      </c>
      <c r="H1411" t="inlineStr">
        <is>
          <t>The provided code is a Java function for adding two numbers (`add()`). It takes in two parameters `a` and `b` and returns their sum. The time complexity of this operation is O(1), meaning it performs the addition operation in constant time regardless of the size of the input values.
In terms of licensing, this code is licensed under Apache License</t>
        </is>
      </c>
      <c r="I1411" t="n">
        <v>0.003</v>
      </c>
      <c r="J1411" t="n">
        <v>0.058</v>
      </c>
      <c r="K1411" t="n">
        <v>0.1136</v>
      </c>
      <c r="L1411" t="inlineStr">
        <is>
          <t>The code provided is a part of PrestoDB's test suite for running SQL queries against its TPC-H benchmark data set. It uses TestNG as the testing framework and JUnit assertions to validate query results. The main purpose of this code seems to be to verify that certain operations performed on large datasets (like joins) are correctly implemented in terms of performance and accuracy.</t>
        </is>
      </c>
      <c r="M1411" t="n">
        <v>0.0029</v>
      </c>
      <c r="N1411" t="n">
        <v>0.0822</v>
      </c>
      <c r="O1411" t="n">
        <v>0.1481</v>
      </c>
    </row>
    <row r="1412">
      <c r="A1412" t="inlineStr">
        <is>
          <t>presto</t>
        </is>
      </c>
      <c r="B1412" t="inlineStr">
        <is>
          <t>presto-tests/src/main/java/com/facebook/presto/tests/TestExcludeColumnsFunction.java</t>
        </is>
      </c>
      <c r="C1412">
        <f>HYPERLINK("https://github.com/prestodb/presto/blob/master/presto-tests/src/main/java/com/facebook/presto/tests/TestExcludeColumnsFunction.java")</f>
        <v/>
      </c>
      <c r="D1412" t="inlineStr">
        <is>
          <t>The code provided is a Java class that extends an abstract test framework for running queries against the TPC-H schema in Presto, Facebook's distributed SQL query engine. It includes tests to exclude certain columns from results of a query. The functionality it provides involves testing and verifying the performance and correctness of such operations by comparing actual output with expected results. This helps ensure accuracy and efficiency</t>
        </is>
      </c>
      <c r="E1412" t="n">
        <v>0.0036</v>
      </c>
      <c r="F1412" t="n">
        <v>0.0519</v>
      </c>
      <c r="G1412" t="n">
        <v>0.1079</v>
      </c>
      <c r="H1412" t="inlineStr">
        <is>
          <t>The code provided is a Java method named "add". It takes two parameters (numbers), adds them together and returns the result. The functionality of this function is to add two numbers. This operation has a time complexity of O(1).
Here's an example usage: 
```java
int sum = add(5, 7); // Returns 12</t>
        </is>
      </c>
      <c r="I1412" t="n">
        <v>0.0046</v>
      </c>
      <c r="J1412" t="n">
        <v>0.06560000000000001</v>
      </c>
      <c r="K1412" t="n">
        <v>0.1613</v>
      </c>
      <c r="L1412" t="inlineStr">
        <is>
          <t>The provided code is a Java class named `TestExcludeColumnsFunction` that extends the abstract base class `AbstractTestQueryFramework` and overrides its protected method `getQueryRunner()` to return an instance of QueryRunner. 
The purpose of this class seems to be to test functionality related to excluding columns from queries in a database system using Presto (a distributed</t>
        </is>
      </c>
      <c r="M1412" t="n">
        <v>0.0041</v>
      </c>
      <c r="N1412" t="n">
        <v>0.06560000000000001</v>
      </c>
      <c r="O1412" t="n">
        <v>0.12</v>
      </c>
    </row>
    <row r="1413">
      <c r="A1413" t="inlineStr">
        <is>
          <t>presto</t>
        </is>
      </c>
      <c r="B1413" t="inlineStr">
        <is>
          <t>presto-tests/src/main/java/com/facebook/presto/tests/sql/SqlExecutor.java</t>
        </is>
      </c>
      <c r="C1413">
        <f>HYPERLINK("https://github.com/prestodb/presto/blob/master/presto-tests/src/main/java/com/facebook/presto/tests/sql/SqlExecutor.java")</f>
        <v/>
      </c>
      <c r="D1413" t="inlineStr">
        <is>
          <t>The provided code is a Java interface named `SqlExecutor` that defines the method signature for an execute function which takes in a String parameter (named sql). The purpose of this class seems to be executing SQL queries on some sort of database or data source using the given string as input.
It's licensed under Apache License Version 2.0 and it contains conditions about distribution and usage</t>
        </is>
      </c>
      <c r="E1413" t="n">
        <v>0.0028</v>
      </c>
      <c r="F1413" t="n">
        <v>0.0526</v>
      </c>
      <c r="G1413" t="n">
        <v>0.1087</v>
      </c>
      <c r="H1413" t="inlineStr">
        <is>
          <t>The provided code is a Java interface named SqlExecutor that defines an execute method with one parameter of type String representing SQL statements. The license at the top of this file states that it's licensed under Apache License 2.0 and provides conditions for use. This repository contains backend software components implementing core algorithms related to SQL execution.
It appears you are looking for a concise summary without</t>
        </is>
      </c>
      <c r="I1413" t="n">
        <v>0.0038</v>
      </c>
      <c r="J1413" t="n">
        <v>0.1039</v>
      </c>
      <c r="K1413" t="n">
        <v>0.2676</v>
      </c>
      <c r="L1413" t="inlineStr">
        <is>
          <t>The provided code is a Java interface named `SqlExecutor` that defines the method signature for executing SQL queries or statements. The purpose of this class seems to be to abstract away database interactions from other parts of the application. This makes it easier to switch out databases without having to change many lines of code in different places where database access occurs. It adheres to good coding practices such as encapsulation</t>
        </is>
      </c>
      <c r="M1413" t="n">
        <v>0.0026</v>
      </c>
      <c r="N1413" t="n">
        <v>0.0253</v>
      </c>
      <c r="O1413" t="n">
        <v>0.0699</v>
      </c>
    </row>
    <row r="1414">
      <c r="A1414" t="inlineStr">
        <is>
          <t>presto</t>
        </is>
      </c>
      <c r="B1414" t="inlineStr">
        <is>
          <t>presto-tests/src/main/java/com/facebook/presto/tests/sql/JdbcSqlExecutor.java</t>
        </is>
      </c>
      <c r="C1414">
        <f>HYPERLINK("https://github.com/prestodb/presto/blob/master/presto-tests/src/main/java/com/facebook/presto/tests/sql/JdbcSqlExecutor.java")</f>
        <v/>
      </c>
      <c r="D1414" t="inlineStr">
        <is>
          <t>The provided code is a Java class named JdbcSqlExecutor that implements the SqlExecutor interface from package com.facebook.presto.tests.sql. This class provides functionality for executing SQL queries using JDBC (Java Database Connectivity). The URL and properties of the database connection are passed during instantiation. 
It contains methods to establish a connection with the specified JDB</t>
        </is>
      </c>
      <c r="E1414" t="n">
        <v>0.0049</v>
      </c>
      <c r="F1414" t="n">
        <v>0.09229999999999999</v>
      </c>
      <c r="G1414" t="n">
        <v>0.16</v>
      </c>
      <c r="H1414" t="inlineStr">
        <is>
          <t>The provided code is a Java class named `JdbcSqlExecutor` that implements the interface `SqlExecutor` for executing SQL queries using JDBC (Java Database Connectivity). The constructor of this class takes two parameters - a jdbc URL and properties related to the database connection.
It uses Apache License 2.0 which means you can freely use it in any project but must</t>
        </is>
      </c>
      <c r="I1414" t="n">
        <v>0.0037</v>
      </c>
      <c r="J1414" t="n">
        <v>0.0597</v>
      </c>
      <c r="K1414" t="n">
        <v>0.1527</v>
      </c>
      <c r="L1414" t="inlineStr">
        <is>
          <t>The provided code is a Java class named `JdbcSqlExecutor` that implements the interface `SqlExecutor` from Presto's tests package. This class is used to execute SQL queries using JDBC (Java Database Connectivity).
It initializes with two parameters - jdbcUrl and jdbcProperties which are both Strings or Properties objects respectively. The main purpose of</t>
        </is>
      </c>
      <c r="M1414" t="n">
        <v>0.0046</v>
      </c>
      <c r="N1414" t="n">
        <v>0.0667</v>
      </c>
      <c r="O1414" t="n">
        <v>0.1613</v>
      </c>
    </row>
    <row r="1415">
      <c r="A1415" t="inlineStr">
        <is>
          <t>presto</t>
        </is>
      </c>
      <c r="B1415" t="inlineStr">
        <is>
          <t>presto-tests/src/main/java/com/facebook/presto/tests/sql/TestTable.java</t>
        </is>
      </c>
      <c r="C1415">
        <f>HYPERLINK("https://github.com/prestodb/presto/blob/master/presto-tests/src/main/java/com/facebook/presto/tests/sql/TestTable.java")</f>
        <v/>
      </c>
      <c r="D1415" t="inlineStr">
        <is>
          <t>```java
/* Licensed under the Apache License, Version 2.0 (the "License"); * you may not use this file except in compliance with the License. You may obtain a copy of the License at ** http://www.apache.org/licenses/LICENSE-2.0 ** Unless required by applicable law or agreed to in writing, software distributed under</t>
        </is>
      </c>
      <c r="E1415" t="n">
        <v>0.0037</v>
      </c>
      <c r="F1415" t="n">
        <v>0.06560000000000001</v>
      </c>
      <c r="G1415" t="n">
        <v>0.124</v>
      </c>
      <c r="H1415" t="inlineStr">
        <is>
          <t>This is a Java code snippet for an addition function using Apache License 2.0. The functionality of this code is to add two numbers together and return the result. It's complexity is O(1), meaning it performs a constant number of operations regardless of input size.
```java
public class TestTable implements AutoCloseable {
    private static final Secure</t>
        </is>
      </c>
      <c r="I1415" t="n">
        <v>0.0046</v>
      </c>
      <c r="J1415" t="n">
        <v>0.09089999999999999</v>
      </c>
      <c r="K1415" t="n">
        <v>0.1563</v>
      </c>
      <c r="L1415" t="inlineStr">
        <is>
          <t>This code is a Java class named `TestTable` that implements the AutoCloseable interface. The purpose of this class seems to be to generate unique table names for testing purposes in conjunction with some kind of database system. 
It uses a static final SecureRandom object 'random' which generates random numbers securely. A suffix generated by calling nextInt() method on it and converting</t>
        </is>
      </c>
      <c r="M1415" t="n">
        <v>0.0039</v>
      </c>
      <c r="N1415" t="n">
        <v>0.08699999999999999</v>
      </c>
      <c r="O1415" t="n">
        <v>0.1504</v>
      </c>
    </row>
    <row r="1416">
      <c r="A1416" t="inlineStr">
        <is>
          <t>presto</t>
        </is>
      </c>
      <c r="B1416" t="inlineStr">
        <is>
          <t>presto-tests/src/main/java/com/facebook/presto/tests/sql/PrestoSqlExecutor.java</t>
        </is>
      </c>
      <c r="C1416">
        <f>HYPERLINK("https://github.com/prestodb/presto/blob/master/presto-tests/src/main/java/com/facebook/presto/tests/sql/PrestoSqlExecutor.java")</f>
        <v/>
      </c>
      <c r="D1416" t="inlineStr">
        <is>
          <t>The code provided is a Java class that implements the SqlExecutor interface from the Presto testing package. This class uses QueryRunner to execute SQL queries in a presto environment. The Apache License version 2.0 is applied for this project which states that you may not use any file except in compliance with the license and obtain a copy of the license at http://www.apache.org/</t>
        </is>
      </c>
      <c r="E1416" t="n">
        <v>0.0038</v>
      </c>
      <c r="F1416" t="n">
        <v>0.0533</v>
      </c>
      <c r="G1416" t="n">
        <v>0.1481</v>
      </c>
      <c r="H1416" t="inlineStr">
        <is>
          <t>The code you provided is a Java class that implements the SqlExecutor interface and uses Presto's QueryRunner to execute SQL queries in an Apache Hadoop environment. The `execute` method takes a String parameter representing the SQL query to be executed.
Here are some key points about this implementation:
- It has a private final field named 'queryRunner', which represents the</t>
        </is>
      </c>
      <c r="I1416" t="n">
        <v>0.0036</v>
      </c>
      <c r="J1416" t="n">
        <v>0.0588</v>
      </c>
      <c r="K1416" t="n">
        <v>0.1515</v>
      </c>
      <c r="L1416" t="inlineStr">
        <is>
          <t>The provided code is a Java class named `PrestoSqlExecutor` that implements the interface `SqlExecutor` from package `com.facebook.presto.tests.sql`. This class has a single private final field of type `QueryRunner` and one public constructor which takes in an instance of QueryRunner as its parameter. The purpose of this class seems to be executing SQL queries</t>
        </is>
      </c>
      <c r="M1416" t="n">
        <v>0.0045</v>
      </c>
      <c r="N1416" t="n">
        <v>0.0615</v>
      </c>
      <c r="O1416" t="n">
        <v>0.12</v>
      </c>
    </row>
    <row r="1417">
      <c r="A1417" t="inlineStr">
        <is>
          <t>presto</t>
        </is>
      </c>
      <c r="B1417" t="inlineStr">
        <is>
          <t>presto-tests/src/main/java/com/facebook/presto/tests/datatype/DataType.java</t>
        </is>
      </c>
      <c r="C1417">
        <f>HYPERLINK("https://github.com/prestodb/presto/blob/master/presto-tests/src/main/java/com/facebook/presto/tests/datatype/DataType.java")</f>
        <v/>
      </c>
      <c r="D1417" t="inlineStr">
        <is>
          <t>The code provided is a Java class that imports various data types from the Presto framework for use in testing and validation of these datatypes. The Apache License 2.0 is included at the top which specifies conditions under which this software can be used or distributed. It's licensed on an "AS IS" basis without any warranties or conditions of any kind either expressed or implied</t>
        </is>
      </c>
      <c r="E1417" t="n">
        <v>0.0033</v>
      </c>
      <c r="F1417" t="n">
        <v>0.0533</v>
      </c>
      <c r="G1417" t="n">
        <v>0.2304</v>
      </c>
      <c r="H1417" t="inlineStr">
        <is>
          <t>The provided code is a Java function named add that takes two parameters and returns their sum. The complexity of this operation is O(1), meaning it performs the addition in constant time regardless of input size. This function can be used for adding numbers together.
Here's the summary without repeating any code or explaining complex concepts:
```java
// Licensed under the Apache License</t>
        </is>
      </c>
      <c r="I1417" t="n">
        <v>0.0034</v>
      </c>
      <c r="J1417" t="n">
        <v>0.0556</v>
      </c>
      <c r="K1417" t="n">
        <v>0.1111</v>
      </c>
      <c r="L1417" t="inlineStr">
        <is>
          <t>The code provided is a part of Facebook's Presto project, specifically it deals with the definition and implementation of various data types supported by Presto. It includes classes for BigInt, Boolean, Double, Integer, Real (Float), Small Int, Tiny Int type definitions extending from their base Type class. The purpose of these classes seems to be providing information about how each respective dat</t>
        </is>
      </c>
      <c r="M1417" t="n">
        <v>0.0029</v>
      </c>
      <c r="N1417" t="n">
        <v>0.0282</v>
      </c>
      <c r="O1417" t="n">
        <v>0.1119</v>
      </c>
    </row>
    <row r="1418">
      <c r="A1418" t="inlineStr">
        <is>
          <t>presto</t>
        </is>
      </c>
      <c r="B1418" t="inlineStr">
        <is>
          <t>presto-tests/src/main/java/com/facebook/presto/tests/datatype/DataSetup.java</t>
        </is>
      </c>
      <c r="C1418">
        <f>HYPERLINK("https://github.com/prestodb/presto/blob/master/presto-tests/src/main/java/com/facebook/presto/tests/datatype/DataSetup.java")</f>
        <v/>
      </c>
      <c r="D1418" t="inlineStr">
        <is>
          <t>The code provided is a Java interface named DataSetup that sets up test tables for data type testing in Presto. It defines one method setupTestTable which takes a list of inputs (each containing an input value and its expected output). The implementation details are not shown but it seems to be used as part of larger system or framework where the goal might be to validate different datatypes against some</t>
        </is>
      </c>
      <c r="E1418" t="n">
        <v>0.0026</v>
      </c>
      <c r="F1418" t="n">
        <v>0.0256</v>
      </c>
      <c r="G1418" t="n">
        <v>0.1056</v>
      </c>
      <c r="H1418" t="inlineStr">
        <is>
          <t>The provided code is a Java interface named `DataSetup` that contains the method `setupTestTable()` for setting up test tables with inputs of various data types. The complexity of this function appears to be O(n), where n represents the number of elements in the input list. This suggests that as more items are added to the list (i.e., as the size increases), processing</t>
        </is>
      </c>
      <c r="I1418" t="n">
        <v>0.0029</v>
      </c>
      <c r="J1418" t="n">
        <v>0.0556</v>
      </c>
      <c r="K1418" t="n">
        <v>0.0746</v>
      </c>
      <c r="L1418" t="inlineStr">
        <is>
          <t>The provided code is a Java interface named DataSetup that appears to be part of the Presto project (a distributed SQL query engine for big data). This interface provides one method setupTestTable which sets up a TestTable with inputs of various types and sizes. The purpose of this class seems to be to facilitate setting up test tables in different ways depending on the input given. It's important</t>
        </is>
      </c>
      <c r="M1418" t="n">
        <v>0.0032</v>
      </c>
      <c r="N1418" t="n">
        <v>0.0519</v>
      </c>
      <c r="O1418" t="n">
        <v>0.1071</v>
      </c>
    </row>
    <row r="1419">
      <c r="A1419" t="inlineStr">
        <is>
          <t>presto</t>
        </is>
      </c>
      <c r="B1419" t="inlineStr">
        <is>
          <t>presto-tests/src/main/java/com/facebook/presto/tests/datatype/CreateAsSelectDataSetup.java</t>
        </is>
      </c>
      <c r="C1419">
        <f>HYPERLINK("https://github.com/prestodb/presto/blob/master/presto-tests/src/main/java/com/facebook/presto/tests/datatype/CreateAsSelectDataSetup.java")</f>
        <v/>
      </c>
      <c r="D1419" t="inlineStr">
        <is>
          <t>The code provided is a Java class named `CreateAsSelectDataSetup` that implements the data setup for tests in Presto SQL (a distributed SQL query engine). It's used to create tables using SELECT statements and populate them with test data. The complexity of this operation appears to be O(n), where n represents the number of rows being inserted into the table.</t>
        </is>
      </c>
      <c r="E1419" t="n">
        <v>0.0037</v>
      </c>
      <c r="F1419" t="n">
        <v>0.058</v>
      </c>
      <c r="G1419" t="n">
        <v>0.1527</v>
      </c>
      <c r="H1419" t="inlineStr">
        <is>
          <t>The code provided is a Java class named `CreateAsSelectDataSetup` that implements an interface called `DataSetup` from the package `com.facebook.presto.tests.datatype`. This class contains methods for setting up data using SQL queries and tests it against expected results. The complexity of this implementation seems to be O(n), where n represents the number of test</t>
        </is>
      </c>
      <c r="I1419" t="n">
        <v>0.0046</v>
      </c>
      <c r="J1419" t="n">
        <v>0.0615</v>
      </c>
      <c r="K1419" t="n">
        <v>0.1613</v>
      </c>
      <c r="L1419" t="inlineStr">
        <is>
          <t>The code provided is for setting up data creation and selection in a testing environment using Java. It's part of the Presto SQL project by Facebook, which allows querying various types of data sources with standardized APIs.
Here are some key points about this class:
- The main purpose of this class appears to be creating test tables based on given specifications and executing</t>
        </is>
      </c>
      <c r="M1419" t="n">
        <v>0.0028</v>
      </c>
      <c r="N1419" t="n">
        <v>0.0556</v>
      </c>
      <c r="O1419" t="n">
        <v>0.1103</v>
      </c>
    </row>
    <row r="1420">
      <c r="A1420" t="inlineStr">
        <is>
          <t>presto</t>
        </is>
      </c>
      <c r="B1420" t="inlineStr">
        <is>
          <t>presto-tests/src/main/java/com/facebook/presto/tests/datatype/DataTypeTest.java</t>
        </is>
      </c>
      <c r="C1420">
        <f>HYPERLINK("https://github.com/prestodb/presto/blob/master/presto-tests/src/main/java/com/facebook/presto/tests/datatype/DataTypeTest.java")</f>
        <v/>
      </c>
      <c r="D1420" t="inlineStr">
        <is>
          <t>The code provided appears to be a Java implementation of some form of testing for data types in the Presto SQL database system. It is licensed under Apache License 2.0 and includes comments explaining its functionality. The main class seems to handle tests related to different datatypes by creating tables with specific content and running queries against them. This could involve checking if certain operations work as expected on these</t>
        </is>
      </c>
      <c r="E1420" t="n">
        <v>0.0031</v>
      </c>
      <c r="F1420" t="n">
        <v>0.0759</v>
      </c>
      <c r="G1420" t="n">
        <v>0.1408</v>
      </c>
      <c r="H1420" t="inlineStr">
        <is>
          <t>The function provided is a simple addition operation between two numbers 'a' and 'b'. It returns the sum of these two numbers. The time complexity of this function is O(1), meaning it performs a constant number of operations regardless of the size of input data.
In terms of license information, it appears to be Apache License Version 2.0 which allows users to use or</t>
        </is>
      </c>
      <c r="I1420" t="n">
        <v>0.0028</v>
      </c>
      <c r="J1420" t="n">
        <v>0.0541</v>
      </c>
      <c r="K1420" t="n">
        <v>0.1471</v>
      </c>
      <c r="L1420" t="inlineStr">
        <is>
          <t>The provided code is a part of Presto SQL test suite for its data type implementation in Java. The main purpose of the code seems to be testing various operations on different types and checking whether they are producing expected results or not.
It uses Apache License 2.0 which requires that any derivative work must also use this license. This includes all source files associated with it but does</t>
        </is>
      </c>
      <c r="M1420" t="n">
        <v>0.0031</v>
      </c>
      <c r="N1420" t="n">
        <v>0.0513</v>
      </c>
      <c r="O1420" t="n">
        <v>0.1418</v>
      </c>
    </row>
    <row r="1421">
      <c r="A1421" t="inlineStr">
        <is>
          <t>presto</t>
        </is>
      </c>
      <c r="B1421" t="inlineStr">
        <is>
          <t>presto-tests/src/main/java/com/facebook/presto/tests/datatype/CreateAndInsertDataSetup.java</t>
        </is>
      </c>
      <c r="C1421">
        <f>HYPERLINK("https://github.com/prestodb/presto/blob/master/presto-tests/src/main/java/com/facebook/presto/tests/datatype/CreateAndInsertDataSetup.java")</f>
        <v/>
      </c>
      <c r="D1421" t="inlineStr">
        <is>
          <t>```python
# Licensed under the Apache License, Version 2.0 (the "License");
# you may not use this file except in compliance with the License.
# You may obtain a copy of the License at http://www.apache.org/licenses/LICENSE-2.0
# Unless required by applicable law or agreed to in writing,</t>
        </is>
      </c>
      <c r="E1421" t="n">
        <v>0</v>
      </c>
      <c r="F1421" t="n">
        <v>0.0345</v>
      </c>
      <c r="G1421" t="n">
        <v>0.0847</v>
      </c>
      <c r="H1421" t="inlineStr">
        <is>
          <t>The code provided is a Java class named `CreateAndInsertDataSetup` that implements the interface `DataSetup` from package com.facebook.presto.tests.datatype. This class contains methods for creating and inserting data into test tables using SQL executor. The complexity of this operation can be considered as O(n), where n represents the number of rows to be inserted</t>
        </is>
      </c>
      <c r="I1421" t="n">
        <v>0.0046</v>
      </c>
      <c r="J1421" t="n">
        <v>0.0615</v>
      </c>
      <c r="K1421" t="n">
        <v>0.1613</v>
      </c>
      <c r="L1421" t="inlineStr">
        <is>
          <t>The code provided is a Java class named `CreateAndInsertDataSetup` that implements the functionality of setting up data for tests in Presto SQL (a distributed SQL query engine). The purpose of this class seems to be creating and inserting test tables into an existing database using predefined configurations.
Here's a concise summary focusing on its main functionality:</t>
        </is>
      </c>
      <c r="M1421" t="n">
        <v>0.0043</v>
      </c>
      <c r="N1421" t="n">
        <v>0.09229999999999999</v>
      </c>
      <c r="O1421" t="n">
        <v>0.1563</v>
      </c>
    </row>
    <row r="1422">
      <c r="A1422" t="inlineStr">
        <is>
          <t>presto</t>
        </is>
      </c>
      <c r="B1422" t="inlineStr">
        <is>
          <t>presto-tests/src/main/java/com/facebook/presto/tests/statistics/Metric.java</t>
        </is>
      </c>
      <c r="C1422">
        <f>HYPERLINK("https://github.com/prestodb/presto/blob/master/presto-tests/src/main/java/com/facebook/presto/tests/statistics/Metric.java")</f>
        <v/>
      </c>
      <c r="D1422" t="inlineStr">
        <is>
          <t>The code provided is a Java interface named `Metric` that defines two methods for obtaining values from either Plan Node Stats Estimate or an aggregated query result respectively. The license at the top of the file specifies conditions under which this software can be used and distributed.
It's important to note that there are TODO comments indicating areas where further implementation might need to occur. This</t>
        </is>
      </c>
      <c r="E1422" t="n">
        <v>0.0036</v>
      </c>
      <c r="F1422" t="n">
        <v>0.08</v>
      </c>
      <c r="G1422" t="n">
        <v>0.2696</v>
      </c>
      <c r="H1422" t="inlineStr">
        <is>
          <t>The code provided is a Java interface named `Metric` that contains two methods for obtaining values from different sources - one related to the estimation of plan node statistics and another related to aggregating query results. The license at the top of the file states that it's licensed under Apache License 2.0. It also mentions some conditions which need to be met in order to use this software.</t>
        </is>
      </c>
      <c r="I1422" t="n">
        <v>0.0027</v>
      </c>
      <c r="J1422" t="n">
        <v>0.0519</v>
      </c>
      <c r="K1422" t="n">
        <v>0.1071</v>
      </c>
      <c r="L1422" t="inlineStr">
        <is>
          <t>The provided code is a Java interface named `Metric` that defines two methods for obtaining metric values from different sources - Plan Node Stats Estimation and Aggregated Query Result respectively. The purpose of this interface seems to be providing an abstraction layer over various metrics calculation processes in the system. It uses Apache License 2.0 which means it's open source software licensed under permiss</t>
        </is>
      </c>
      <c r="M1422" t="n">
        <v>0.0034</v>
      </c>
      <c r="N1422" t="n">
        <v>0.0548</v>
      </c>
      <c r="O1422" t="n">
        <v>0.1471</v>
      </c>
    </row>
    <row r="1423">
      <c r="A1423" t="inlineStr">
        <is>
          <t>presto</t>
        </is>
      </c>
      <c r="B1423" t="inlineStr">
        <is>
          <t>presto-tests/src/main/java/com/facebook/presto/tests/statistics/MetricComparisonStrategies.java</t>
        </is>
      </c>
      <c r="C1423">
        <f>HYPERLINK("https://github.com/prestodb/presto/blob/master/presto-tests/src/main/java/com/facebook/presto/tests/statistics/MetricComparisonStrategies.java")</f>
        <v/>
      </c>
      <c r="D1423" t="inlineStr">
        <is>
          <t>The provided code is a Java class named `MetricComparisonStrategies` that provides different strategies for comparing metrics (numbers or values). The code is licensed under the Apache License 2.0 and it's distributed on an "AS IS" BASIS without warranties or conditions of any kind either expressed or implied. It contains methods to compare metrics using absolute error strategy with no</t>
        </is>
      </c>
      <c r="E1423" t="n">
        <v>0.0031</v>
      </c>
      <c r="F1423" t="n">
        <v>0.029</v>
      </c>
      <c r="G1423" t="n">
        <v>0.07630000000000001</v>
      </c>
      <c r="H1423" t="inlineStr">
        <is>
          <t>The function `add` is a simple addition operation that takes two numbers as arguments and returns their sum. The functionality of this code can be summarized in the following way: "It performs an arithmetic addition on two input parameters." Its complexity is O(1), meaning it has constant time complexity since no matter how large the inputs are, the computation will always take a fixed amount of time to</t>
        </is>
      </c>
      <c r="I1423" t="n">
        <v>0.0032</v>
      </c>
      <c r="J1423" t="n">
        <v>0.0519</v>
      </c>
      <c r="K1423" t="n">
        <v>0.1071</v>
      </c>
      <c r="L1423" t="inlineStr">
        <is>
          <t>The provided code is a Java class named `MetricComparisonStrategies` which contains several static methods for comparing metrics with different strategies. 
These strategies include no error (which simply returns true if the two values are equal regardless of their difference), absolute error where it checks whether the differences between two numbers fall within an acceptable range specified by 'error', and others like relative error or</t>
        </is>
      </c>
      <c r="M1423" t="n">
        <v>0.0028</v>
      </c>
      <c r="N1423" t="n">
        <v>0.0278</v>
      </c>
      <c r="O1423" t="n">
        <v>0.0368</v>
      </c>
    </row>
    <row r="1424">
      <c r="A1424" t="inlineStr">
        <is>
          <t>presto</t>
        </is>
      </c>
      <c r="B1424" t="inlineStr">
        <is>
          <t>presto-tests/src/main/java/com/facebook/presto/tests/statistics/Metrics.java</t>
        </is>
      </c>
      <c r="C1424">
        <f>HYPERLINK("https://github.com/prestodb/presto/blob/master/presto-tests/src/main/java/com/facebook/presto/tests/statistics/Metrics.java")</f>
        <v/>
      </c>
      <c r="D1424" t="inlineStr">
        <is>
          <t>The provided code is a Java class named "Metrics". This class contains several static final metrics that are used to measure the performance of Presto queries. The metrics include OUTPUT_ROW_COUNT which measures the number of rows produced by a query execution plan node.
The implementation uses a custom metric called Metric and it's defined as an inner class within this main 'Metrics</t>
        </is>
      </c>
      <c r="E1424" t="n">
        <v>0.0035</v>
      </c>
      <c r="F1424" t="n">
        <v>0.0822</v>
      </c>
      <c r="G1424" t="n">
        <v>0.1493</v>
      </c>
      <c r="H1424" t="inlineStr">
        <is>
          <t>The code provided is a Java class named "Metrics". This class contains several static final metrics that are used to measure the performance of different parts of Presto, an open source distributed SQL query engine for big data processing. The metrics include OUTPUT_ROW_COUNT which measures the number of rows produced by each node in the execution plan. 
However, without more context or specific</t>
        </is>
      </c>
      <c r="I1424" t="n">
        <v>0.0029</v>
      </c>
      <c r="J1424" t="n">
        <v>0.0274</v>
      </c>
      <c r="K1424" t="n">
        <v>0.0741</v>
      </c>
      <c r="L1424" t="inlineStr">
        <is>
          <t>"The provided code is a Java class named `Metrics` that contains several static final variables representing different metrics related to the performance of an application."
# Step 1: Analyze the Code Holistically
```java
// The Metrics class represents various statistical and performance metrics for an application.
// It includes metrics such as OUTPUT_ROW_COUNT which measures the number</t>
        </is>
      </c>
      <c r="M1424" t="n">
        <v>0.0032</v>
      </c>
      <c r="N1424" t="n">
        <v>0.0312</v>
      </c>
      <c r="O1424" t="n">
        <v>0.0388</v>
      </c>
    </row>
    <row r="1425">
      <c r="A1425" t="inlineStr">
        <is>
          <t>presto</t>
        </is>
      </c>
      <c r="B1425" t="inlineStr">
        <is>
          <t>presto-tests/src/main/java/com/facebook/presto/tests/statistics/MetricComparison.java</t>
        </is>
      </c>
      <c r="C1425">
        <f>HYPERLINK("https://github.com/prestodb/presto/blob/master/presto-tests/src/main/java/com/facebook/presto/tests/statistics/MetricComparison.java")</f>
        <v/>
      </c>
      <c r="D1425" t="inlineStr">
        <is>
          <t>The code provided is a Java class for comparing metrics in the context of software testing and statistics. It uses Apache License 2.0 which allows anyone to use it without restrictions or requirements from the license holder. The comparison involves checking if there's an estimate, whether there's a baseline against which to compare, matching results, different results (differences), no estimate result, no baseline result</t>
        </is>
      </c>
      <c r="E1425" t="n">
        <v>0.0034</v>
      </c>
      <c r="F1425" t="n">
        <v>0.0533</v>
      </c>
      <c r="G1425" t="n">
        <v>0.1103</v>
      </c>
      <c r="H1425" t="inlineStr">
        <is>
          <t>The code provided is a simple function for addition of two numbers in Python named `add`. It takes two parameters (numbers), adds them together and returns the result. The time complexity of this operation is O(1).
In terms of Apache License 2.0, it's stating that you can use this file as per your needs but must comply with its conditions.</t>
        </is>
      </c>
      <c r="I1425" t="n">
        <v>0.003</v>
      </c>
      <c r="J1425" t="n">
        <v>0.0563</v>
      </c>
      <c r="K1425" t="n">
        <v>0.1136</v>
      </c>
      <c r="L1425" t="inlineStr">
        <is>
          <t>The provided code is a part of Presto's testing statistics module in Java. It contains classes for comparing metrics and determining their results based on the comparison. The main purpose of this code seems to be calculating statistical comparisons between different metric values.
There are two primary classes involved - MetricComparison which has an enum Result with four possible states (MATCH, DIFFER,</t>
        </is>
      </c>
      <c r="M1425" t="n">
        <v>0.0035</v>
      </c>
      <c r="N1425" t="n">
        <v>0.0571</v>
      </c>
      <c r="O1425" t="n">
        <v>0.1493</v>
      </c>
    </row>
    <row r="1426">
      <c r="A1426" t="inlineStr">
        <is>
          <t>presto</t>
        </is>
      </c>
      <c r="B1426" t="inlineStr">
        <is>
          <t>presto-tests/src/main/java/com/facebook/presto/tests/statistics/MetricComparisonStrategy.java</t>
        </is>
      </c>
      <c r="C1426">
        <f>HYPERLINK("https://github.com/prestodb/presto/blob/master/presto-tests/src/main/java/com/facebook/presto/tests/statistics/MetricComparisonStrategy.java")</f>
        <v/>
      </c>
      <c r="D1426" t="inlineStr">
        <is>
          <t>The code provided is a Java interface named "MetricComparisonStrategy". This interface defines one method called "matches", which takes two double parameters - 'actual' and 'estimate'. The purpose of this interface seems to be for comparing the actual value with an estimate in some way (possibly statistical comparison). It returns a boolean indicating whether or not they match according to certain criteria defined by its</t>
        </is>
      </c>
      <c r="E1426" t="n">
        <v>0.0034</v>
      </c>
      <c r="F1426" t="n">
        <v>0.0563</v>
      </c>
      <c r="G1426" t="n">
        <v>0.0735</v>
      </c>
      <c r="H1426" t="inlineStr">
        <is>
          <t>The provided code is a Java interface named `MetricComparisonStrategy` which defines an abstract method called `matches()`. This function takes in two parameters of type double and returns a boolean value indicating whether the actual metric matches with the estimated one based on some comparison strategy. The license at the top indicates that this software may be used under certain conditions as outlined by Apache License 2.0</t>
        </is>
      </c>
      <c r="I1426" t="n">
        <v>0.0036</v>
      </c>
      <c r="J1426" t="n">
        <v>0.08</v>
      </c>
      <c r="K1426" t="n">
        <v>0.2287</v>
      </c>
      <c r="L1426" t="inlineStr">
        <is>
          <t>The provided code is a Java interface named "MetricComparisonStrategy". This interface has one method called 'matches' which takes two parameters - actual and estimate of type double. The purpose of this interface seems to be for comparing metrics (like accuracy) between an actual value and its estimated or predicted value. It returns true if the comparison matches certain conditions defined by the implementation class.</t>
        </is>
      </c>
      <c r="M1426" t="n">
        <v>0.0034</v>
      </c>
      <c r="N1426" t="n">
        <v>0.0563</v>
      </c>
      <c r="O1426" t="n">
        <v>0.1103</v>
      </c>
    </row>
    <row r="1427">
      <c r="A1427" t="inlineStr">
        <is>
          <t>presto</t>
        </is>
      </c>
      <c r="B1427" t="inlineStr">
        <is>
          <t>presto-tests/src/main/java/com/facebook/presto/tests/statistics/StatsContext.java</t>
        </is>
      </c>
      <c r="C1427">
        <f>HYPERLINK("https://github.com/prestodb/presto/blob/master/presto-tests/src/main/java/com/facebook/presto/tests/statistics/StatsContext.java")</f>
        <v/>
      </c>
      <c r="D1427" t="inlineStr">
        <is>
          <t>The provided code is a Java class named `StatsContext` that provides context for statistics calculations in Presto, a distributed SQL query engine. It holds information about column variables and has methods to check preconditions before performing certain operations. The Apache License 2.0 is applied to this code which requires compliance with the license terms or obtaining a copy of it from http://www.apache.org</t>
        </is>
      </c>
      <c r="E1427" t="n">
        <v>0.0029</v>
      </c>
      <c r="F1427" t="n">
        <v>0.027</v>
      </c>
      <c r="G1427" t="n">
        <v>0.0746</v>
      </c>
      <c r="H1427" t="inlineStr">
        <is>
          <t>The provided code is a Java class named `StatsContext` that holds the information about column variables in statistics calculation context for Presto SQL query execution engine. The complexity of this function is O(n), where n represents the number of elements in the input map. This class has one constructor and it takes an instance of Map as its parameter which maps String to VariableReferenceExpression objects representing different</t>
        </is>
      </c>
      <c r="I1427" t="n">
        <v>0.0032</v>
      </c>
      <c r="J1427" t="n">
        <v>0.0789</v>
      </c>
      <c r="K1427" t="n">
        <v>0.1079</v>
      </c>
      <c r="L1427" t="inlineStr">
        <is>
          <t>The provided code is a Java class named `StatsContext` that serves as the context for statistics calculations in Presto, a distributed SQL query engine. 
It has one private final field called `columnVariables` which holds an immutable map of column names and corresponding variable reference expressions. The constructor takes this map as input and assigns it to the instance variable. This class</t>
        </is>
      </c>
      <c r="M1427" t="n">
        <v>0.0036</v>
      </c>
      <c r="N1427" t="n">
        <v>0.058</v>
      </c>
      <c r="O1427" t="n">
        <v>0.1128</v>
      </c>
    </row>
    <row r="1428">
      <c r="A1428" t="inlineStr">
        <is>
          <t>presto</t>
        </is>
      </c>
      <c r="B1428" t="inlineStr">
        <is>
          <t>presto-tests/src/main/java/com/facebook/presto/tests/statistics/StatisticsAssertion.java</t>
        </is>
      </c>
      <c r="C1428">
        <f>HYPERLINK("https://github.com/prestodb/presto/blob/master/presto-tests/src/main/java/com/facebook/presto/tests/statistics/StatisticsAssertion.java")</f>
        <v/>
      </c>
      <c r="D1428" t="inlineStr">
        <is>
          <t>The code provided is a Java implementation of core algorithms used in the Presto project by Facebook. It includes tests for statistics and metrics comparison. The complexity of this code is O(N), where N represents the number of elements being processed. This code does not repeat any code from the original source but provides an example on how to use certain functions or classes that might be useful when implementing similar functional</t>
        </is>
      </c>
      <c r="E1428" t="n">
        <v>0.0033</v>
      </c>
      <c r="F1428" t="n">
        <v>0.0741</v>
      </c>
      <c r="G1428" t="n">
        <v>0.1736</v>
      </c>
      <c r="H1428" t="inlineStr">
        <is>
          <t>The code you provided is a simple function for addition of two numbers in Python. It's named `add` and takes two parameters (numbers to be added). The complexity of this operation is O(1), meaning it always executes the same number of steps regardless of input size.
Here are some key components of your README file:
- Licensing Information:</t>
        </is>
      </c>
      <c r="I1428" t="n">
        <v>0.0031</v>
      </c>
      <c r="J1428" t="n">
        <v>0.0597</v>
      </c>
      <c r="K1428" t="n">
        <v>0.1154</v>
      </c>
      <c r="L1428" t="inlineStr">
        <is>
          <t>The provided code is a Java implementation of the Metric Comparison feature in Presto, an open source distributed SQL query engine for big data. The main purpose of this code is to compare metrics between different queries or executions and provide feedback on whether they match within certain tolerance levels.
It takes as input two lists of metric values (`expectedMetrics` and `actualMetrics`</t>
        </is>
      </c>
      <c r="M1428" t="n">
        <v>0.0029</v>
      </c>
      <c r="N1428" t="n">
        <v>0.0571</v>
      </c>
      <c r="O1428" t="n">
        <v>0.1119</v>
      </c>
    </row>
    <row r="1429">
      <c r="A1429" t="inlineStr">
        <is>
          <t>presto</t>
        </is>
      </c>
      <c r="B1429" t="inlineStr">
        <is>
          <t>presto-tests/src/main/java/com/facebook/presto/tests/statistics/MetricComparator.java</t>
        </is>
      </c>
      <c r="C1429">
        <f>HYPERLINK("https://github.com/prestodb/presto/blob/master/presto-tests/src/main/java/com/facebook/presto/tests/statistics/MetricComparator.java")</f>
        <v/>
      </c>
      <c r="D1429" t="inlineStr">
        <is>
          <t>The code provided is a part of the Presto project's test suite for statistics related to query plans and their execution. It uses Apache License 2.0 which allows users to use it in compliance with the license or obtain a copy at http://www.apache.org/licenses/LICENSE-2.0 without any restrictions. The software distributed under this license is distributed on</t>
        </is>
      </c>
      <c r="E1429" t="n">
        <v>0.004</v>
      </c>
      <c r="F1429" t="n">
        <v>0.0278</v>
      </c>
      <c r="G1429" t="n">
        <v>0.1575</v>
      </c>
      <c r="H1429" t="inlineStr">
        <is>
          <t>The function provided is a simple addition operation that takes two parameters and returns their sum. It's complexity is O(1), meaning it performs the same number of operations regardless of input size. The code does not repeat itself or contain any comments explaining its functionality.
The Apache License 2.0 applies to this file as per the license notice at the top of the code. This</t>
        </is>
      </c>
      <c r="I1429" t="n">
        <v>0.0033</v>
      </c>
      <c r="J1429" t="n">
        <v>0.0526</v>
      </c>
      <c r="K1429" t="n">
        <v>0.1095</v>
      </c>
      <c r="L1429" t="inlineStr">
        <is>
          <t>The provided code is part of a Presto SQL query optimizer and statistics package in Java. The main purpose of this code seems to be the estimation of cost for different plans based on various factors such as data size, distribution type etc. 
It defines classes related to plan node stats estimate (`PlanNodeStatsEstimate`) which provides statistical information about how much resources are</t>
        </is>
      </c>
      <c r="M1429" t="n">
        <v>0.0029</v>
      </c>
      <c r="N1429" t="n">
        <v>0.0286</v>
      </c>
      <c r="O1429" t="n">
        <v>0.1119</v>
      </c>
    </row>
    <row r="1430">
      <c r="A1430" t="inlineStr">
        <is>
          <t>presto</t>
        </is>
      </c>
      <c r="B1430" t="inlineStr">
        <is>
          <t>presto-tests/src/main/java/com/facebook/presto/tests/tpcds/TpcdsTableName.java</t>
        </is>
      </c>
      <c r="C1430">
        <f>HYPERLINK("https://github.com/prestodb/presto/blob/master/presto-tests/src/main/java/com/facebook/presto/tests/tpcds/TpcdsTableName.java")</f>
        <v/>
      </c>
      <c r="D1430" t="inlineStr">
        <is>
          <t>The code provided is a Java enum named TpcdsTableName that represents the names of tables in the tpcds dataset used for testing purposes. The license at the top indicates it's licensed under Apache 2.0 and there are conditions related to redistribution which must be followed while using or modifying this software. This repository contains backend components implementing core algorithms but does not</t>
        </is>
      </c>
      <c r="E1430" t="n">
        <v>0.0039</v>
      </c>
      <c r="F1430" t="n">
        <v>0.1111</v>
      </c>
      <c r="G1430" t="n">
        <v>0.2776</v>
      </c>
      <c r="H1430" t="inlineStr">
        <is>
          <t>The code provided is a Java package named "com.facebook.presto.tests.tpcds". It contains several enums representing table names from the TPC-DS (Transaction Processing Performance Council Data Stream), which are used to identify tables in databases for benchmark testing and performance evaluation purposes. The complexity of this implementation is O(N).
The license under Apache License</t>
        </is>
      </c>
      <c r="I1430" t="n">
        <v>0.0035</v>
      </c>
      <c r="J1430" t="n">
        <v>0.0606</v>
      </c>
      <c r="K1430" t="n">
        <v>0.1613</v>
      </c>
      <c r="L1430" t="inlineStr">
        <is>
          <t>The provided code is a Java enum named TpcdsTableName that represents the names of tables in the TPC-DS benchmark suite used for testing database performance and scalability. The purpose of this enum seems to be to provide an easy way to refer to these table names without having to use hard-coded strings or worry about typos. This enum contains 17 elements representing different</t>
        </is>
      </c>
      <c r="M1430" t="n">
        <v>0.0034</v>
      </c>
      <c r="N1430" t="n">
        <v>0.0274</v>
      </c>
      <c r="O1430" t="n">
        <v>0.1111</v>
      </c>
    </row>
    <row r="1431">
      <c r="A1431" t="inlineStr">
        <is>
          <t>presto</t>
        </is>
      </c>
      <c r="B1431" t="inlineStr">
        <is>
          <t>presto-tests/src/main/java/com/facebook/presto/tests/tpch/MaterializedTupleRecordSet.java</t>
        </is>
      </c>
      <c r="C1431">
        <f>HYPERLINK("https://github.com/prestodb/presto/blob/master/presto-tests/src/main/java/com/facebook/presto/tests/tpch/MaterializedTupleRecordSet.java")</f>
        <v/>
      </c>
      <c r="D1431" t="inlineStr">
        <is>
          <t>The provided code is a Java implementation of the Apache License version 2.0 which governs its usage and distribution. It includes comments explaining permissions and limitations under this license. The main purpose seems to be implementing core algorithms for some kind of data processing system (probably Presto), but without further context it's hard to provide more specific details about what exactly is being implemented here.</t>
        </is>
      </c>
      <c r="E1431" t="n">
        <v>0.0033</v>
      </c>
      <c r="F1431" t="n">
        <v>0.08</v>
      </c>
      <c r="G1431" t="n">
        <v>0.146</v>
      </c>
      <c r="H1431" t="inlineStr">
        <is>
          <t>The provided code is a Java implementation of the add function which adds two numbers together. The complexity of this operation is O(1), meaning it takes constant time to perform regardless of input size. This function does not use any external libraries or dependencies and follows standard coding practices such as using clear variable names and comments for clarity. It also includes an Apache License header at the top of the file indicating that</t>
        </is>
      </c>
      <c r="I1431" t="n">
        <v>0.0029</v>
      </c>
      <c r="J1431" t="n">
        <v>0.0723</v>
      </c>
      <c r="K1431" t="n">
        <v>0.137</v>
      </c>
      <c r="L1431" t="inlineStr">
        <is>
          <t>Thegivensourcecodefileappears to be implementing a backend software component related to data processing and querying using the Presto database system. The main purpose of this code is likely to provide an interface for reading records from a set in memory (`RecordSet`) into a cursor that can iteratively read through those records (`RecordCursor`). 
It appears to use</t>
        </is>
      </c>
      <c r="M1431" t="n">
        <v>0.004</v>
      </c>
      <c r="N1431" t="n">
        <v>0.0635</v>
      </c>
      <c r="O1431" t="n">
        <v>0.1969</v>
      </c>
    </row>
    <row r="1432">
      <c r="A1432" t="inlineStr">
        <is>
          <t>presto</t>
        </is>
      </c>
      <c r="B1432" t="inlineStr">
        <is>
          <t>presto-tests/src/main/java/com/facebook/presto/tests/tpch/ExampleSystemTable.java</t>
        </is>
      </c>
      <c r="C1432">
        <f>HYPERLINK("https://github.com/prestodb/presto/blob/master/presto-tests/src/main/java/com/facebook/presto/tests/tpch/ExampleSystemTable.java")</f>
        <v/>
      </c>
      <c r="D1432" t="inlineStr">
        <is>
          <t>The code provided is a Java class implementing the core algorithms of Presto - an open source distributed SQL query engine for big data. It appears to be part of a larger system and provides functionality related to TPC-H (a standard benchmark suite used in database performance evaluation), specifically dealing with table metadata, session handling, tuple domains, record sets, cursors, etc. The license at the</t>
        </is>
      </c>
      <c r="E1432" t="n">
        <v>0.0037</v>
      </c>
      <c r="F1432" t="n">
        <v>0.0822</v>
      </c>
      <c r="G1432" t="n">
        <v>0.146</v>
      </c>
      <c r="H1432" t="inlineStr">
        <is>
          <t>The provided code is a Java function for addition of two numbers named `add`. It takes in two parameters (numbers), adds them together and returns the result. The time complexity of this operation is constant - O(1). This means that regardless of input size, it will always take exactly 1 step or operation to complete.
Please provide more context if you need further explanation</t>
        </is>
      </c>
      <c r="I1432" t="n">
        <v>0.0034</v>
      </c>
      <c r="J1432" t="n">
        <v>0.0556</v>
      </c>
      <c r="K1432" t="n">
        <v>0.1103</v>
      </c>
      <c r="L1432" t="inlineStr">
        <is>
          <t>Thegivensourcecodefileappears to be implementing a system for testing performance of an analytics database against the TPC-H benchmark suite. It is using Apache Presto as its query engine and provides functionality for creating in-memory record sets representing tables from different schemas within this environment. The main purpose appears to be managing metadata about these tables (`ConnectorTableMetadata`) and executing</t>
        </is>
      </c>
      <c r="M1432" t="n">
        <v>0.0038</v>
      </c>
      <c r="N1432" t="n">
        <v>0.0896</v>
      </c>
      <c r="O1432" t="n">
        <v>0.155</v>
      </c>
    </row>
    <row r="1433">
      <c r="A1433" t="inlineStr">
        <is>
          <t>presto</t>
        </is>
      </c>
      <c r="B1433" t="inlineStr">
        <is>
          <t>presto-tests/src/main/java/com/facebook/presto/tests/tpch/TpchIndexProvider.java</t>
        </is>
      </c>
      <c r="C1433">
        <f>HYPERLINK("https://github.com/prestodb/presto/blob/master/presto-tests/src/main/java/com/facebook/presto/tests/tpch/TpchIndexProvider.java")</f>
        <v/>
      </c>
      <c r="D1433" t="inlineStr">
        <is>
          <t>```java
// Licensed under the Apache License, Version 2.0 (the "License");
// you may not use this file except in compliance with the License.
// You can obtain a copy of the License at http://www.apache.org/licenses/LICENSE-2.0
// Unless required by applicable law or agreed to in writing,</t>
        </is>
      </c>
      <c r="E1433" t="n">
        <v>0</v>
      </c>
      <c r="F1433" t="n">
        <v>0.0345</v>
      </c>
      <c r="G1433" t="n">
        <v>0.0847</v>
      </c>
      <c r="H1433" t="inlineStr">
        <is>
          <t>The provided code is a Java implementation of the add function which adds two numbers together. The complexity of this operation is O(1), meaning it takes constant time to execute regardless of the size of the input data. This means that no matter how large your inputs are (as long as they're numerical and within the limits of what can be stored in an integer or float type variable), adding them</t>
        </is>
      </c>
      <c r="I1433" t="n">
        <v>0.003</v>
      </c>
      <c r="J1433" t="n">
        <v>0.0741</v>
      </c>
      <c r="K1433" t="n">
        <v>0.1399</v>
      </c>
      <c r="L1433" t="inlineStr">
        <is>
          <t>ThegivenJavaSourceFilecontainssomeclassesrelatedtothetpchtestsforafacebook'sPrestoDBsystem.ItincludesclasseslikeTPCHTableTestBase,TPCHQueryTestBase,etc.Eachclasshasmethodsdefinedtosetuptestenvironment,executequeryandsvalidateresults.Inputsincludeconnectorsessionobjectsandoptionalparametersforenvironmentsetup.Outputs</t>
        </is>
      </c>
      <c r="M1433" t="n">
        <v>0</v>
      </c>
      <c r="N1433" t="n">
        <v>0</v>
      </c>
      <c r="O1433" t="n">
        <v>0</v>
      </c>
    </row>
    <row r="1434">
      <c r="A1434" t="inlineStr">
        <is>
          <t>presto</t>
        </is>
      </c>
      <c r="B1434" t="inlineStr">
        <is>
          <t>presto-tests/src/main/java/com/facebook/presto/tests/tpch/TpchIndexHandle.java</t>
        </is>
      </c>
      <c r="C1434">
        <f>HYPERLINK("https://github.com/prestodb/presto/blob/master/presto-tests/src/main/java/com/facebook/presto/tests/tpch/TpchIndexHandle.java")</f>
        <v/>
      </c>
      <c r="D1434" t="inlineStr">
        <is>
          <t>The provided code is a Java class named TpCh that represents an index handle for the Presto project by Facebook. It's used to manage and query data from various sources using SQL like syntax. The license information at the top of the file states it under Apache License 2.0 which means you can use this software in any way as long as you follow its terms.</t>
        </is>
      </c>
      <c r="E1434" t="n">
        <v>0.0033</v>
      </c>
      <c r="F1434" t="n">
        <v>0.0526</v>
      </c>
      <c r="G1434" t="n">
        <v>0.2287</v>
      </c>
      <c r="H1434" t="inlineStr">
        <is>
          <t>The provided code is a Java class named Tp that appears to be part of a larger project related to data processing or database management system using the Presto framework from Facebook. The class contains several import statements and annotations for JSON serialization and deserialization. It also has some fields like "columnHandles", "indexHandles", etc., which are likely handles used by connectors</t>
        </is>
      </c>
      <c r="I1434" t="n">
        <v>0.003</v>
      </c>
      <c r="J1434" t="n">
        <v>0.029</v>
      </c>
      <c r="K1434" t="n">
        <v>0.0752</v>
      </c>
      <c r="L1434" t="inlineStr">
        <is>
          <t>The provided code is a Java class named `TpSummary` that appears to be part of the Presto project's test suite for TPC-H queries. 
It seems to define an immutable object representing summary statistics about a set of columns in a data source. The purpose of this class might involve managing and providing summaries or aggregated information related to these column</t>
        </is>
      </c>
      <c r="M1434" t="n">
        <v>0.003</v>
      </c>
      <c r="N1434" t="n">
        <v>0.0571</v>
      </c>
      <c r="O1434" t="n">
        <v>0.1136</v>
      </c>
    </row>
    <row r="1435">
      <c r="A1435" t="inlineStr">
        <is>
          <t>presto</t>
        </is>
      </c>
      <c r="B1435" t="inlineStr">
        <is>
          <t>presto-tests/src/main/java/com/facebook/presto/tests/tpch/MaterializedTuple.java</t>
        </is>
      </c>
      <c r="C1435">
        <f>HYPERLINK("https://github.com/prestodb/presto/blob/master/presto-tests/src/main/java/com/facebook/presto/tests/tpch/MaterializedTuple.java")</f>
        <v/>
      </c>
      <c r="D1435" t="inlineStr">
        <is>
          <t>The code provided is a Java class named MaterializedTuple that represents an immutable tuple of objects (similar to what you might see in other languages like Python or C). It has been licensed under the Apache License 2.0 and includes comments explaining its functionality and limitations. The complexity of this piece of code appears to be O(N), where N refers to the number of elements within the</t>
        </is>
      </c>
      <c r="E1435" t="n">
        <v>0.0057</v>
      </c>
      <c r="F1435" t="n">
        <v>0.0519</v>
      </c>
      <c r="G1435" t="n">
        <v>0.1839</v>
      </c>
      <c r="H1435" t="inlineStr">
        <is>
          <t>The provided code is a Java implementation of the `add` function which performs addition operation on two numbers (integers or floating point). The complexity of this function is O(1), meaning it takes constant time to execute regardless of input size. This function does not have any external dependencies and uses standard Java libraries for its operations. It also includes Apache License 2.0 in comments at the top</t>
        </is>
      </c>
      <c r="I1435" t="n">
        <v>0.0032</v>
      </c>
      <c r="J1435" t="n">
        <v>0.0779</v>
      </c>
      <c r="K1435" t="n">
        <v>0.1439</v>
      </c>
      <c r="L1435" t="inlineStr">
        <is>
          <t>The provided code is a Java class named MaterializedTuple that represents an immutable tuple of values. It has one private final field 'values' which holds the list of Objects representing the data in this Tuple. The constructor requires a non-null List of objects as input and assigns it to the 'values' variable. There are two methods defined - getter method for accessing the</t>
        </is>
      </c>
      <c r="M1435" t="n">
        <v>0.0029</v>
      </c>
      <c r="N1435" t="n">
        <v>0.0563</v>
      </c>
      <c r="O1435" t="n">
        <v>0.0741</v>
      </c>
    </row>
    <row r="1436">
      <c r="A1436" t="inlineStr">
        <is>
          <t>presto</t>
        </is>
      </c>
      <c r="B1436" t="inlineStr">
        <is>
          <t>presto-tests/src/main/java/com/facebook/presto/tests/tpch/TpchIndexSpec.java</t>
        </is>
      </c>
      <c r="C1436">
        <f>HYPERLINK("https://github.com/prestodb/presto/blob/master/presto-tests/src/main/java/com/facebook/presto/tests/tpch/TpchIndexSpec.java")</f>
        <v/>
      </c>
      <c r="D1436" t="inlineStr">
        <is>
          <t>The code provided is a Java class named `TpchIndexSpec` that represents the specification of indexes for tables in TPC-H benchmark queries. It uses Google's Guava library to create an immutable set multimap where each key (a table from TPC-H scaled schema) maps to multiple values (indexes). The license at the top indicates it may be used</t>
        </is>
      </c>
      <c r="E1436" t="n">
        <v>0</v>
      </c>
      <c r="F1436" t="n">
        <v>0</v>
      </c>
      <c r="G1436" t="n">
        <v>0.0391</v>
      </c>
      <c r="H1436" t="inlineStr">
        <is>
          <t>The code you provided is a Java class named `TpchIndexSpec` that defines an immutable data structure for specifying indexing strategies in the TPC-H benchmark suite. The primary functionality of this class involves creating and managing instances of itself with different sets of indexes defined on various tables from the TPC-H schema.
In terms of functionality, it appears to be</t>
        </is>
      </c>
      <c r="I1436" t="n">
        <v>0.0037</v>
      </c>
      <c r="J1436" t="n">
        <v>0.058</v>
      </c>
      <c r="K1436" t="n">
        <v>0.1145</v>
      </c>
      <c r="L1436" t="inlineStr">
        <is>
          <t>The provided code is a Java class named `TpchIndexSpec` that provides functionality related to index specifications for the TPC-H benchmarking system.
It has two public static final instances of itself and one private instance variable (a SetMultimap). The constructor takes an ImmutableSetMultimap as its argument which represents the specification of indexes on different tables in the</t>
        </is>
      </c>
      <c r="M1436" t="n">
        <v>0.0039</v>
      </c>
      <c r="N1436" t="n">
        <v>0.0615</v>
      </c>
      <c r="O1436" t="n">
        <v>0.0781</v>
      </c>
    </row>
    <row r="1437">
      <c r="A1437" t="inlineStr">
        <is>
          <t>presto</t>
        </is>
      </c>
      <c r="B1437" t="inlineStr">
        <is>
          <t>presto-tests/src/main/java/com/facebook/presto/tests/tpch/TpchScaledTable.java</t>
        </is>
      </c>
      <c r="C1437">
        <f>HYPERLINK("https://github.com/prestodb/presto/blob/master/presto-tests/src/main/java/com/facebook/presto/tests/tpch/TpchScaledTable.java")</f>
        <v/>
      </c>
      <c r="D1437" t="inlineStr">
        <is>
          <t>```plaintext
The provided code is a Java class named TpchScaledTable that represents a table in the TPC-H benchmark with scaling factor applied to its data. 
It has two properties - 'tableName' and 'scaleFactor'. The constructor requires these two parameters for initialization. It also includes getter methods for both properties. This class adheres</t>
        </is>
      </c>
      <c r="E1437" t="n">
        <v>0.0042</v>
      </c>
      <c r="F1437" t="n">
        <v>0.0333</v>
      </c>
      <c r="G1437" t="n">
        <v>0.0806</v>
      </c>
      <c r="H1437" t="inlineStr">
        <is>
          <t>The code provided is a Java class named TpchScaledTable that represents a table in the TPC-H benchmark with scaling factors applied to its columns. The class has two private fields - 'tableName' and 'scaleFactor'. It also includes getter methods for both these fields along with a constructor which initializes them upon object creation.
In terms of functionality,</t>
        </is>
      </c>
      <c r="I1437" t="n">
        <v>0.0032</v>
      </c>
      <c r="J1437" t="n">
        <v>0.0308</v>
      </c>
      <c r="K1437" t="n">
        <v>0.0388</v>
      </c>
      <c r="L1437" t="inlineStr">
        <is>
          <t>The provided code is a Java class named `TpchScaledTable` which represents a table in the TPC-H benchmark with scaling factors applied to its data. 
It has two private fields - `tableName` and `scaleFactor` representing the name of the table and the scale factor respectively. The constructor initializes these values while ensuring that they are not null</t>
        </is>
      </c>
      <c r="M1437" t="n">
        <v>0.0033</v>
      </c>
      <c r="N1437" t="n">
        <v>0.0312</v>
      </c>
      <c r="O1437" t="n">
        <v>0.0391</v>
      </c>
    </row>
    <row r="1438">
      <c r="A1438" t="inlineStr">
        <is>
          <t>presto</t>
        </is>
      </c>
      <c r="B1438" t="inlineStr">
        <is>
          <t>presto-tests/src/main/java/com/facebook/presto/tests/tpch/TpchIndexMetadata.java</t>
        </is>
      </c>
      <c r="C1438">
        <f>HYPERLINK("https://github.com/prestodb/presto/blob/master/presto-tests/src/main/java/com/facebook/presto/tests/tpch/TpchIndexMetadata.java")</f>
        <v/>
      </c>
      <c r="D1438" t="inlineStr">
        <is>
          <t>The code provided appears to be a Java implementation of core algorithms from the Presto project by Facebook. The license at the top indicates that it is licensed under Apache License 2.0. It contains several import statements for classes and interfaces used in the program such as MethodHandleUtil, NullableValue, TupleDomain, MapType etc., which are part of Presto's common</t>
        </is>
      </c>
      <c r="E1438" t="n">
        <v>0.0037</v>
      </c>
      <c r="F1438" t="n">
        <v>0.0882</v>
      </c>
      <c r="G1438" t="n">
        <v>0.1538</v>
      </c>
      <c r="H1438" t="inlineStr">
        <is>
          <t>The code you provided is a simple function for addition of two numbers in Python. It takes two parameters 'a' and 'b', performs the operation of adding them together, and returns the result. The time complexity of this function is O(1), meaning it always executes in constant time regardless of input size.
In summary, this code does exactly what its name suggests - adds</t>
        </is>
      </c>
      <c r="I1438" t="n">
        <v>0.0028</v>
      </c>
      <c r="J1438" t="n">
        <v>0.0556</v>
      </c>
      <c r="K1438" t="n">
        <v>0.1103</v>
      </c>
      <c r="L1438" t="inlineStr">
        <is>
          <t>The provided code is a part of the Presto SQL project's test suite for TPC-H queries. It imports several classes from packages related to data handling and query processing in Presto. The main purpose of this code seems to be testing different aspects of these imported classes using JUnit tests.
However, without seeing the actual code or knowing more about its context</t>
        </is>
      </c>
      <c r="M1438" t="n">
        <v>0.0029</v>
      </c>
      <c r="N1438" t="n">
        <v>0.0278</v>
      </c>
      <c r="O1438" t="n">
        <v>0.1119</v>
      </c>
    </row>
    <row r="1439">
      <c r="A1439" t="inlineStr">
        <is>
          <t>presto</t>
        </is>
      </c>
      <c r="B1439" t="inlineStr">
        <is>
          <t>presto-tests/src/main/java/com/facebook/presto/tests/tpch/AppendingRecordSet.java</t>
        </is>
      </c>
      <c r="C1439">
        <f>HYPERLINK("https://github.com/prestodb/presto/blob/master/presto-tests/src/main/java/com/facebook/presto/tests/tpch/AppendingRecordSet.java")</f>
        <v/>
      </c>
      <c r="D1439" t="inlineStr">
        <is>
          <t>The code provided appears to be a Java class that defines the structure of data for TPC-H queries in PrestoDB (a distributed SQL query engine). It includes import statements for various packages and classes used by PrestoDB such as RecordCursor, RecordSet etc., along with some Apache License information at the top. The main functionality seems to involve defining types, creating slices, handling</t>
        </is>
      </c>
      <c r="E1439" t="n">
        <v>0.0035</v>
      </c>
      <c r="F1439" t="n">
        <v>0.0282</v>
      </c>
      <c r="G1439" t="n">
        <v>0.0746</v>
      </c>
      <c r="H1439" t="inlineStr">
        <is>
          <t>The code provided is a Java method named `add` that takes two parameters and returns their sum. The function operates under the O(1) time complexity as it performs only one operation (adding numbers), regardless of input size.
In summary, this code provides an addition functionality for two integers or longs in Java. It does not include any exception handling or additional complexities such as</t>
        </is>
      </c>
      <c r="I1439" t="n">
        <v>0.0034</v>
      </c>
      <c r="J1439" t="n">
        <v>0.0548</v>
      </c>
      <c r="K1439" t="n">
        <v>0.1103</v>
      </c>
      <c r="L1439" t="inlineStr">
        <is>
          <t>The provided code is a part of Facebook's Presto project which is an open source distributed SQL query engine for running interactive analytic queries against various data sources such as Hadoop and other storage systems. The main purpose of the code seems to be related to reading from a table in a database using RecordSets and Cursors. It defines classes used by tests for the TPC-H</t>
        </is>
      </c>
      <c r="M1439" t="n">
        <v>0.0028</v>
      </c>
      <c r="N1439" t="n">
        <v>0.0263</v>
      </c>
      <c r="O1439" t="n">
        <v>0.0725</v>
      </c>
    </row>
    <row r="1440">
      <c r="A1440" t="inlineStr">
        <is>
          <t>presto</t>
        </is>
      </c>
      <c r="B1440" t="inlineStr">
        <is>
          <t>presto-tests/src/main/java/com/facebook/presto/tests/tpch/TpchIndexedData.java</t>
        </is>
      </c>
      <c r="C1440">
        <f>HYPERLINK("https://github.com/prestodb/presto/blob/master/presto-tests/src/main/java/com/facebook/presto/tests/tpch/TpchIndexedData.java")</f>
        <v/>
      </c>
      <c r="D1440" t="inlineStr">
        <is>
          <t>The code provided is a Java implementation of an Apache License 2.0 licensed software component named "Facebook Presto TPC-H". It involves the use of data processing and querying tools for handling large datasets efficiently. The license permits usage but requires compliance with certain conditions specified in the license text. This includes distribution under specific terms which may vary depending on the context.</t>
        </is>
      </c>
      <c r="E1440" t="n">
        <v>0.0039</v>
      </c>
      <c r="F1440" t="n">
        <v>0.0556</v>
      </c>
      <c r="G1440" t="n">
        <v>0.1866</v>
      </c>
      <c r="H1440" t="inlineStr">
        <is>
          <t>The provided code is a Java implementation of the TPC-H benchmark's record set provider for Presto SQL. It provides an interface to access data from various sources in a standardized way. The complexity here would be O(n), where n represents the number of records returned by this class.
The function `getRecordSet()` returns a RecordSet object which contains</t>
        </is>
      </c>
      <c r="I1440" t="n">
        <v>0</v>
      </c>
      <c r="J1440" t="n">
        <v>0.0588</v>
      </c>
      <c r="K1440" t="n">
        <v>0.1163</v>
      </c>
      <c r="L1440" t="inlineStr">
        <is>
          <t>The provided code appears to be a part of the Presto SQL project's TPC-H (Transaction Processing Performance Council - Huge) benchmark suite. It is used for generating test data and evaluating query performance on large scale databases. 
The main purpose of this code seems to be creating RecordSets from pre-defined schemas in the TPC-H dataset</t>
        </is>
      </c>
      <c r="M1440" t="n">
        <v>0.0033</v>
      </c>
      <c r="N1440" t="n">
        <v>0.0303</v>
      </c>
      <c r="O1440" t="n">
        <v>0.1181</v>
      </c>
    </row>
    <row r="1441">
      <c r="A1441" t="inlineStr">
        <is>
          <t>presto</t>
        </is>
      </c>
      <c r="B1441" t="inlineStr">
        <is>
          <t>presto-tests/src/main/java/com/facebook/presto/tests/tpch/ConcatRecordSet.java</t>
        </is>
      </c>
      <c r="C1441">
        <f>HYPERLINK("https://github.com/prestodb/presto/blob/master/presto-tests/src/main/java/com/facebook/presto/tests/tpch/ConcatRecordSet.java")</f>
        <v/>
      </c>
      <c r="D1441" t="inlineStr">
        <is>
          <t>The code provided is a Java implementation of an Apache License 2.0. It includes comments explaining the purpose and functionality of various parts of the program. The license details are also included at the top of each file in this repository indicating that it can be used under certain conditions as specified by the terms of the license.
It appears to be part of Facebook's Presto project</t>
        </is>
      </c>
      <c r="E1441" t="n">
        <v>0.0032</v>
      </c>
      <c r="F1441" t="n">
        <v>0.0519</v>
      </c>
      <c r="G1441" t="n">
        <v>0.1439</v>
      </c>
      <c r="H1441" t="inlineStr">
        <is>
          <t>The code you provided is a simple function for addition of two numbers in Python. The functionality of this code can be summarized as follows:
It defines a function called add that takes two parameters (numbers). This function returns the sum of these two numbers. 
In terms of complexity, it's O(1), meaning its time and space complexities are constant ir</t>
        </is>
      </c>
      <c r="I1441" t="n">
        <v>0.004</v>
      </c>
      <c r="J1441" t="n">
        <v>0.0857</v>
      </c>
      <c r="K1441" t="n">
        <v>0.1515</v>
      </c>
      <c r="L1441" t="inlineStr">
        <is>
          <t>The provided code is a part of the Presto project's test suite for TPC-H queries. It provides functionality to execute and validate results against expected output. The main purpose of this module seems to be executing TPC-H queries on some data source using an underlying query engine (presumably presto) and comparing the result with the expected outcome.
It takes</t>
        </is>
      </c>
      <c r="M1441" t="n">
        <v>0.0041</v>
      </c>
      <c r="N1441" t="n">
        <v>0.0857</v>
      </c>
      <c r="O1441" t="n">
        <v>0.1527</v>
      </c>
    </row>
    <row r="1442">
      <c r="A1442" t="inlineStr">
        <is>
          <t>presto</t>
        </is>
      </c>
      <c r="B1442" t="inlineStr">
        <is>
          <t>presto-tests/src/main/java/com/facebook/presto/tests/tpch/TpchConnectorIndex.java</t>
        </is>
      </c>
      <c r="C1442">
        <f>HYPERLINK("https://github.com/prestodb/presto/blob/master/presto-tests/src/main/java/com/facebook/presto/tests/tpch/TpchConnectorIndex.java")</f>
        <v/>
      </c>
      <c r="D1442" t="inlineStr">
        <is>
          <t>The code provided is a Java class named TpchConnectorIndex that implements the ConnectorIndex interface from Presto's SPI (Service Provider Interface). This class provides an index for tables in the Teradata Parallel Computing Hybrid Cloud (TPCH), which is used by Facebook to run SQL queries on their distributed data processing system. The Apache License 2.0 is</t>
        </is>
      </c>
      <c r="E1442" t="n">
        <v>0.004</v>
      </c>
      <c r="F1442" t="n">
        <v>0.0308</v>
      </c>
      <c r="G1442" t="n">
        <v>0.1181</v>
      </c>
      <c r="H1442" t="inlineStr">
        <is>
          <t>The provided code is a Java class named `TpchConnectorIndex` that implements the interface for Connector Index in Presto database. The purpose of this class seems to be managing indices and providing access to data stored in TPC-H tables.
In terms of functionality, it appears to provide methods related to index creation, retrieval, deletion, etc., as</t>
        </is>
      </c>
      <c r="I1442" t="n">
        <v>0.004</v>
      </c>
      <c r="J1442" t="n">
        <v>0.0625</v>
      </c>
      <c r="K1442" t="n">
        <v>0.1181</v>
      </c>
      <c r="L1442" t="inlineStr">
        <is>
          <t>The code you've provided is for a Java class named `TpchConnectorIndex` which implements the interface `ConnectorIndex` from Presto, an open source distributed SQL query engine for big data.
This class appears to be part of a larger TPC-H (Transaction Processing Performance Council - Hadoop) project where it provides index functionality for different tables</t>
        </is>
      </c>
      <c r="M1442" t="n">
        <v>0.0045</v>
      </c>
      <c r="N1442" t="n">
        <v>0.0645</v>
      </c>
      <c r="O1442" t="n">
        <v>0.12</v>
      </c>
    </row>
    <row r="1443">
      <c r="A1443" t="inlineStr">
        <is>
          <t>presto</t>
        </is>
      </c>
      <c r="B1443" t="inlineStr">
        <is>
          <t>presto-tests/src/main/java/com/facebook/presto/tests/tpch/TpchIndexHandleResolver.java</t>
        </is>
      </c>
      <c r="C1443">
        <f>HYPERLINK("https://github.com/prestodb/presto/blob/master/presto-tests/src/main/java/com/facebook/presto/tests/tpch/TpchIndexHandleResolver.java")</f>
        <v/>
      </c>
      <c r="D1443" t="inlineStr">
        <is>
          <t>The provided code is a Java class named `TpchIndexHandleResolver` that extends the abstract base class `TpchHandleResolver` from the package com.facebook.presto.tpch. This class provides an implementation of how to resolve index handles for data stored in TPC-H format using Facebook's Presto framework. The method `getIndex</t>
        </is>
      </c>
      <c r="E1443" t="n">
        <v>0.0042</v>
      </c>
      <c r="F1443" t="n">
        <v>0.0702</v>
      </c>
      <c r="G1443" t="n">
        <v>0.1293</v>
      </c>
      <c r="H1443" t="inlineStr">
        <is>
          <t>The code provided is a Java class named TpchIndexHandleResolver that extends the abstract base class TpchHandleResolver. This class overrides one method of its parent's interface - getIndexHandleClass(). The purpose of this function appears to be to return an instance of Class object representing TpchIndexHandle which presumably represents some kind of index handle for data in a database system</t>
        </is>
      </c>
      <c r="I1443" t="n">
        <v>0.0031</v>
      </c>
      <c r="J1443" t="n">
        <v>0.0606</v>
      </c>
      <c r="K1443" t="n">
        <v>0.0769</v>
      </c>
      <c r="L1443" t="inlineStr">
        <is>
          <t>The provided code is a Java class named TpchIndexHandleResolver which extends the abstract base class TpchHandleResolver. This class overrides one method getIndexHandleClass() and returns Class object of type TpchIndexHandle. The purpose of this class seems to be to provide an index handle for data access in Presto database system. It appears that it's part of</t>
        </is>
      </c>
      <c r="M1443" t="n">
        <v>0.004</v>
      </c>
      <c r="N1443" t="n">
        <v>0.0625</v>
      </c>
      <c r="O1443" t="n">
        <v>0.1181</v>
      </c>
    </row>
    <row r="1444">
      <c r="A1444" t="inlineStr">
        <is>
          <t>presto</t>
        </is>
      </c>
      <c r="B1444" t="inlineStr">
        <is>
          <t>presto-tests/src/main/java/com/facebook/presto/tests/tpch/IndexedTpchConnectorFactory.java</t>
        </is>
      </c>
      <c r="C1444">
        <f>HYPERLINK("https://github.com/prestodb/presto/blob/master/presto-tests/src/main/java/com/facebook/presto/tests/tpch/IndexedTpchConnectorFactory.java")</f>
        <v/>
      </c>
      <c r="D1444" t="inlineStr">
        <is>
          <t>The code provided is a Java implementation of the Apache License 2.0 which outlines the terms and conditions under which you may use or distribute software distributed under this license. It also provides specific language governing permissions and limitations under the License.
In summary, it's an Apache License version 2.0 that requires compliance with certain conditions before distribution. The license allows for free red</t>
        </is>
      </c>
      <c r="E1444" t="n">
        <v>0.0034</v>
      </c>
      <c r="F1444" t="n">
        <v>0.0533</v>
      </c>
      <c r="G1444" t="n">
        <v>0.1838</v>
      </c>
      <c r="H1444" t="inlineStr">
        <is>
          <t>This repository contains backend software components that implement core algorithms. The code is licensed under the Apache License, Version 2.0 (the "License"). You may not use this file except in compliance with the License. You can obtain a copy of the License at http://www.apache.org/licenses/LICENSE-2.0 Unless required by applicable law or agreed to in writing,</t>
        </is>
      </c>
      <c r="I1444" t="n">
        <v>0.0045</v>
      </c>
      <c r="J1444" t="n">
        <v>0.1143</v>
      </c>
      <c r="K1444" t="n">
        <v>0.2952</v>
      </c>
      <c r="L1444" t="inlineStr">
        <is>
          <t>The provided code is a Java implementation of the Presto Connector interface for data sources that are not part of Hive Metastore but provide their own catalog and schema definitions. It includes classes related to handling connector handles, managing nodes, defining system tables, implementing connectors, creating factory instances, providing index providers etc. The main purpose of this code seems to be in integration with Apache P</t>
        </is>
      </c>
      <c r="M1444" t="n">
        <v>0.0028</v>
      </c>
      <c r="N1444" t="n">
        <v>0.0541</v>
      </c>
      <c r="O1444" t="n">
        <v>0.1449</v>
      </c>
    </row>
    <row r="1445">
      <c r="A1445" t="inlineStr">
        <is>
          <t>presto</t>
        </is>
      </c>
      <c r="B1445" t="inlineStr">
        <is>
          <t>presto-tests/src/main/java/com/facebook/presto/tests/tpch/IndexedTpchPlugin.java</t>
        </is>
      </c>
      <c r="C1445">
        <f>HYPERLINK("https://github.com/prestodb/presto/blob/master/presto-tests/src/main/java/com/facebook/presto/tests/tpch/IndexedTpchPlugin.java")</f>
        <v/>
      </c>
      <c r="D1445" t="inlineStr">
        <is>
          <t>The code provided is a Java class named IndexedTpchPlugin that implements the Plugin interface from Presto, an open source distributed SQL query engine for big data processing. This plugin provides functionality to index TPC-H benchmark tables and allows them to be queried using standard SQL syntax. The constructor of this class takes in a parameter 'indexSpec' which represents the specification or</t>
        </is>
      </c>
      <c r="E1445" t="n">
        <v>0.0042</v>
      </c>
      <c r="F1445" t="n">
        <v>0.0857</v>
      </c>
      <c r="G1445" t="n">
        <v>0.1504</v>
      </c>
      <c r="H1445" t="inlineStr">
        <is>
          <t>The provided code is a Java class named `IndexedTpchPlugin` that implements the Presto Plugin interface from Facebook's Presto project for handling TPC-H data. The plugin uses an indexing specification (`TpchIndexSpec`), which appears to be used to optimize queries on large datasets.
Here are some key points about this implementation</t>
        </is>
      </c>
      <c r="I1445" t="n">
        <v>0.0037</v>
      </c>
      <c r="J1445" t="n">
        <v>0.0678</v>
      </c>
      <c r="K1445" t="n">
        <v>0.124</v>
      </c>
      <c r="L1445" t="inlineStr">
        <is>
          <t>The provided code is a Java class named `IndexedTpchPlugin` that implements the Presto Plugin interface from Facebook's Presto SQL project. This plugin serves as an indexing mechanism for TPC-H benchmark data in preparation for query execution.
Here are its main functionalities and inputs/outputs: 
Inputs: An instance of</t>
        </is>
      </c>
      <c r="M1445" t="n">
        <v>0.0051</v>
      </c>
      <c r="N1445" t="n">
        <v>0.1034</v>
      </c>
      <c r="O1445" t="n">
        <v>0.2652</v>
      </c>
    </row>
    <row r="1446">
      <c r="A1446" t="inlineStr">
        <is>
          <t>presto</t>
        </is>
      </c>
      <c r="B1446" t="inlineStr">
        <is>
          <t>presto-tests/src/test/java/com/facebook/presto/tests/TestProcedureCall.java</t>
        </is>
      </c>
      <c r="C1446">
        <f>HYPERLINK("https://github.com/prestodb/presto/blob/master/presto-tests/src/test/java/com/facebook/presto/tests/TestProcedureCall.java")</f>
        <v/>
      </c>
      <c r="D1446" t="inlineStr">
        <is>
          <t>The provided code is a Java implementation of the Apache Presto project's testing infrastructure for procedures and queries. It defines custom base classes to create procedures (functions that can be called from SQL statements), registers them with the ProcedureRegistry, and provides utilities for running tests on these procedures using QueryRunner. The license at the top restricts use without compliance. This code size appears to be</t>
        </is>
      </c>
      <c r="E1446" t="n">
        <v>0.0033</v>
      </c>
      <c r="F1446" t="n">
        <v>0.08110000000000001</v>
      </c>
      <c r="G1446" t="n">
        <v>0.146</v>
      </c>
      <c r="H1446" t="inlineStr">
        <is>
          <t>The code provided is a Java implementation of an addition function named "add". It takes two parameters 'a' and 'b', performs the operation of adding them together, and returns the result. The time complexity for this function is O(1), indicating that it executes in constant time regardless of input size.
In terms of licensing, the Apache License 2.0 applies</t>
        </is>
      </c>
      <c r="I1446" t="n">
        <v>0.0031</v>
      </c>
      <c r="J1446" t="n">
        <v>0.08699999999999999</v>
      </c>
      <c r="K1446" t="n">
        <v>0.1527</v>
      </c>
      <c r="L1446" t="inlineStr">
        <is>
          <t>The provided code is a part of PrestoDB's testing framework for custom procedures. It imports necessary classes and packages to test the implementation of custom procedures in PrestoDB. The main purpose of this code seems to be defining and registering new procedures with PrestoDB using its ProcedureRegistry class. This allows developers to write tests that interact directly with these custom procedures without</t>
        </is>
      </c>
      <c r="M1446" t="n">
        <v>0.0035</v>
      </c>
      <c r="N1446" t="n">
        <v>0.0563</v>
      </c>
      <c r="O1446" t="n">
        <v>0.1493</v>
      </c>
    </row>
    <row r="1447">
      <c r="A1447" t="inlineStr">
        <is>
          <t>presto</t>
        </is>
      </c>
      <c r="B1447" t="inlineStr">
        <is>
          <t>presto-tests/src/test/java/com/facebook/presto/tests/TestDistributedQueriesIndexed.java</t>
        </is>
      </c>
      <c r="C1447">
        <f>HYPERLINK("https://github.com/prestodb/presto/blob/master/presto-tests/src/test/java/com/facebook/presto/tests/TestDistributedQueriesIndexed.java")</f>
        <v/>
      </c>
      <c r="D1447" t="inlineStr">
        <is>
          <t>The provided code is a Java implementation of an Apache License 2.0 licensed software package named "com.facebook.presto.tests". It imports various packages and classes used for testing Presto SQL queries against the TPC-H benchmark dataset using indexing plugins. The license specifies that use of this file may be subject to restrictions unless it's done in compliance with the</t>
        </is>
      </c>
      <c r="E1447" t="n">
        <v>0.0038</v>
      </c>
      <c r="F1447" t="n">
        <v>0.0563</v>
      </c>
      <c r="G1447" t="n">
        <v>0.1938</v>
      </c>
      <c r="H1447" t="inlineStr">
        <is>
          <t>The code you provided is a Java method for adding two numbers together. It's licensed under the Apache License 2.0 and it follows best practices of software engineering such as modularization (separating concerns), clear naming conventions, and avoiding magic numbers or hard coded values. The function takes in parameters 'a' and 'b', performs an addition operation on them, and returns</t>
        </is>
      </c>
      <c r="I1447" t="n">
        <v>0.0036</v>
      </c>
      <c r="J1447" t="n">
        <v>0.0857</v>
      </c>
      <c r="K1447" t="n">
        <v>0.1136</v>
      </c>
      <c r="L1447" t="inlineStr">
        <is>
          <t>The provided code is a part of the Presto SQL query execution engine's test suite. It imports various classes and packages related to testing and performance analysis in Presto. The main purpose of this module seems to be executing TPC-H benchmark queries using different configurations for comparison purposes. 
It creates instances of `QueryRunner` class which can execute SQL statements against</t>
        </is>
      </c>
      <c r="M1447" t="n">
        <v>0.0036</v>
      </c>
      <c r="N1447" t="n">
        <v>0.0571</v>
      </c>
      <c r="O1447" t="n">
        <v>0.1515</v>
      </c>
    </row>
    <row r="1448">
      <c r="A1448" t="inlineStr">
        <is>
          <t>presto</t>
        </is>
      </c>
      <c r="B1448" t="inlineStr">
        <is>
          <t>presto-tests/src/test/java/com/facebook/presto/tests/TestTpchDistributedQueries.java</t>
        </is>
      </c>
      <c r="C1448">
        <f>HYPERLINK("https://github.com/prestodb/presto/blob/master/presto-tests/src/test/java/com/facebook/presto/tests/TestTpchDistributedQueries.java")</f>
        <v/>
      </c>
      <c r="D1448" t="inlineStr">
        <is>
          <t>The code provided is a Java test class for TPC-H distributed queries using Presto and TestNG framework. The class extends an abstract base class AbstractTestQueries which provides the functionality to create QueryRunner instances with different configurations (like data sources). This specific implementation tests complex algorithms by executing SQL queries on large datasets from the TPC-H benchmark suite in parallel across multiple nodes or clusters</t>
        </is>
      </c>
      <c r="E1448" t="n">
        <v>0.0037</v>
      </c>
      <c r="F1448" t="n">
        <v>0.0541</v>
      </c>
      <c r="G1448" t="n">
        <v>0.1471</v>
      </c>
      <c r="H1448" t="inlineStr">
        <is>
          <t>The provided code is a Java class named `TestTpchDistributedQueries` that extends an abstract base test class for queries to the TPC-H distributed database system. This class contains methods related to creating and running tests on this type of query. The complexity of these operations can be considered O(N), where N represents the number of different types of queries being tested.</t>
        </is>
      </c>
      <c r="I1448" t="n">
        <v>0.0036</v>
      </c>
      <c r="J1448" t="n">
        <v>0.0571</v>
      </c>
      <c r="K1448" t="n">
        <v>0.1136</v>
      </c>
      <c r="L1448" t="inlineStr">
        <is>
          <t>The code provided is a Java class that tests distributed queries for the Presto SQL engine using TestNG framework. The main purpose of this class seems to be executing various TPC-H benchmark queries on a preconfigured database and verifying if they return expected results or not. 
Here are some key operations performed by the `createSummary` method in the context of this class</t>
        </is>
      </c>
      <c r="M1448" t="n">
        <v>0.0029</v>
      </c>
      <c r="N1448" t="n">
        <v>0.0563</v>
      </c>
      <c r="O1448" t="n">
        <v>0.1119</v>
      </c>
    </row>
    <row r="1449">
      <c r="A1449" t="inlineStr">
        <is>
          <t>presto</t>
        </is>
      </c>
      <c r="B1449" t="inlineStr">
        <is>
          <t>presto-tests/src/test/java/com/facebook/presto/tests/TestSpilledWindowQueries.java</t>
        </is>
      </c>
      <c r="C1449">
        <f>HYPERLINK("https://github.com/prestodb/presto/blob/master/presto-tests/src/test/java/com/facebook/presto/tests/TestSpilledWindowQueries.java")</f>
        <v/>
      </c>
      <c r="D1449" t="inlineStr">
        <is>
          <t>```java
// Licensed under the Apache License, Version 2.0 (the "License");
// you may not use this file except in compliance with the License.
// You can obtain a copy of the License at http://www.apache.org/licenses/LICENSE-2.0
// Unless required by applicable law or agreed to in writing,</t>
        </is>
      </c>
      <c r="E1449" t="n">
        <v>0</v>
      </c>
      <c r="F1449" t="n">
        <v>0.0345</v>
      </c>
      <c r="G1449" t="n">
        <v>0.0847</v>
      </c>
      <c r="H1449" t="inlineStr">
        <is>
          <t>The function provided is a simple addition operation between two numbers 'a' and 'b'. It returns the sum of these two numbers. The complexity of this code is O(1), meaning it performs constant time operations regardless of input size. This means that no matter how large your inputs are (i.e., 'a', 'b'), the execution speed will remain consistent.
In</t>
        </is>
      </c>
      <c r="I1449" t="n">
        <v>0.0037</v>
      </c>
      <c r="J1449" t="n">
        <v>0.058</v>
      </c>
      <c r="K1449" t="n">
        <v>0.1527</v>
      </c>
      <c r="L1449" t="inlineStr">
        <is>
          <t>The provided code is a test class for running queries in Presto, an open source distributed SQL query engine. The main purpose of this class appears to be testing the functionality related to spilling window data when executing large joins or aggregates across partitions, which can improve performance by reducing memory usage and network traffic between nodes.
It sets up a session with some properties like `QUERY</t>
        </is>
      </c>
      <c r="M1449" t="n">
        <v>0.0032</v>
      </c>
      <c r="N1449" t="n">
        <v>0.08</v>
      </c>
      <c r="O1449" t="n">
        <v>0.1079</v>
      </c>
    </row>
    <row r="1450">
      <c r="A1450" t="inlineStr">
        <is>
          <t>presto</t>
        </is>
      </c>
      <c r="B1450" t="inlineStr">
        <is>
          <t>presto-tests/src/test/java/com/facebook/presto/tests/TestRepartitionQueriesWithSmallPages.java</t>
        </is>
      </c>
      <c r="C1450">
        <f>HYPERLINK("https://github.com/prestodb/presto/blob/master/presto-tests/src/test/java/com/facebook/presto/tests/TestRepartitionQueriesWithSmallPages.java")</f>
        <v/>
      </c>
      <c r="D1450" t="inlineStr">
        <is>
          <t>The code provided is a Java class that extends an abstract test for repartition queries with small pages from the Presto testing suite of Facebook's Hive project. It creates and returns a QueryRunner instance using TPCH (Transaction Processing Performance Council - Hadoop) query runner builder to execute SQL queries on data stored in HDFS or other storage systems supported by Hadoop. The</t>
        </is>
      </c>
      <c r="E1450" t="n">
        <v>0.0029</v>
      </c>
      <c r="F1450" t="n">
        <v>0.0286</v>
      </c>
      <c r="G1450" t="n">
        <v>0.0746</v>
      </c>
      <c r="H1450" t="inlineStr">
        <is>
          <t>The provided code is a Java class named TestRepartitionQueriesWithSmallPages that extends an abstract base class called AbstractTestRepartitionQueries. This class contains the method createQueryRunner which builds and returns a TPCH (Transaction Processing Performance Council - Hadoop) Query Runner object for running queries against a database using JDBC connections. The Apache License 2.</t>
        </is>
      </c>
      <c r="I1450" t="n">
        <v>0.0043</v>
      </c>
      <c r="J1450" t="n">
        <v>0.06900000000000001</v>
      </c>
      <c r="K1450" t="n">
        <v>0.122</v>
      </c>
      <c r="L1450" t="inlineStr">
        <is>
          <t>The provided code is a Java class named `TestRepartitionQueriesWithSmallPages` that extends the abstract class `AbstractTestRepartitionQueries`. This class overrides the method `createQueryRunner()` to create and return an instance of QueryRunner using TPCH (Transaction Processing Performance Council's Hadoop) data for testing repartition queries with small pages.</t>
        </is>
      </c>
      <c r="M1450" t="n">
        <v>0.005</v>
      </c>
      <c r="N1450" t="n">
        <v>0.0755</v>
      </c>
      <c r="O1450" t="n">
        <v>0.1293</v>
      </c>
    </row>
    <row r="1451">
      <c r="A1451" t="inlineStr">
        <is>
          <t>presto</t>
        </is>
      </c>
      <c r="B1451" t="inlineStr">
        <is>
          <t>presto-tests/src/test/java/com/facebook/presto/tests/TestSpilledAggregations.java</t>
        </is>
      </c>
      <c r="C1451">
        <f>HYPERLINK("https://github.com/prestodb/presto/blob/master/presto-tests/src/test/java/com/facebook/presto/tests/TestSpilledAggregations.java")</f>
        <v/>
      </c>
      <c r="D1451" t="inlineStr">
        <is>
          <t>```java
// Licensed under the Apache License, Version 2.0 (the "License");
// you may not use this file except in compliance with the License.
// You can obtain a copy of the License at http://www.apache.org/licenses/LICENSE-2.0
// Unless required by applicable law or agreed to in writing,</t>
        </is>
      </c>
      <c r="E1451" t="n">
        <v>0</v>
      </c>
      <c r="F1451" t="n">
        <v>0.0345</v>
      </c>
      <c r="G1451" t="n">
        <v>0.0847</v>
      </c>
      <c r="H1451" t="inlineStr">
        <is>
          <t>The provided code is a Java implementation of the `add` function which adds two numbers together. The complexity of this operation is O(1), meaning it takes constant time regardless of input size. This function is part of a larger suite of tests for Presto, an open source distributed SQL query engine for big data processing. It's licensed under Apache License 2.0 and includes comments</t>
        </is>
      </c>
      <c r="I1451" t="n">
        <v>0.0034</v>
      </c>
      <c r="J1451" t="n">
        <v>0.08</v>
      </c>
      <c r="K1451" t="n">
        <v>0.1471</v>
      </c>
      <c r="L1451" t="inlineStr">
        <is>
          <t>The provided code is a part of Facebook's Presto project which is an open source distributed SQL query engine for big data. The main purpose of this code appears to be the testing framework used in conjunction with the Presto project. It sets up and runs tests on queries against a preconfigured session using QueryRunner class from the com.facebook.presto.testing package.</t>
        </is>
      </c>
      <c r="M1451" t="n">
        <v>0.003</v>
      </c>
      <c r="N1451" t="n">
        <v>0.0556</v>
      </c>
      <c r="O1451" t="n">
        <v>0.1136</v>
      </c>
    </row>
    <row r="1452">
      <c r="A1452" t="inlineStr">
        <is>
          <t>presto</t>
        </is>
      </c>
      <c r="B1452" t="inlineStr">
        <is>
          <t>presto-tests/src/test/java/com/facebook/presto/tests/TestOptimizeMixedDistinctAggregations.java</t>
        </is>
      </c>
      <c r="C1452">
        <f>HYPERLINK("https://github.com/prestodb/presto/blob/master/presto-tests/src/test/java/com/facebook/presto/tests/TestOptimizeMixedDistinctAggregations.java")</f>
        <v/>
      </c>
      <c r="D1452" t="inlineStr">
        <is>
          <t>The code provided is a Java class named `TestOptimizeMixedDistinctAggregations` that extends the abstract base class `AbstractTestAggregations` from package `com.facebook.presto.tests`. This class tests optimizations for mixed distinct aggregations in Presto, which is an open source distributed SQL query engine.
It overrides the method `</t>
        </is>
      </c>
      <c r="E1452" t="n">
        <v>0.0043</v>
      </c>
      <c r="F1452" t="n">
        <v>0.0377</v>
      </c>
      <c r="G1452" t="n">
        <v>0.0435</v>
      </c>
      <c r="H1452" t="inlineStr">
        <is>
          <t>The provided code is a Java method named `add` that adds two numbers together and returns the result. The function's time complexity is O(1), meaning it performs a constant number of operations regardless of input size. 
In terms of functionality, this code implements simple addition operation between two integers or long values. It doesn't use any loops or recursion to perform the</t>
        </is>
      </c>
      <c r="I1452" t="n">
        <v>0.0035</v>
      </c>
      <c r="J1452" t="n">
        <v>0.0548</v>
      </c>
      <c r="K1452" t="n">
        <v>0.1493</v>
      </c>
      <c r="L1452" t="inlineStr">
        <is>
          <t>The provided code is a Java class named `TestOptimizeMixedDistinctAggregations` that extends the abstract test class for aggregating data from Facebook's Presto testing framework. This class overrides the method to create a QueryRunner instance which will be used to run queries against the TPC-H benchmark dataset. The purpose of this code seems to optimize mixed distinct aggregations</t>
        </is>
      </c>
      <c r="M1452" t="n">
        <v>0.0033</v>
      </c>
      <c r="N1452" t="n">
        <v>0.0303</v>
      </c>
      <c r="O1452" t="n">
        <v>0.0781</v>
      </c>
    </row>
    <row r="1453">
      <c r="A1453" t="inlineStr">
        <is>
          <t>presto</t>
        </is>
      </c>
      <c r="B1453" t="inlineStr">
        <is>
          <t>presto-tests/src/test/java/com/facebook/presto/tests/TestBrutalShutdown.java</t>
        </is>
      </c>
      <c r="C1453">
        <f>HYPERLINK("https://github.com/prestodb/presto/blob/master/presto-tests/src/test/java/com/facebook/presto/tests/TestBrutalShutdown.java")</f>
        <v/>
      </c>
      <c r="D1453" t="inlineStr">
        <is>
          <t>The code provided is a Java implementation of an Apache Presto server with TPC-H plugin for running tests on it. It's licensed under the Apache License 2.0 and uses various components from Airlift (a library by Facebook), presto (another component by Facebook). The main functionality includes managing tasks in execution, handling transactions, providing basic query information, etc.</t>
        </is>
      </c>
      <c r="E1453" t="n">
        <v>0.0038</v>
      </c>
      <c r="F1453" t="n">
        <v>0.0588</v>
      </c>
      <c r="G1453" t="n">
        <v>0.1163</v>
      </c>
      <c r="H1453" t="inlineStr">
        <is>
          <t>The provided code is a Java program that contains several import statements for various packages used in Facebook's Presto database system. It also includes the definition of an "add" function which performs addition operation on two numbers. The complexity of this function seems to be O(1), meaning it has constant time complexity as it only involves basic arithmetic operations and does not depend on input size or other</t>
        </is>
      </c>
      <c r="I1453" t="n">
        <v>0.0027</v>
      </c>
      <c r="J1453" t="n">
        <v>0.0769</v>
      </c>
      <c r="K1453" t="n">
        <v>0.1071</v>
      </c>
      <c r="L1453" t="inlineStr">
        <is>
          <t>The code provided is a part of the Presto SQL query execution engine developed by Facebook. It's divided into several packages and classes that handle different aspects such as logging (`Logger` class in `com.facebook.airlift.log` package), session management (`Session` class in `com.facebook.presto` package), error handling (`ErrorCode` enum</t>
        </is>
      </c>
      <c r="M1453" t="n">
        <v>0.004</v>
      </c>
      <c r="N1453" t="n">
        <v>0.0333</v>
      </c>
      <c r="O1453" t="n">
        <v>0.0847</v>
      </c>
    </row>
    <row r="1454">
      <c r="A1454" t="inlineStr">
        <is>
          <t>presto</t>
        </is>
      </c>
      <c r="B1454" t="inlineStr">
        <is>
          <t>presto-tests/src/test/java/com/facebook/presto/tests/TestCheckAccessPermissionsForQueryTypes.java</t>
        </is>
      </c>
      <c r="C1454">
        <f>HYPERLINK("https://github.com/prestodb/presto/blob/master/presto-tests/src/test/java/com/facebook/presto/tests/TestCheckAccessPermissionsForQueryTypes.java")</f>
        <v/>
      </c>
      <c r="D1454" t="inlineStr">
        <is>
          <t>The code provided is a Java test class for Presto (a distributed SQL query engine), specifically testing the access permissions of different types of queries using an integration test framework from TestNG. It's licensed under Apache License 2.0 and it checks if certain system access controls are denied as expected based on predefined conditions or rules. The purpose seems to be ensuring that only authorized users</t>
        </is>
      </c>
      <c r="E1454" t="n">
        <v>0.0028</v>
      </c>
      <c r="F1454" t="n">
        <v>0.0263</v>
      </c>
      <c r="G1454" t="n">
        <v>0.0725</v>
      </c>
      <c r="H1454" t="inlineStr">
        <is>
          <t>The provided code is a Java class named "TestCheckAccessPermissionsForQueryTypes", which extends an abstract test framework class called "AbstractTestQueryFramework". The purpose of this class seems to be to check the access permissions for different types of queries.
The `@Override` annotation indicates that it overrides a method in its parent class (presumably one that checks query integrity</t>
        </is>
      </c>
      <c r="I1454" t="n">
        <v>0</v>
      </c>
      <c r="J1454" t="n">
        <v>0.0317</v>
      </c>
      <c r="K1454" t="n">
        <v>0.0394</v>
      </c>
      <c r="L1454" t="inlineStr">
        <is>
          <t>The code provided is a Java class named `TestCheckAccessPermissionsForQueryTypes` which extends the abstract test framework `AbstractTestQueryFramework`. This class overrides the protected method `getQuerySummary()` and returns an empty string "". 
It seems to be part of Facebook's Presto project for testing query permissions in their distributed SQL engine. The main</t>
        </is>
      </c>
      <c r="M1454" t="n">
        <v>0.0045</v>
      </c>
      <c r="N1454" t="n">
        <v>0.0702</v>
      </c>
      <c r="O1454" t="n">
        <v>0.124</v>
      </c>
    </row>
    <row r="1455">
      <c r="A1455" t="inlineStr">
        <is>
          <t>presto</t>
        </is>
      </c>
      <c r="B1455" t="inlineStr">
        <is>
          <t>presto-tests/src/test/java/com/facebook/presto/tests/TestSpilledAggregationsWithTemporaryStorage.java</t>
        </is>
      </c>
      <c r="C1455">
        <f>HYPERLINK("https://github.com/prestodb/presto/blob/master/presto-tests/src/test/java/com/facebook/presto/tests/TestSpilledAggregationsWithTemporaryStorage.java")</f>
        <v/>
      </c>
      <c r="D1455" t="inlineStr">
        <is>
          <t>```java
// Licensed under the Apache License, Version 2.0 (the "License");
// you may not use this file except in compliance with the License.
// You can obtain a copy of the License at http://www.apache.org/licenses/LICENSE-2.0
// Unless required by applicable law or agreed to in writing,</t>
        </is>
      </c>
      <c r="E1455" t="n">
        <v>0</v>
      </c>
      <c r="F1455" t="n">
        <v>0.0345</v>
      </c>
      <c r="G1455" t="n">
        <v>0.0847</v>
      </c>
      <c r="H1455" t="inlineStr">
        <is>
          <t>The provided code is a Java implementation of an add function that adds two numbers together. The functionality of this code can be summarized as follows: This function takes in two parameters (numbers), performs the addition operation and returns the result. It has a time complexity of O(1).
In terms of license details, it appears to be Apache 2.0 licensed which means you</t>
        </is>
      </c>
      <c r="I1455" t="n">
        <v>0.0038</v>
      </c>
      <c r="J1455" t="n">
        <v>0.0822</v>
      </c>
      <c r="K1455" t="n">
        <v>0.1481</v>
      </c>
      <c r="L1455" t="inlineStr">
        <is>
          <t>The provided code is a Java class named "TestSpilledAggregationsWithTemporaryStorage". This class extends the base test class "TestSpilledAggregations", and it overrides the method `createQueryRunner` to return an instance of QueryRunner that uses local temporary storage for spilling aggregated data during distributed query testing. The Apache License 2.0 is included at the top of</t>
        </is>
      </c>
      <c r="M1455" t="n">
        <v>0.0042</v>
      </c>
      <c r="N1455" t="n">
        <v>0.06560000000000001</v>
      </c>
      <c r="O1455" t="n">
        <v>0.121</v>
      </c>
    </row>
    <row r="1456">
      <c r="A1456" t="inlineStr">
        <is>
          <t>presto</t>
        </is>
      </c>
      <c r="B1456" t="inlineStr">
        <is>
          <t>presto-tests/src/test/java/com/facebook/presto/tests/TestNativeIndexJoinLogicalPlanner.java</t>
        </is>
      </c>
      <c r="C1456">
        <f>HYPERLINK("https://github.com/prestodb/presto/blob/master/presto-tests/src/test/java/com/facebook/presto/tests/TestNativeIndexJoinLogicalPlanner.java")</f>
        <v/>
      </c>
      <c r="D1456" t="inlineStr">
        <is>
          <t>The code provided is a Java implementation of the Apache License 2.0 which governs the use and distribution of software distributed under this license. It includes conditions for redistribution such as compliance with the terms of the license or obtaining a copy at http://www.apache.org/licenses/LICENSE-2.0. The software can be used in any way except where prohibited</t>
        </is>
      </c>
      <c r="E1456" t="n">
        <v>0.004</v>
      </c>
      <c r="F1456" t="n">
        <v>0.0563</v>
      </c>
      <c r="G1456" t="n">
        <v>0.1969</v>
      </c>
      <c r="H1456" t="inlineStr">
        <is>
          <t>The provided code is a Java function for addition of two numbers (`add()`). It takes in two parameters `a` and `b` and returns their sum. The time complexity of this operation is O(1), meaning it always executes the same number of operations regardless of input size.
In terms of licensing, the Apache License 2.0 applies to this</t>
        </is>
      </c>
      <c r="I1456" t="n">
        <v>0.0032</v>
      </c>
      <c r="J1456" t="n">
        <v>0.0597</v>
      </c>
      <c r="K1456" t="n">
        <v>0.1163</v>
      </c>
      <c r="L1456" t="inlineStr">
        <is>
          <t>The code provided is part of a larger Presto SQL query planner implementation in Java. The main purpose of this code seems to be the definition and matching patterns for index join nodes within an execution plan.
Key operations include creating instances of IndexJoinNodes with specified parameters (like column handles) and defining match patterns using these nodes. 
Inputs are likely session details along</t>
        </is>
      </c>
      <c r="M1456" t="n">
        <v>0.0029</v>
      </c>
      <c r="N1456" t="n">
        <v>0.0563</v>
      </c>
      <c r="O1456" t="n">
        <v>0.1481</v>
      </c>
    </row>
    <row r="1457">
      <c r="A1457" t="inlineStr">
        <is>
          <t>presto</t>
        </is>
      </c>
      <c r="B1457" t="inlineStr">
        <is>
          <t>presto-tests/src/test/java/com/facebook/presto/tests/TestLocalQueries.java</t>
        </is>
      </c>
      <c r="C1457">
        <f>HYPERLINK("https://github.com/prestodb/presto/blob/master/presto-tests/src/test/java/com/facebook/presto/tests/TestLocalQueries.java")</f>
        <v/>
      </c>
      <c r="D1457" t="inlineStr">
        <is>
          <t>The code provided is a Java class that contains the main components for executing SQL queries in Presto, an open source distributed SQL query engine for big data. The license under which it's licensed and some of its functionalities are defined such as session properties management, plugin implementation related to invoking functions, IO plan printer etc. It also includes comments about complexity (complexity is O(n</t>
        </is>
      </c>
      <c r="E1457" t="n">
        <v>0.0028</v>
      </c>
      <c r="F1457" t="n">
        <v>0.0533</v>
      </c>
      <c r="G1457" t="n">
        <v>0.1095</v>
      </c>
      <c r="H1457" t="inlineStr">
        <is>
          <t>The provided code is a Java implementation of the add function which adds two numbers together. The complexity of this operation is O(1), meaning it takes constant time to execute regardless of the size of the input data. This means that no matter how large these numbers are, adding them will always take approximately the same amount of time.
In terms of functionality, this code defines an `add</t>
        </is>
      </c>
      <c r="I1457" t="n">
        <v>0.0027</v>
      </c>
      <c r="J1457" t="n">
        <v>0.0519</v>
      </c>
      <c r="K1457" t="n">
        <v>0.1071</v>
      </c>
      <c r="L1457" t="inlineStr">
        <is>
          <t>The provided code is a part of the Presto SQL project by Facebook. It appears to be implementing custom plugins for invoking functions in SQL queries and managing session properties related to these function calls. The main purpose of this code seems to be providing insights into how different parts of such functionality can interact with each other within an overall system architecture.
However, without context or additional information about</t>
        </is>
      </c>
      <c r="M1457" t="n">
        <v>0.0031</v>
      </c>
      <c r="N1457" t="n">
        <v>0.0769</v>
      </c>
      <c r="O1457" t="n">
        <v>0.1408</v>
      </c>
    </row>
    <row r="1458">
      <c r="A1458" t="inlineStr">
        <is>
          <t>presto</t>
        </is>
      </c>
      <c r="B1458" t="inlineStr">
        <is>
          <t>presto-tests/src/test/java/com/facebook/presto/tests/TestTransactionManagerIntegration.java</t>
        </is>
      </c>
      <c r="C1458">
        <f>HYPERLINK("https://github.com/prestodb/presto/blob/master/presto-tests/src/test/java/com/facebook/presto/tests/TestTransactionManagerIntegration.java")</f>
        <v/>
      </c>
      <c r="D1458" t="inlineStr">
        <is>
          <t>The code provided is a Java class that contains tests for the Presto SQL query engine from Facebook. The class uses Apache License 2.0 and it's distributed under an "AS IS" BASIS without any warranties or conditions of any kind either expressed or implied. It also includes comments about its implementation details and limitations under the license.
The main functionality of this</t>
        </is>
      </c>
      <c r="E1458" t="n">
        <v>0.0035</v>
      </c>
      <c r="F1458" t="n">
        <v>0.0556</v>
      </c>
      <c r="G1458" t="n">
        <v>0.1493</v>
      </c>
      <c r="H1458" t="inlineStr">
        <is>
          <t>The provided code is a Java function named add that takes two parameters and returns their sum. The complexity of this operation is O(1), meaning it always executes in the same amount of time regardless of input size. This implementation follows Apache License 2.0 which allows users to use, modify or distribute the software as long as they comply with its terms.
In summary, this</t>
        </is>
      </c>
      <c r="I1458" t="n">
        <v>0.0037</v>
      </c>
      <c r="J1458" t="n">
        <v>0.0533</v>
      </c>
      <c r="K1458" t="n">
        <v>0.1825</v>
      </c>
      <c r="L1458" t="inlineStr">
        <is>
          <t>The code provided is a Java test class for Presto SQL (formerly known as Facebook's Dremio). It imports necessary packages and classes to run tests on the TPC-H queries using an instance of `TpchQueryRunner` built by `TpchQueryRunnerBuilder`. The main purpose of this class seems to be running performance tests against a database system</t>
        </is>
      </c>
      <c r="M1458" t="n">
        <v>0.0035</v>
      </c>
      <c r="N1458" t="n">
        <v>0.0317</v>
      </c>
      <c r="O1458" t="n">
        <v>0.12</v>
      </c>
    </row>
    <row r="1459">
      <c r="A1459" t="inlineStr">
        <is>
          <t>presto</t>
        </is>
      </c>
      <c r="B1459" t="inlineStr">
        <is>
          <t>presto-tests/src/test/java/com/facebook/presto/tests/TestSpilledAggregationWithPreprocessingEnabled.java</t>
        </is>
      </c>
      <c r="C1459">
        <f>HYPERLINK("https://github.com/prestodb/presto/blob/master/presto-tests/src/test/java/com/facebook/presto/tests/TestSpilledAggregationWithPreprocessingEnabled.java")</f>
        <v/>
      </c>
      <c r="D1459" t="inlineStr">
        <is>
          <t>The code provided appears to be a Java class or method within the context of an Apache Presto project for distributed SQL query processing and analysis. It seems to import various classes from different packages related to testing, session management, TPC-H (Transaction Processing Performance Council - Hadoop), and Google Guava libraries. The license at the top indicates that this software is licensed under the Apache License</t>
        </is>
      </c>
      <c r="E1459" t="n">
        <v>0.0033</v>
      </c>
      <c r="F1459" t="n">
        <v>0.0541</v>
      </c>
      <c r="G1459" t="n">
        <v>0.1852</v>
      </c>
      <c r="H1459" t="inlineStr">
        <is>
          <t>The function provided is a simple addition operation that takes two numbers as input and returns their sum. The functionality of the code can be summarized in one sentence as "It performs an arithmetic addition on two inputs".
The complexity of this function is O(1), meaning it runs with constant time regardless of the size of the input data. It simply adds together two values without any loops</t>
        </is>
      </c>
      <c r="I1459" t="n">
        <v>0.0032</v>
      </c>
      <c r="J1459" t="n">
        <v>0.0519</v>
      </c>
      <c r="K1459" t="n">
        <v>0.1071</v>
      </c>
      <c r="L1459" t="inlineStr">
        <is>
          <t>The provided code is a part of the Presto SQL testing framework used for unit tests in Facebook's infrastructure. It imports various classes and packages related to session management, query execution, TPC-H (a standard benchmark suite for performance evaluation of data warehousing solutions) plugin integration, etc. The main purpose of this code seems to be setting up a test environment by creating a</t>
        </is>
      </c>
      <c r="M1459" t="n">
        <v>0.0029</v>
      </c>
      <c r="N1459" t="n">
        <v>0.0274</v>
      </c>
      <c r="O1459" t="n">
        <v>0.1111</v>
      </c>
    </row>
    <row r="1460">
      <c r="A1460" t="inlineStr">
        <is>
          <t>presto</t>
        </is>
      </c>
      <c r="B1460" t="inlineStr">
        <is>
          <t>presto-tests/src/test/java/com/facebook/presto/tests/TestThriftSupport.java</t>
        </is>
      </c>
      <c r="C1460">
        <f>HYPERLINK("https://github.com/prestodb/presto/blob/master/presto-tests/src/test/java/com/facebook/presto/tests/TestThriftSupport.java")</f>
        <v/>
      </c>
      <c r="D1460" t="inlineStr">
        <is>
          <t>The code provided is a test class in Java for testing Thrift support of the Presto project by Facebook. The `smokeTestThriftSupport` method runs TPCH Q6 query with thrift enabled to perform smoke tests on thrift support. It uses the builder pattern to set up the distributed query runner and throws an exception if any error occurs during execution. This code</t>
        </is>
      </c>
      <c r="E1460" t="n">
        <v>0.0036</v>
      </c>
      <c r="F1460" t="n">
        <v>0.0294</v>
      </c>
      <c r="G1460" t="n">
        <v>0.1136</v>
      </c>
      <c r="H1460" t="inlineStr">
        <is>
          <t>The provided code is a Java class named `TestThriftSupport` with a method called `smokeTestThriftSupport` that tests the Thrift support in Presto by running TPC-H Q6 query using a distributed query runner with Thrift enabled. The complexity of this function is O(N), where N represents the number of nodes involved in the test</t>
        </is>
      </c>
      <c r="I1460" t="n">
        <v>0</v>
      </c>
      <c r="J1460" t="n">
        <v>0.0645</v>
      </c>
      <c r="K1460" t="n">
        <v>0.0806</v>
      </c>
      <c r="L1460" t="inlineStr">
        <is>
          <t>The provided code is a Java test class for Presto (a distributed SQL query engine). The main purpose of this class is to perform a smoke test on the Thrift support feature by running TPCH Q6 with Thrift enabled and comparing its output against an expected summary. 
Here's a concise summary of the functionality: This Java test class tests the</t>
        </is>
      </c>
      <c r="M1460" t="n">
        <v>0.0036</v>
      </c>
      <c r="N1460" t="n">
        <v>0.058</v>
      </c>
      <c r="O1460" t="n">
        <v>0.1136</v>
      </c>
    </row>
    <row r="1461">
      <c r="A1461" t="inlineStr">
        <is>
          <t>presto</t>
        </is>
      </c>
      <c r="B1461" t="inlineStr">
        <is>
          <t>presto-tests/src/test/java/com/facebook/presto/tests/TestSqlInvokedFunctions.java</t>
        </is>
      </c>
      <c r="C1461">
        <f>HYPERLINK("https://github.com/prestodb/presto/blob/master/presto-tests/src/test/java/com/facebook/presto/tests/TestSqlInvokedFunctions.java")</f>
        <v/>
      </c>
      <c r="D1461" t="inlineStr">
        <is>
          <t>The provided code is a Java class that extends an abstract test class for testing SQL invoked functions using Presto, Facebook's distributed SQL query engine. The main functionality of this code revolves around creating and configuring a QueryRunner instance to execute TPC-H queries (a standard benchmark suite used in database performance tests). This setup allows the user to run complex SQL queries against large datasets</t>
        </is>
      </c>
      <c r="E1461" t="n">
        <v>0.0037</v>
      </c>
      <c r="F1461" t="n">
        <v>0.0533</v>
      </c>
      <c r="G1461" t="n">
        <v>0.1095</v>
      </c>
      <c r="H1461" t="inlineStr">
        <is>
          <t>The provided code is a Java class that extends an abstract test class for SQL invoked functions from Presto, which is used to perform tests on the functionality of custom plugins in the system. The main method within this class creates a QueryRunner instance using TpchQueryRunnerBuilder and returns it.
The Apache License 2.0 applies to this code as per its header comments</t>
        </is>
      </c>
      <c r="I1461" t="n">
        <v>0.0035</v>
      </c>
      <c r="J1461" t="n">
        <v>0.0563</v>
      </c>
      <c r="K1461" t="n">
        <v>0.1119</v>
      </c>
      <c r="L1461" t="inlineStr">
        <is>
          <t>The provided code is a Java program that tests the functionality of an SQL invoked functions plugin for Presto, a distributed SQL query engine developed by Facebook. The main purpose of this code seems to be creating and running queries using the TPC-H benchmark dataset with different configurations and plugins loaded into the system.
Here's what each part does in detail:
1.</t>
        </is>
      </c>
      <c r="M1461" t="n">
        <v>0.0035</v>
      </c>
      <c r="N1461" t="n">
        <v>0.0556</v>
      </c>
      <c r="O1461" t="n">
        <v>0.1119</v>
      </c>
    </row>
    <row r="1462">
      <c r="A1462" t="inlineStr">
        <is>
          <t>presto</t>
        </is>
      </c>
      <c r="B1462" t="inlineStr">
        <is>
          <t>presto-tests/src/test/java/com/facebook/presto/tests/TestSpilledOrderByQueries.java</t>
        </is>
      </c>
      <c r="C1462">
        <f>HYPERLINK("https://github.com/prestodb/presto/blob/master/presto-tests/src/test/java/com/facebook/presto/tests/TestSpilledOrderByQueries.java")</f>
        <v/>
      </c>
      <c r="D1462" t="inlineStr">
        <is>
          <t>The code provided is a Java class named `TestSpilledOrderByQueries` that extends the abstract class `AbstractTest` from the package `com.facebook.presto.tests` in Presto project for testing purposes. This test suite includes methods to validate spilling behavior when executing ORDER BY queries with large data sets. The tests are designed based on the time complexity of O</t>
        </is>
      </c>
      <c r="E1462" t="n">
        <v>0.0034</v>
      </c>
      <c r="F1462" t="n">
        <v>0.0308</v>
      </c>
      <c r="G1462" t="n">
        <v>0.0397</v>
      </c>
      <c r="H1462" t="inlineStr">
        <is>
          <t>The provided code is a Java class that tests the functionality of spilling in order by queries for Presto, an open source distributed SQL query engine for big data. It extends an abstract test and contains comments describing its purpose and implementation details. The complexity of this function appears to be O(n), where n represents the number of rows being processed. This could potentially impact performance if there are many</t>
        </is>
      </c>
      <c r="I1462" t="n">
        <v>0.0034</v>
      </c>
      <c r="J1462" t="n">
        <v>0.0506</v>
      </c>
      <c r="K1462" t="n">
        <v>0.1408</v>
      </c>
      <c r="L1462" t="inlineStr">
        <is>
          <t>The provided code is a test class for Presto SQL (formerly known as Hive QL) called "TestSpilledOrderByQueries". This class extends the abstract base class "AbstractTestSummary", which presumably provides some functionality to be used in testing other classes related to summaries or similar functionalities.
The main purpose of this class appears to be to test</t>
        </is>
      </c>
      <c r="M1462" t="n">
        <v>0.004</v>
      </c>
      <c r="N1462" t="n">
        <v>0.0645</v>
      </c>
      <c r="O1462" t="n">
        <v>0.0794</v>
      </c>
    </row>
    <row r="1463">
      <c r="A1463" t="inlineStr">
        <is>
          <t>presto</t>
        </is>
      </c>
      <c r="B1463" t="inlineStr">
        <is>
          <t>presto-tests/src/test/java/com/facebook/presto/tests/TestBlackHoleSmoke.java</t>
        </is>
      </c>
      <c r="C1463">
        <f>HYPERLINK("https://github.com/prestodb/presto/blob/master/presto-tests/src/test/java/com/facebook/presto/tests/TestBlackHoleSmoke.java")</f>
        <v/>
      </c>
      <c r="D1463" t="inlineStr">
        <is>
          <t>The code provided is a Java class for testing purposes related to the Presto SQL query engine by Facebook. The Apache License 2.0 applies to this project and it states that users may not use any file except in compliance with the license. A copy of the license can be obtained at http://www.apache.org/licenses/LICENSE-2.0 Unless required by applicable</t>
        </is>
      </c>
      <c r="E1463" t="n">
        <v>0.0032</v>
      </c>
      <c r="F1463" t="n">
        <v>0.0548</v>
      </c>
      <c r="G1463" t="n">
        <v>0.1163</v>
      </c>
      <c r="H1463" t="inlineStr">
        <is>
          <t>The code you provided is a simple function for addition in Python named `add` that takes two parameters and returns their sum. The time complexity of this operation is O(1), meaning it always executes the same number of steps regardless of input size.
In terms of licensing information, it appears to be Apache License Version 2.0 as indicated by the comment at the top</t>
        </is>
      </c>
      <c r="I1463" t="n">
        <v>0.0028</v>
      </c>
      <c r="J1463" t="n">
        <v>0.0541</v>
      </c>
      <c r="K1463" t="n">
        <v>0.1103</v>
      </c>
      <c r="L1463" t="inlineStr">
        <is>
          <t>The provided code is a part of the Presto project's test suite for Facebook. It imports various packages and classes from different modules in the Presto framework. The main purpose of this module seems to be testing queries against an underlying database system using presto's query runner class. 
It takes as input parameters such as session details (including user information) and</t>
        </is>
      </c>
      <c r="M1463" t="n">
        <v>0.0036</v>
      </c>
      <c r="N1463" t="n">
        <v>0.08450000000000001</v>
      </c>
      <c r="O1463" t="n">
        <v>0.1504</v>
      </c>
    </row>
    <row r="1464">
      <c r="A1464" t="inlineStr">
        <is>
          <t>presto</t>
        </is>
      </c>
      <c r="B1464" t="inlineStr">
        <is>
          <t>presto-tests/src/test/java/com/facebook/presto/tests/TestRepartitionQueries.java</t>
        </is>
      </c>
      <c r="C1464">
        <f>HYPERLINK("https://github.com/prestodb/presto/blob/master/presto-tests/src/test/java/com/facebook/presto/tests/TestRepartitionQueries.java")</f>
        <v/>
      </c>
      <c r="D1464" t="inlineStr">
        <is>
          <t>The provided code is a Java class that extends an abstract test class for testing queries related to repartitioning in the Presto framework by Facebook. It creates and returns a QueryRunner instance which can be used to run TPC-H (Transaction Processing Performance Council - Hadoop) benchmark queries on data stored in distributed systems such as Apache Hadoop or Amazon S3. The summary of this</t>
        </is>
      </c>
      <c r="E1464" t="n">
        <v>0.0028</v>
      </c>
      <c r="F1464" t="n">
        <v>0.0278</v>
      </c>
      <c r="G1464" t="n">
        <v>0.1103</v>
      </c>
      <c r="H1464" t="inlineStr">
        <is>
          <t>The provided code is a Java method named `add` that performs addition operation on two numbers (a and b). It returns the sum of these two numbers. The time complexity of this function is O(1), meaning it takes constant amount of time to execute regardless of input size. This method does not repeat any code from its definition or comments are written in clear and concise English explaining what each</t>
        </is>
      </c>
      <c r="I1464" t="n">
        <v>0.0031</v>
      </c>
      <c r="J1464" t="n">
        <v>0.0759</v>
      </c>
      <c r="K1464" t="n">
        <v>0.1408</v>
      </c>
      <c r="L1464" t="inlineStr">
        <is>
          <t>The provided code is a Java class named `TestRepartitionQueries` that extends the abstract base class `AbstractTestRepartitionQueries` from package `com.facebook.presto.tests`. This class overrides the method `createQueryRunner()` to build and return an instance of QueryRunner with specific properties set for testing repartition queries in Presto (</t>
        </is>
      </c>
      <c r="M1464" t="n">
        <v>0.005</v>
      </c>
      <c r="N1464" t="n">
        <v>0.0741</v>
      </c>
      <c r="O1464" t="n">
        <v>0.0862</v>
      </c>
    </row>
    <row r="1465">
      <c r="A1465" t="inlineStr">
        <is>
          <t>presto</t>
        </is>
      </c>
      <c r="B1465" t="inlineStr">
        <is>
          <t>presto-tests/src/test/java/com/facebook/presto/tests/TestDistributedVerboseMemoryExceededErrors.java</t>
        </is>
      </c>
      <c r="C1465">
        <f>HYPERLINK("https://github.com/prestodb/presto/blob/master/presto-tests/src/test/java/com/facebook/presto/tests/TestDistributedVerboseMemoryExceededErrors.java")</f>
        <v/>
      </c>
      <c r="D1465" t="inlineStr">
        <is>
          <t>The code provided is a Java class named `TestDistributedVerboseMemoryExceededErrors` that extends an abstract base test class for handling verbose memory exceed errors in distributed Presto queries. It sets up and runs tests on TPC-H queries using the QueryRunner from Presto's testing module with specific configurations related to maximum total memory per node allowed by the system session</t>
        </is>
      </c>
      <c r="E1465" t="n">
        <v>0.0038</v>
      </c>
      <c r="F1465" t="n">
        <v>0.0299</v>
      </c>
      <c r="G1465" t="n">
        <v>0.1163</v>
      </c>
      <c r="H1465" t="inlineStr">
        <is>
          <t>The code provided is a Java class named `TestDistributedVerboseMemoryExceededErrors` that extends an abstract test class for testing memory exceeded errors in distributed systems. The main functionality of this class involves creating a QueryRunner object which could be used to execute queries on the system and handle any potential exceptions related to excessive memory usage.
In terms of complexity, it's</t>
        </is>
      </c>
      <c r="I1465" t="n">
        <v>0.0037</v>
      </c>
      <c r="J1465" t="n">
        <v>0.0588</v>
      </c>
      <c r="K1465" t="n">
        <v>0.1145</v>
      </c>
      <c r="L1465" t="inlineStr">
        <is>
          <t>The provided code is a Java class named `TestDistributedVerboseMemoryExceededErrors` which extends an abstract base test class for testing memory exceeded errors in distributed Presto queries. The purpose of this class seems to be to verify the handling and display of verbose error messages when query execution exceeds total maximum memory per node limit set by the system session property `QUERY_MAX</t>
        </is>
      </c>
      <c r="M1465" t="n">
        <v>0.003</v>
      </c>
      <c r="N1465" t="n">
        <v>0.058</v>
      </c>
      <c r="O1465" t="n">
        <v>0.07580000000000001</v>
      </c>
    </row>
    <row r="1466">
      <c r="A1466" t="inlineStr">
        <is>
          <t>presto</t>
        </is>
      </c>
      <c r="B1466" t="inlineStr">
        <is>
          <t>presto-tests/src/test/java/com/facebook/presto/tests/TestServerInfoResource.java</t>
        </is>
      </c>
      <c r="C1466">
        <f>HYPERLINK("https://github.com/prestodb/presto/blob/master/presto-tests/src/test/java/com/facebook/presto/tests/TestServerInfoResource.java")</f>
        <v/>
      </c>
      <c r="D1466" t="inlineStr">
        <is>
          <t>The code provided appears to be a Java implementation of the Apache Presto SQL query engine, specifically focusing on testing its functionality with various plugins and configurations. It includes classes for managing sessions, server information resources, setting up test servers, defining node states, using TPC-H plugin (which might refer to Teradata's Performance Compensation Hierarchy), and handling concurrency via Google</t>
        </is>
      </c>
      <c r="E1466" t="n">
        <v>0.0037</v>
      </c>
      <c r="F1466" t="n">
        <v>0.08699999999999999</v>
      </c>
      <c r="G1466" t="n">
        <v>0.1145</v>
      </c>
      <c r="H1466" t="inlineStr">
        <is>
          <t>The provided code is a Java implementation of the TPC-H benchmark suite from Facebook's Presto project. It includes various components related to distributed computing and data processing tasks such as session management, server information handling, plugin integration for different types of datasets (like TPC-H), etc. The complexity can be considered O(N).
Please note that this summary does not</t>
        </is>
      </c>
      <c r="I1466" t="n">
        <v>0.0031</v>
      </c>
      <c r="J1466" t="n">
        <v>0.0571</v>
      </c>
      <c r="K1466" t="n">
        <v>0.1154</v>
      </c>
      <c r="L1466" t="inlineStr">
        <is>
          <t>The provided code is a part of the Presto SQL query engine's test suite. It sets up and manages a testing environment for this engine using an embedded server with plugins such as TPC-H (a standard benchmark for big data systems). The main purpose of the code seems to be setting up a presto server instance with specific configurations and registering additional plugins like TPC-</t>
        </is>
      </c>
      <c r="M1466" t="n">
        <v>0.0028</v>
      </c>
      <c r="N1466" t="n">
        <v>0.0533</v>
      </c>
      <c r="O1466" t="n">
        <v>0.1095</v>
      </c>
    </row>
    <row r="1467">
      <c r="A1467" t="inlineStr">
        <is>
          <t>presto</t>
        </is>
      </c>
      <c r="B1467" t="inlineStr">
        <is>
          <t>presto-tests/src/test/java/com/facebook/presto/tests/TestNonIterativeDistributedQueries.java</t>
        </is>
      </c>
      <c r="C1467">
        <f>HYPERLINK("https://github.com/prestodb/presto/blob/master/presto-tests/src/test/java/com/facebook/presto/tests/TestNonIterativeDistributedQueries.java")</f>
        <v/>
      </c>
      <c r="D1467" t="inlineStr">
        <is>
          <t>The code provided is a Java class that tests the functionality of Presto SQL queries with an iterative optimizer disabled. The test ensures that the system works in a distributed manner without using this optimization process. This can be useful for testing performance and stability under different conditions. It also provides some basic information about licensing terms which state that you may not use any part of it except as permitted by</t>
        </is>
      </c>
      <c r="E1467" t="n">
        <v>0.0033</v>
      </c>
      <c r="F1467" t="n">
        <v>0.05</v>
      </c>
      <c r="G1467" t="n">
        <v>0.1042</v>
      </c>
      <c r="H1467" t="inlineStr">
        <is>
          <t>The code provided is a Java method named `add` that performs addition operation on two numbers (integers or floats). The function takes in two parameters and returns their sum as the result. This functionality can be summarized as follows: "Performs addition of two numerical inputs." Its complexity is O(1), meaning it has constant time complexity since no looping occurs for this operation.</t>
        </is>
      </c>
      <c r="I1467" t="n">
        <v>0.0039</v>
      </c>
      <c r="J1467" t="n">
        <v>0.0563</v>
      </c>
      <c r="K1467" t="n">
        <v>0.1493</v>
      </c>
      <c r="L1467" t="inlineStr">
        <is>
          <t>The provided code is a Java class named `TestNonIterativeDistributedQueries` that extends the abstract class `AbstractTestQueries` from the Presto testing package in Facebook's software suite. This class tests whether the presto SQL planner with its Iterative Optimizer disabled works correctly by creating and running queries on distributed systems. The main purpose of this test involves verifying</t>
        </is>
      </c>
      <c r="M1467" t="n">
        <v>0.0044</v>
      </c>
      <c r="N1467" t="n">
        <v>0.0625</v>
      </c>
      <c r="O1467" t="n">
        <v>0.1575</v>
      </c>
    </row>
    <row r="1468">
      <c r="A1468" t="inlineStr">
        <is>
          <t>presto</t>
        </is>
      </c>
      <c r="B1468" t="inlineStr">
        <is>
          <t>presto-tests/src/test/java/com/facebook/presto/tests/TestUserDefinedTypes.java</t>
        </is>
      </c>
      <c r="C1468">
        <f>HYPERLINK("https://github.com/prestodb/presto/blob/master/presto-tests/src/test/java/com/facebook/presto/tests/TestUserDefinedTypes.java")</f>
        <v/>
      </c>
      <c r="D1468" t="inlineStr">
        <is>
          <t>The code is a Java program that tests user defined types (UDTs). It uses the Facebook's Presto testing framework to execute queries and assert results against expected values. The license at the top of the file specifies conditions for usage which include not using it in compliance with Apache License 2.0. This repository contains backend software components implementing core algorithms.
Please provide more</t>
        </is>
      </c>
      <c r="E1468" t="n">
        <v>0.0041</v>
      </c>
      <c r="F1468" t="n">
        <v>0.1096</v>
      </c>
      <c r="G1468" t="n">
        <v>0.3158</v>
      </c>
      <c r="H1468" t="inlineStr">
        <is>
          <t>The code provided is a Java method named `add` that takes two parameters and returns their sum. This function operates under the complexity of O(1), meaning it performs a constant number of operations regardless of input size. The Apache License 2.0 applies to this code as indicated by its comments at the top. It states conditions for redistribution and usage which must be followed in compliance with</t>
        </is>
      </c>
      <c r="I1468" t="n">
        <v>0.0032</v>
      </c>
      <c r="J1468" t="n">
        <v>0.0779</v>
      </c>
      <c r="K1468" t="n">
        <v>0.1079</v>
      </c>
      <c r="L1468" t="inlineStr">
        <is>
          <t>The code provided is a test class for user defined types in Presto, which is an open source distributed SQL query engine for big data analysis. The purpose of this class extends the AbstractTestQueryFramework and overrides the protected method `getQuerySummary` to provide a summary about the functionality it provides.
It begins with licensing information at the top that states under what conditions users</t>
        </is>
      </c>
      <c r="M1468" t="n">
        <v>0.0034</v>
      </c>
      <c r="N1468" t="n">
        <v>0.0563</v>
      </c>
      <c r="O1468" t="n">
        <v>0.1111</v>
      </c>
    </row>
    <row r="1469">
      <c r="A1469" t="inlineStr">
        <is>
          <t>presto</t>
        </is>
      </c>
      <c r="B1469" t="inlineStr">
        <is>
          <t>presto-tests/src/test/java/com/facebook/presto/tests/TestTpchDistributedStats.java</t>
        </is>
      </c>
      <c r="C1469">
        <f>HYPERLINK("https://github.com/prestodb/presto/blob/master/presto-tests/src/test/java/com/facebook/presto/tests/TestTpchDistributedStats.java")</f>
        <v/>
      </c>
      <c r="D1469" t="inlineStr">
        <is>
          <t>The code provided is a Java program that tests the functionality of an Apache Presto database system using TestNG for unit testing and assertion methods to validate results. It also uses TPCH (TPC-H), which is a standard benchmark suite used in data warehouse systems, to generate test queries against the Presto database. The purpose seems to be to verify if the query execution engine</t>
        </is>
      </c>
      <c r="E1469" t="n">
        <v>0.0034</v>
      </c>
      <c r="F1469" t="n">
        <v>0.0548</v>
      </c>
      <c r="G1469" t="n">
        <v>0.0735</v>
      </c>
      <c r="H1469" t="inlineStr">
        <is>
          <t>The code you provided is a simple function in Java that performs addition of two numbers using the '+' operator. It takes two parameters (numbers), adds them together and returns the result. The time complexity of this operation is O(1).
Here are some key points about it:
- Function Name: `add`
- Parameters: Two numerical values - `</t>
        </is>
      </c>
      <c r="I1469" t="n">
        <v>0.0031</v>
      </c>
      <c r="J1469" t="n">
        <v>0.0645</v>
      </c>
      <c r="K1469" t="n">
        <v>0.1154</v>
      </c>
      <c r="L1469" t="inlineStr">
        <is>
          <t>The code you provided is a Java test suite for Presto, an open source distributed SQL query engine for big data. It uses TestNG as the testing framework and includes several tests related to statistics assertions in TPC-H queries. The main purpose of this code seems to be running various statistical checks on precomputed results from complex database operations performed by Presto against known datasets generated</t>
        </is>
      </c>
      <c r="M1469" t="n">
        <v>0.0028</v>
      </c>
      <c r="N1469" t="n">
        <v>0.0267</v>
      </c>
      <c r="O1469" t="n">
        <v>0.1087</v>
      </c>
    </row>
    <row r="1470">
      <c r="A1470" t="inlineStr">
        <is>
          <t>presto</t>
        </is>
      </c>
      <c r="B1470" t="inlineStr">
        <is>
          <t>presto-tests/src/test/java/com/facebook/presto/tests/TestSpilledAggregationWithLargeBlockSpillingEnabled.java</t>
        </is>
      </c>
      <c r="C1470">
        <f>HYPERLINK("https://github.com/prestodb/presto/blob/master/presto-tests/src/test/java/com/facebook/presto/tests/TestSpilledAggregationWithLargeBlockSpillingEnabled.java")</f>
        <v/>
      </c>
      <c r="D1470" t="inlineStr">
        <is>
          <t>The code provided is a Java program that tests the functionality of an Apache Presto system for querying data from TPC-H benchmark datasets. It uses various components and libraries to perform these tasks efficiently. The test suite includes methods for executing queries against different types of databases (like Hive or MySQL), checking expected results, etc. This software component has been licensed under the Apache License Version</t>
        </is>
      </c>
      <c r="E1470" t="n">
        <v>0.0069</v>
      </c>
      <c r="F1470" t="n">
        <v>0.0533</v>
      </c>
      <c r="G1470" t="n">
        <v>0.2287</v>
      </c>
      <c r="H1470" t="inlineStr">
        <is>
          <t>The code provided is a simple function for addition of two numbers in Python. It takes two parameters 'a' and 'b', adds them together and returns the result. The time complexity of this operation is O(1), meaning it performs a constant number of operations regardless of the size of input data.
&lt;jupyter_code&gt;
# Code: 
def add(</t>
        </is>
      </c>
      <c r="I1470" t="n">
        <v>0.0033</v>
      </c>
      <c r="J1470" t="n">
        <v>0.0615</v>
      </c>
      <c r="K1470" t="n">
        <v>0.1172</v>
      </c>
      <c r="L1470" t="inlineStr">
        <is>
          <t>The provided code is a part of the Presto SQL query testing framework developed by Facebook. It's used for unit tests and performance benchmarks on their distributed SQL engine. The main purpose of this code seems to be running TPC-H benchmark queries against an in-memory data store using presto sql syntax. 
It creates a session object with some system properties set up</t>
        </is>
      </c>
      <c r="M1470" t="n">
        <v>0.0029</v>
      </c>
      <c r="N1470" t="n">
        <v>0.0274</v>
      </c>
      <c r="O1470" t="n">
        <v>0.1119</v>
      </c>
    </row>
    <row r="1471">
      <c r="A1471" t="inlineStr">
        <is>
          <t>presto</t>
        </is>
      </c>
      <c r="B1471" t="inlineStr">
        <is>
          <t>presto-tests/src/test/java/com/facebook/presto/tests/TestLocalEngineOnlyQueries.java</t>
        </is>
      </c>
      <c r="C1471">
        <f>HYPERLINK("https://github.com/prestodb/presto/blob/master/presto-tests/src/test/java/com/facebook/presto/tests/TestLocalEngineOnlyQueries.java")</f>
        <v/>
      </c>
      <c r="D1471" t="inlineStr">
        <is>
          <t>The code provided is a Java class named TestLocalEngineOnlyQueries that extends the abstract class AbstractTestEngineOnlyQueries from package com.facebook.presto.tests. This class tests queries specifically designed to run on local engines only. The QueryRunner object returned by createQueryRunner() method in this class points towards an instance of TestLocalQueries's static method createLocalQuery</t>
        </is>
      </c>
      <c r="E1471" t="n">
        <v>0.0037</v>
      </c>
      <c r="F1471" t="n">
        <v>0.0328</v>
      </c>
      <c r="G1471" t="n">
        <v>0.08260000000000001</v>
      </c>
      <c r="H1471" t="inlineStr">
        <is>
          <t>The provided code is a Java implementation of the add function which adds two numbers together. This functionality can be summarized as follows: The 'add' function takes in two parameters (numbers), performs an addition operation on them and returns the result. It operates with a time complexity of O(1).
In terms of license details, it appears to follow Apache License Version 2.</t>
        </is>
      </c>
      <c r="I1471" t="n">
        <v>0.0039</v>
      </c>
      <c r="J1471" t="n">
        <v>0.08450000000000001</v>
      </c>
      <c r="K1471" t="n">
        <v>0.1493</v>
      </c>
      <c r="L1471" t="inlineStr">
        <is>
          <t>The provided code is a Java class named `TestLocalEngineOnlyQueries` that extends the abstract class `AbstractTestEngineOnlyQueries`. This class tests queries using only local data without any distributed processing. The main purpose of this class is to create and return an instance of QueryRunner for testing purposes with local query execution capabilities. It adheres to software engineering best practices such as readability</t>
        </is>
      </c>
      <c r="M1471" t="n">
        <v>0.004</v>
      </c>
      <c r="N1471" t="n">
        <v>0.0588</v>
      </c>
      <c r="O1471" t="n">
        <v>0.1515</v>
      </c>
    </row>
    <row r="1472">
      <c r="A1472" t="inlineStr">
        <is>
          <t>presto</t>
        </is>
      </c>
      <c r="B1472" t="inlineStr">
        <is>
          <t>presto-tests/src/test/java/com/facebook/presto/tests/TestWindowQueries.java</t>
        </is>
      </c>
      <c r="C1472">
        <f>HYPERLINK("https://github.com/prestodb/presto/blob/master/presto-tests/src/test/java/com/facebook/presto/tests/TestWindowQueries.java")</f>
        <v/>
      </c>
      <c r="D1472" t="inlineStr">
        <is>
          <t>The code provided is a Java class named "TestWindowQueries". This class extends an abstract base test class called "AbstractTestWindowQueries", and it overrides the method 'createQueryRunner' to return a QueryRunner object using TpchQueryRunnerBuilder pattern builder design. It also contains Apache License information at the top of the file which specifies that this software can be used under certain</t>
        </is>
      </c>
      <c r="E1472" t="n">
        <v>0.0042</v>
      </c>
      <c r="F1472" t="n">
        <v>0.0615</v>
      </c>
      <c r="G1472" t="n">
        <v>0.2447</v>
      </c>
      <c r="H1472" t="inlineStr">
        <is>
          <t>The provided code is a Java class named `TestWindowQueries` that extends an abstract base class called `AbstractTestWindowQueries`. This class contains the method `createQueryRunner()` which returns a QueryRunner object built using TpchQueryRunnerBuilder from Facebook's Presto testing framework for running queries against the Teradata Parallel Transporter Hadoop (TPCH)</t>
        </is>
      </c>
      <c r="I1472" t="n">
        <v>0.004</v>
      </c>
      <c r="J1472" t="n">
        <v>0.0364</v>
      </c>
      <c r="K1472" t="n">
        <v>0.0847</v>
      </c>
      <c r="L1472" t="inlineStr">
        <is>
          <t>The provided code is a Java class named "TestWindowQueries", which extends an abstract base class called "AbstractTestWindowQueries". This class overrides the method `createQueryRunner` to return an instance of TpchQueryRunnerBuilder. 
The purpose of this class seems to be testing window functions in Presto SQL using JUnit tests. The existing</t>
        </is>
      </c>
      <c r="M1472" t="n">
        <v>0.0038</v>
      </c>
      <c r="N1472" t="n">
        <v>0.07140000000000001</v>
      </c>
      <c r="O1472" t="n">
        <v>0.0833</v>
      </c>
    </row>
    <row r="1473">
      <c r="A1473" t="inlineStr">
        <is>
          <t>presto</t>
        </is>
      </c>
      <c r="B1473" t="inlineStr">
        <is>
          <t>presto-tests/src/test/java/com/facebook/presto/tests/TestRestSqlFunctionExecutor.java</t>
        </is>
      </c>
      <c r="C1473">
        <f>HYPERLINK("https://github.com/prestodb/presto/blob/master/presto-tests/src/test/java/com/facebook/presto/tests/TestRestSqlFunctionExecutor.java")</f>
        <v/>
      </c>
      <c r="D1473" t="inlineStr">
        <is>
          <t>The code provided is a Java implementation of Facebook's Presto client for interacting with their distributed SQL query engine. It uses Apache Airlift and JAXRS libraries to create an HTTP client that can be used for testing purposes. The functionality includes sending requests to the server using different methods (GET, POST etc.) and processing responses from the server in JSON format. This software may not be directly</t>
        </is>
      </c>
      <c r="E1473" t="n">
        <v>0.0068</v>
      </c>
      <c r="F1473" t="n">
        <v>0.0789</v>
      </c>
      <c r="G1473" t="n">
        <v>0.2676</v>
      </c>
      <c r="H1473" t="inlineStr">
        <is>
          <t>The function provided is a simple addition operation between two numbers `a` and `b`. It returns the sum of these two numbers. The time complexity of this code is O(1), meaning it performs constant number of operations regardless of the input size.
Here's an example usage: 
```java
int result = add(5, 7); // Result will</t>
        </is>
      </c>
      <c r="I1473" t="n">
        <v>0.0033</v>
      </c>
      <c r="J1473" t="n">
        <v>0.0625</v>
      </c>
      <c r="K1473" t="n">
        <v>0.1575</v>
      </c>
      <c r="L1473" t="inlineStr">
        <is>
          <t>The provided code is a part of Facebook's Presto project. It sets up an HTTP client for testing purposes using the Airlift library. The main purpose of this code seems to be setting up and configuring the HttpClient with necessary dependencies such as JsonMapper and NodeVersion. 
It also provides endpoints for various tests related to presto queries. This setup allows for</t>
        </is>
      </c>
      <c r="M1473" t="n">
        <v>0.0036</v>
      </c>
      <c r="N1473" t="n">
        <v>0.0571</v>
      </c>
      <c r="O1473" t="n">
        <v>0.1128</v>
      </c>
    </row>
    <row r="1474">
      <c r="A1474" t="inlineStr">
        <is>
          <t>presto</t>
        </is>
      </c>
      <c r="B1474" t="inlineStr">
        <is>
          <t>presto-tests/src/test/java/com/facebook/presto/tests/TestQuerySpillLimits.java</t>
        </is>
      </c>
      <c r="C1474">
        <f>HYPERLINK("https://github.com/prestodb/presto/blob/master/presto-tests/src/test/java/com/facebook/presto/tests/TestQuerySpillLimits.java")</f>
        <v/>
      </c>
      <c r="D1474" t="inlineStr">
        <is>
          <t>The provided code is a Java implementation of algorithms and data structures used in the Presto SQL query engine by Facebook. It includes Apache License 2.0 details at the top as well as specific configurations for session, spilling (memory management), features and functions. The main class 'Test' imports various packages from com.facebook.presto package which seem to be related to database</t>
        </is>
      </c>
      <c r="E1474" t="n">
        <v>0.003</v>
      </c>
      <c r="F1474" t="n">
        <v>0.0563</v>
      </c>
      <c r="G1474" t="n">
        <v>0.1136</v>
      </c>
      <c r="H1474" t="inlineStr">
        <is>
          <t>The provided code is a Java implementation of the function `add` which performs addition operation on two numbers and returns their sum. The time complexity of this function is O(1), indicating that it executes in constant time regardless of input size or number. It does not have any loops or recursive calls, hence its performance will remain consistent for all inputs.
In terms of license,</t>
        </is>
      </c>
      <c r="I1474" t="n">
        <v>0.0028</v>
      </c>
      <c r="J1474" t="n">
        <v>0.08110000000000001</v>
      </c>
      <c r="K1474" t="n">
        <v>0.146</v>
      </c>
      <c r="L1474" t="inlineStr">
        <is>
          <t>The provided code is a Java program that uses the Presto SQL query runner to execute queries against TPC-H data sources. It's part of Facebook's open source project for distributed SQL query engine. The main purpose of this code is to test and benchmark different configurations of Presto SQL.
It creates an instance of `LocalQueryRunner` which runs queries locally</t>
        </is>
      </c>
      <c r="M1474" t="n">
        <v>0.0031</v>
      </c>
      <c r="N1474" t="n">
        <v>0.0571</v>
      </c>
      <c r="O1474" t="n">
        <v>0.1145</v>
      </c>
    </row>
    <row r="1475">
      <c r="A1475" t="inlineStr">
        <is>
          <t>presto</t>
        </is>
      </c>
      <c r="B1475" t="inlineStr">
        <is>
          <t>presto-tests/src/test/java/com/facebook/presto/tests/TestSortWithPartitionQueries.java</t>
        </is>
      </c>
      <c r="C1475">
        <f>HYPERLINK("https://github.com/prestodb/presto/blob/master/presto-tests/src/test/java/com/facebook/presto/tests/TestSortWithPartitionQueries.java")</f>
        <v/>
      </c>
      <c r="D1475" t="inlineStr">
        <is>
          <t>The code is licensed under the Apache License 2.0 and it's a part of Facebook Presto project which includes backend software components for complex algorithms. It contains implementations of core data structures and algorithms used in query optimization tasks like adding partitions to sort rules. The license requires compliance with conditions specified by the license before usage.
Please note that this summary does not include any</t>
        </is>
      </c>
      <c r="E1475" t="n">
        <v>0.0036</v>
      </c>
      <c r="F1475" t="n">
        <v>0.1053</v>
      </c>
      <c r="G1475" t="n">
        <v>0.2174</v>
      </c>
      <c r="H1475" t="inlineStr">
        <is>
          <t>The provided code is a Java implementation of the add function which adds two numbers together. It's licensed under Apache License 2.0 and it has been written in compliance with that license. The complexity of this operation is O(1), meaning it takes constant time to execute regardless of input size. This function performs addition between two given inputs 'a' and 'b'.
In</t>
        </is>
      </c>
      <c r="I1475" t="n">
        <v>0.0035</v>
      </c>
      <c r="J1475" t="n">
        <v>0.0822</v>
      </c>
      <c r="K1475" t="n">
        <v>0.1493</v>
      </c>
      <c r="L1475" t="inlineStr">
        <is>
          <t>The provided code is part of a Presto SQL query optimizer implementation in Java. The main purpose of this code seems to be the creation and execution of an iterative optimization process for SQL queries using various rules. 
It starts by setting up a session object which may hold configuration details about the current running environment. Then it creates instances of different rule classes that are used during the</t>
        </is>
      </c>
      <c r="M1475" t="n">
        <v>0.0026</v>
      </c>
      <c r="N1475" t="n">
        <v>0.0519</v>
      </c>
      <c r="O1475" t="n">
        <v>0.1418</v>
      </c>
    </row>
    <row r="1476">
      <c r="A1476" t="inlineStr">
        <is>
          <t>presto</t>
        </is>
      </c>
      <c r="B1476" t="inlineStr">
        <is>
          <t>presto-tests/src/test/java/com/facebook/presto/tests/TestLegacyLogFunction.java</t>
        </is>
      </c>
      <c r="C1476">
        <f>HYPERLINK("https://github.com/prestodb/presto/blob/master/presto-tests/src/test/java/com/facebook/presto/tests/TestLegacyLogFunction.java")</f>
        <v/>
      </c>
      <c r="D1476" t="inlineStr">
        <is>
          <t>The code provided is a Java program that tests the functionality of Presto SQL Analyzer and its features configuration. It uses Apache License 2.0 which requires compliance with it before use. The main function being tested includes semantic analysis of queries for custom functions and configurations to enable or disable specific functionalities in the analyzer.
The test checks if certain exceptions are thrown when invalid syntax</t>
        </is>
      </c>
      <c r="E1476" t="n">
        <v>0.0033</v>
      </c>
      <c r="F1476" t="n">
        <v>0.0533</v>
      </c>
      <c r="G1476" t="n">
        <v>0.0725</v>
      </c>
      <c r="H1476" t="inlineStr">
        <is>
          <t>The code you provided is a Java function for adding two numbers (integers or floating point numbers). It's named `add` and takes in two parameters of the same type which are added together using the '+' operator. The time complexity of this operation is O(1), meaning it always executes in constant time regardless of input size.
Here's the summary again</t>
        </is>
      </c>
      <c r="I1476" t="n">
        <v>0.003</v>
      </c>
      <c r="J1476" t="n">
        <v>0.0571</v>
      </c>
      <c r="K1476" t="n">
        <v>0.1136</v>
      </c>
      <c r="L1476" t="inlineStr">
        <is>
          <t>The provided code is a test suite for an SQL analyzer in Presto, a distributed SQL query engine developed by Facebook. The main purpose of the code seems to be testing various functionalities related to semantic analysis and function configuration within the SQL query execution environment.
It uses JUnit framework with TestNG annotations for running tests. It imports necessary classes from different packages such as</t>
        </is>
      </c>
      <c r="M1476" t="n">
        <v>0.0028</v>
      </c>
      <c r="N1476" t="n">
        <v>0.0548</v>
      </c>
      <c r="O1476" t="n">
        <v>0.073</v>
      </c>
    </row>
    <row r="1477">
      <c r="A1477" t="inlineStr">
        <is>
          <t>presto</t>
        </is>
      </c>
      <c r="B1477" t="inlineStr">
        <is>
          <t>presto-tests/src/test/java/com/facebook/presto/tests/TestAggregations.java</t>
        </is>
      </c>
      <c r="C1477">
        <f>HYPERLINK("https://github.com/prestodb/presto/blob/master/presto-tests/src/test/java/com/facebook/presto/tests/TestAggregations.java")</f>
        <v/>
      </c>
      <c r="D1477" t="inlineStr">
        <is>
          <t>```java
// Licensed under the Apache License, Version 2.0 (the "License");
// you may not use this file except in compliance with the License.
// You can obtain a copy of the License at http://www.apache.org/licenses/LICENSE-2.0
// Unless required by applicable law or agreed to in writing,</t>
        </is>
      </c>
      <c r="E1477" t="n">
        <v>0</v>
      </c>
      <c r="F1477" t="n">
        <v>0.0345</v>
      </c>
      <c r="G1477" t="n">
        <v>0.0847</v>
      </c>
      <c r="H1477" t="inlineStr">
        <is>
          <t>The provided code is a Java implementation of an aggregation test class for Presto, which is a distributed SQL query engine designed to handle large data sets across clusters. The functionality of the code includes creating a QueryRunner instance using TpchQueryRunnerBuilder and overriding the createQueryRunner method from AbstractTestAggregations.
In terms of complexity, this function has O(N</t>
        </is>
      </c>
      <c r="I1477" t="n">
        <v>0.0039</v>
      </c>
      <c r="J1477" t="n">
        <v>0.09229999999999999</v>
      </c>
      <c r="K1477" t="n">
        <v>0.1563</v>
      </c>
      <c r="L1477" t="inlineStr">
        <is>
          <t>The provided code is a Java class named `TestAggregations` that extends an abstract base class called `AbstractTestAggregations`. The purpose of this class appears to be for testing aggregation functions in the Presto database system using JUnit tests. 
Here's a concise summary: This class provides test cases for various types of aggregate functions (like sum</t>
        </is>
      </c>
      <c r="M1477" t="n">
        <v>0.0034</v>
      </c>
      <c r="N1477" t="n">
        <v>0.0635</v>
      </c>
      <c r="O1477" t="n">
        <v>0.119</v>
      </c>
    </row>
    <row r="1478">
      <c r="A1478" t="inlineStr">
        <is>
          <t>presto</t>
        </is>
      </c>
      <c r="B1478" t="inlineStr">
        <is>
          <t>presto-tests/src/test/java/com/facebook/presto/tests/TestSpilledAggregationWithHighMemoryRevokingThreshold.java</t>
        </is>
      </c>
      <c r="C1478">
        <f>HYPERLINK("https://github.com/prestodb/presto/blob/master/presto-tests/src/test/java/com/facebook/presto/tests/TestSpilledAggregationWithHighMemoryRevokingThreshold.java")</f>
        <v/>
      </c>
      <c r="D1478" t="inlineStr">
        <is>
          <t>The provided code is a Java implementation of Presto, an open source distributed SQL query engine for big data processing. It includes unit tests and TPC-H benchmark suite integration. The license under which this software can be used is Apache License Version 2.0. This repository contains backend components implementing core algorithms related to distributed computing.
Please note that the complexity of this program appears</t>
        </is>
      </c>
      <c r="E1478" t="n">
        <v>0.004</v>
      </c>
      <c r="F1478" t="n">
        <v>0.1081</v>
      </c>
      <c r="G1478" t="n">
        <v>0.3135</v>
      </c>
      <c r="H1478" t="inlineStr">
        <is>
          <t>The code you provided is a simple function that adds two numbers together in Python. It's named `add` and takes two parameters, `a` and `b`. The functionality of the function is to return the sum of these two numbers. This operation has a time complexity of O(1), meaning it performs a constant number of operations regardless of input size.
In terms</t>
        </is>
      </c>
      <c r="I1478" t="n">
        <v>0.0039</v>
      </c>
      <c r="J1478" t="n">
        <v>0.0563</v>
      </c>
      <c r="K1478" t="n">
        <v>0.1504</v>
      </c>
      <c r="L1478" t="inlineStr">
        <is>
          <t>The provided code is a Java program that tests the performance of Presto SQL query execution engine using TPC-H benchmark data. It uses Facebook's presto library for this purpose. The main functionality includes setting up session properties and running queries against TPC-H tables in an embedded HSQLDB instance. 
The code imports necessary classes from packages like com.facebook</t>
        </is>
      </c>
      <c r="M1478" t="n">
        <v>0.0038</v>
      </c>
      <c r="N1478" t="n">
        <v>0.08699999999999999</v>
      </c>
      <c r="O1478" t="n">
        <v>0.1163</v>
      </c>
    </row>
    <row r="1479">
      <c r="A1479" t="inlineStr">
        <is>
          <t>presto</t>
        </is>
      </c>
      <c r="B1479" t="inlineStr">
        <is>
          <t>presto-tests/src/test/java/com/facebook/presto/tests/TestGracefulShutdown.java</t>
        </is>
      </c>
      <c r="C1479">
        <f>HYPERLINK("https://github.com/prestodb/presto/blob/master/presto-tests/src/test/java/com/facebook/presto/tests/TestGracefulShutdown.java")</f>
        <v/>
      </c>
      <c r="D1479" t="inlineStr">
        <is>
          <t>The code provided is a Java implementation of an Apache License 2.0 which governs the usage and distribution of software components in this repository. The license allows users to use or distribute these components as long as they comply with its terms. It's distributed on an "AS IS" basis without warranties or conditions of any kind either expressed or implied. This summary does not include details about specific</t>
        </is>
      </c>
      <c r="E1479" t="n">
        <v>0.0035</v>
      </c>
      <c r="F1479" t="n">
        <v>0.0513</v>
      </c>
      <c r="G1479" t="n">
        <v>0.1786</v>
      </c>
      <c r="H1479" t="inlineStr">
        <is>
          <t>The code provided is a Java function named "add". It takes two parameters 'a' and 'b', adds them together and returns the result. The functionality of this code can be summarized as follows:"Adds two numbers." This operation has a time complexity of O(1), meaning it performs a fixed number of operations regardless of input size.
In terms of licensing,</t>
        </is>
      </c>
      <c r="I1479" t="n">
        <v>0.0041</v>
      </c>
      <c r="J1479" t="n">
        <v>0.058</v>
      </c>
      <c r="K1479" t="n">
        <v>0.1145</v>
      </c>
      <c r="L1479" t="inlineStr">
        <is>
          <t>The provided code is a Java implementation of the Presto SQL query execution engine. It's designed to manage and execute queries on distributed systems using Facebook's infrastructure. The main purpose seems to be executing TPC-H benchmark queries against an in-memory database for performance testing purposes.
It starts by importing various packages including com.facebook.presto.session,</t>
        </is>
      </c>
      <c r="M1479" t="n">
        <v>0.0035</v>
      </c>
      <c r="N1479" t="n">
        <v>0.0588</v>
      </c>
      <c r="O1479" t="n">
        <v>0.12</v>
      </c>
    </row>
    <row r="1480">
      <c r="A1480" t="inlineStr">
        <is>
          <t>presto</t>
        </is>
      </c>
      <c r="B1480" t="inlineStr">
        <is>
          <t>presto-tests/src/test/java/com/facebook/presto/tests/TestAfterburnerSupport.java</t>
        </is>
      </c>
      <c r="C1480">
        <f>HYPERLINK("https://github.com/prestodb/presto/blob/master/presto-tests/src/test/java/com/facebook/presto/tests/TestAfterburnerSupport.java")</f>
        <v/>
      </c>
      <c r="D1480" t="inlineStr">
        <is>
          <t>The code provided is a test case for the "smokeTestAfterburnerSupport()" method in Java using TestNG framework from Facebook Presto project. The purpose of this test case seems to be testing if certain experimental features are enabled properly by enabling JSON serde codegen and running some queries against TPC-H data set. It's licensed under Apache License 2.0</t>
        </is>
      </c>
      <c r="E1480" t="n">
        <v>0.0033</v>
      </c>
      <c r="F1480" t="n">
        <v>0.0597</v>
      </c>
      <c r="G1480" t="n">
        <v>0.1172</v>
      </c>
      <c r="H1480" t="inlineStr">
        <is>
          <t>The provided code is a Java test class for testing the functionality of an experimental JSON serde codegen feature in Presto, which seems to be part of Facebook's infrastructure. The complexity appears to be O(N), as there are nested loops and recursive calls within methods that could potentially scale with input size. This implementation also includes comments explaining its purpose and any exceptions it might throw</t>
        </is>
      </c>
      <c r="I1480" t="n">
        <v>0.0036</v>
      </c>
      <c r="J1480" t="n">
        <v>0.0789</v>
      </c>
      <c r="K1480" t="n">
        <v>0.1449</v>
      </c>
      <c r="L1480" t="inlineStr">
        <is>
          <t>The provided code is a Java test class named `TestAfterburnerSupport` that tests the functionality of Afterburner support in Presto DB. The purpose of this class is to perform smoke testing on Afterburner support. It uses TestNG framework for unit testing and JUnit assertions to verify expected results against actual ones.
Here's what it does step by step</t>
        </is>
      </c>
      <c r="M1480" t="n">
        <v>0.0038</v>
      </c>
      <c r="N1480" t="n">
        <v>0.0606</v>
      </c>
      <c r="O1480" t="n">
        <v>0.1163</v>
      </c>
    </row>
    <row r="1481">
      <c r="A1481" t="inlineStr">
        <is>
          <t>presto</t>
        </is>
      </c>
      <c r="B1481" t="inlineStr">
        <is>
          <t>presto-tests/src/test/java/com/facebook/presto/tests/TestDistributedSpilledQueries.java</t>
        </is>
      </c>
      <c r="C1481">
        <f>HYPERLINK("https://github.com/prestodb/presto/blob/master/presto-tests/src/test/java/com/facebook/presto/tests/TestDistributedSpilledQueries.java")</f>
        <v/>
      </c>
      <c r="D1481" t="inlineStr">
        <is>
          <t>The code provided is a Java program that tests the functionality of Presto, an open source distributed SQL query engine for big data. It uses Apache License 2.0 and it's designed to be used in compliance with this license. The software may be obtained by copying the license at http://www.apache.org/licenses/LICENSE-2.0. If not required</t>
        </is>
      </c>
      <c r="E1481" t="n">
        <v>0.0045</v>
      </c>
      <c r="F1481" t="n">
        <v>0.0571</v>
      </c>
      <c r="G1481" t="n">
        <v>0.16</v>
      </c>
      <c r="H1481" t="inlineStr">
        <is>
          <t>The code provided is a simple function called "add". It takes two parameters (numbers), adds them together and returns the result. This operation has a time complexity of O(1). The Apache License 2.0 is included in this file which means that it can be used freely for any purpose but must include the original license text when distributing derivative works or modified versions thereof.</t>
        </is>
      </c>
      <c r="I1481" t="n">
        <v>0.0034</v>
      </c>
      <c r="J1481" t="n">
        <v>0.0541</v>
      </c>
      <c r="K1481" t="n">
        <v>0.1103</v>
      </c>
      <c r="L1481" t="inlineStr">
        <is>
          <t>The provided code is a test suite for PrestoDB, an open source distributed SQL query engine. The main purpose of this code seems to be testing the functionality and performance of different components in PrestoDB. 
It uses JUnit framework for unit tests which are annotated with @Test annotation. It imports various packages from presto package com.facebook.prest</t>
        </is>
      </c>
      <c r="M1481" t="n">
        <v>0.0069</v>
      </c>
      <c r="N1481" t="n">
        <v>0.09089999999999999</v>
      </c>
      <c r="O1481" t="n">
        <v>0.1997</v>
      </c>
    </row>
    <row r="1482">
      <c r="A1482" t="inlineStr">
        <is>
          <t>presto</t>
        </is>
      </c>
      <c r="B1482" t="inlineStr">
        <is>
          <t>presto-tests/src/test/java/com/facebook/presto/tests/TestTpchLocalStats.java</t>
        </is>
      </c>
      <c r="C1482">
        <f>HYPERLINK("https://github.com/prestodb/presto/blob/master/presto-tests/src/test/java/com/facebook/presto/tests/TestTpchLocalStats.java")</f>
        <v/>
      </c>
      <c r="D1482" t="inlineStr">
        <is>
          <t>The provided code is a Java test suite for running queries on the Presto SQL query engine using JUnit and TestNG frameworks. It tests various aspects of the system including performance statistics, error handling, etc., by executing predefined TPC-H benchmark queries against an in-memory Hadoop cluster. The license under which this software can be used or modified is detailed at http://</t>
        </is>
      </c>
      <c r="E1482" t="n">
        <v>0.0036</v>
      </c>
      <c r="F1482" t="n">
        <v>0.0563</v>
      </c>
      <c r="G1482" t="n">
        <v>0.2373</v>
      </c>
      <c r="H1482" t="inlineStr">
        <is>
          <t>The function provided is a simple addition operation in Python that takes two parameters and returns their sum. The functionality of the code can be summarized as follows: "Accepts two numbers (parameters 'a' and 'b'), adds them together, and then return the result." Now summarize it again: Code: /** This function performs an addition operation on two input integers ('a' and 'b</t>
        </is>
      </c>
      <c r="I1482" t="n">
        <v>0.0039</v>
      </c>
      <c r="J1482" t="n">
        <v>0.08699999999999999</v>
      </c>
      <c r="K1482" t="n">
        <v>0.1119</v>
      </c>
      <c r="L1482" t="inlineStr">
        <is>
          <t>The provided code is a part of the Presto SQL testing framework developed by Facebook. It's designed to test and validate performance statistics for different query execution plans in Presto.
Here are key components involved:
1. `@BeforeClass` - This annotation indicates that the annotated method will be run before any tests in the class have been executed. In this</t>
        </is>
      </c>
      <c r="M1482" t="n">
        <v>0.0037</v>
      </c>
      <c r="N1482" t="n">
        <v>0.0299</v>
      </c>
      <c r="O1482" t="n">
        <v>0.1145</v>
      </c>
    </row>
    <row r="1483">
      <c r="A1483" t="inlineStr">
        <is>
          <t>presto</t>
        </is>
      </c>
      <c r="B1483" t="inlineStr">
        <is>
          <t>presto-tests/src/test/java/com/facebook/presto/tests/TestSpilledWindowQueriesWithTemporaryStorage.java</t>
        </is>
      </c>
      <c r="C1483">
        <f>HYPERLINK("https://github.com/prestodb/presto/blob/master/presto-tests/src/test/java/com/facebook/presto/tests/TestSpilledWindowQueriesWithTemporaryStorage.java")</f>
        <v/>
      </c>
      <c r="D1483" t="inlineStr">
        <is>
          <t>```java
// Licensed under the Apache License, Version 2.0 (the "License");
// you may not use this file except in compliance with the License.
// You can obtain a copy of the License at http://www.apache.org/licenses/LICENSE-2.0
// Unless required by applicable law or agreed to in writing,</t>
        </is>
      </c>
      <c r="E1483" t="n">
        <v>0</v>
      </c>
      <c r="F1483" t="n">
        <v>0.0345</v>
      </c>
      <c r="G1483" t="n">
        <v>0.0847</v>
      </c>
      <c r="H1483" t="inlineStr">
        <is>
          <t>The given code is a Java implementation of the add function which adds two numbers together. The complexity of this operation is O(1), meaning it takes constant time to perform regardless of the size of the input data. This function does not repeat any code and its functionality can be summarized as follows: "This function accepts two parameters (numbers), performs an addition operation on them and returns the result</t>
        </is>
      </c>
      <c r="I1483" t="n">
        <v>0.0035</v>
      </c>
      <c r="J1483" t="n">
        <v>0.0769</v>
      </c>
      <c r="K1483" t="n">
        <v>0.1418</v>
      </c>
      <c r="L1483" t="inlineStr">
        <is>
          <t>The provided code is a Java class named `TestSpilledWindowQueriesWithTemporaryStorage` which extends the abstract base class `TestSpilledWindowQueries`. This class is part of Facebook's Presto project and it tests distributed spilled window queries with temporary storage using local QueryRunner instance creation method. The purpose of this test suite seems to be verifying that</t>
        </is>
      </c>
      <c r="M1483" t="n">
        <v>0.0043</v>
      </c>
      <c r="N1483" t="n">
        <v>0.0667</v>
      </c>
      <c r="O1483" t="n">
        <v>0.122</v>
      </c>
    </row>
    <row r="1484">
      <c r="A1484" t="inlineStr">
        <is>
          <t>presto</t>
        </is>
      </c>
      <c r="B1484" t="inlineStr">
        <is>
          <t>presto-tests/src/test/java/com/facebook/presto/tests/TestDistinctType.java</t>
        </is>
      </c>
      <c r="C1484">
        <f>HYPERLINK("https://github.com/prestodb/presto/blob/master/presto-tests/src/test/java/com/facebook/presto/tests/TestDistinctType.java")</f>
        <v/>
      </c>
      <c r="D1484" t="inlineStr">
        <is>
          <t>The code provided is a Java implementation of core algorithms and data structures used in the Presto SQL query engine by Facebook. The license for this software states that it can be distributed under certain conditions as outlined at http://www.apache.org/licenses/LICENSE-2.0. It also mentions specific language governing permissions and limitations under the License.
However, without seeing</t>
        </is>
      </c>
      <c r="E1484" t="n">
        <v>0.0044</v>
      </c>
      <c r="F1484" t="n">
        <v>0.0857</v>
      </c>
      <c r="G1484" t="n">
        <v>0.3357</v>
      </c>
      <c r="H1484" t="inlineStr">
        <is>
          <t>The given code is a Java implementation of the add function which adds two numbers together. The complexity of this operation is O(1), meaning it takes constant time regardless of input size. This function does not use any external libraries or dependencies and follows standard coding conventions in Java. It also includes an Apache License header to ensure that anyone using this code has permission to do so under certain conditions.</t>
        </is>
      </c>
      <c r="I1484" t="n">
        <v>0.003</v>
      </c>
      <c r="J1484" t="n">
        <v>0.075</v>
      </c>
      <c r="K1484" t="n">
        <v>0.1399</v>
      </c>
      <c r="L1484" t="inlineStr">
        <is>
          <t>The code you provided is a part of Facebook's Presto SQL query engine. It appears to be implementing user defined types (UDT) in the system and managing them effectively. 
Here are some key points about this functionality:
1. The package `com.facebook.presto.tests` contains tests for the presto sql engine.</t>
        </is>
      </c>
      <c r="M1484" t="n">
        <v>0.0038</v>
      </c>
      <c r="N1484" t="n">
        <v>0.0667</v>
      </c>
      <c r="O1484" t="n">
        <v>0.1667</v>
      </c>
    </row>
    <row r="1485">
      <c r="A1485" t="inlineStr">
        <is>
          <t>presto</t>
        </is>
      </c>
      <c r="B1485" t="inlineStr">
        <is>
          <t>presto-tests/src/test/java/com/facebook/presto/tests/TestMetadataManager.java</t>
        </is>
      </c>
      <c r="C1485">
        <f>HYPERLINK("https://github.com/prestodb/presto/blob/master/presto-tests/src/test/java/com/facebook/presto/tests/TestMetadataManager.java")</f>
        <v/>
      </c>
      <c r="D1485" t="inlineStr">
        <is>
          <t>The provided code is a Java implementation of Presto, an open source distributed SQL query engine for big data that supports various data sources including Hadoop and Cassandra. The Apache License 2.0 is applied to this project which allows anyone to use the software in any form or manner they choose as long as compliance with the license terms is maintained. It's designed to be used by Facebook</t>
        </is>
      </c>
      <c r="E1485" t="n">
        <v>0.0032</v>
      </c>
      <c r="F1485" t="n">
        <v>0.0513</v>
      </c>
      <c r="G1485" t="n">
        <v>0.1786</v>
      </c>
      <c r="H1485" t="inlineStr">
        <is>
          <t>The provided code is a Java implementation of the add function which adds two numbers together. It takes in two parameters (numbers), and returns their sum. The time complexity of this operation is O(1). This means that it performs a fixed number of operations regardless of input size.
 Here's how you can summarize it again: Code: ```public int add(</t>
        </is>
      </c>
      <c r="I1485" t="n">
        <v>0.0037</v>
      </c>
      <c r="J1485" t="n">
        <v>0.08699999999999999</v>
      </c>
      <c r="K1485" t="n">
        <v>0.1527</v>
      </c>
      <c r="L1485" t="inlineStr">
        <is>
          <t>The provided code is part of a Presto SQL query execution engine and it imports various classes from the Facebook's open source project for managing sessions, executing queries, handling dispatching tasks among other functionalities. It also interacts with metadata managers to manage database schemas and tables. The main purpose of this module appears to be in providing an interface between different data sources (like databases)</t>
        </is>
      </c>
      <c r="M1485" t="n">
        <v>0.0033</v>
      </c>
      <c r="N1485" t="n">
        <v>0.0541</v>
      </c>
      <c r="O1485" t="n">
        <v>0.146</v>
      </c>
    </row>
    <row r="1486">
      <c r="A1486" t="inlineStr">
        <is>
          <t>presto</t>
        </is>
      </c>
      <c r="B1486" t="inlineStr">
        <is>
          <t>presto-tests/src/test/java/com/facebook/presto/tests/TestDistributedQueriesNoHashGeneration.java</t>
        </is>
      </c>
      <c r="C1486">
        <f>HYPERLINK("https://github.com/prestodb/presto/blob/master/presto-tests/src/test/java/com/facebook/presto/tests/TestDistributedQueriesNoHashGeneration.java")</f>
        <v/>
      </c>
      <c r="D1486" t="inlineStr">
        <is>
          <t>The code you've provided is a Java class named `TestDistributedQueriesNoHashGeneration` that extends an abstract base test class for queries (`AbstractTestQueries`). This class tests distributed queries in Presto without hash generation. The purpose of this specific testing scenario seems to be related to performance optimization or query execution strategy.
In the method `createQuery</t>
        </is>
      </c>
      <c r="E1486" t="n">
        <v>0.0035</v>
      </c>
      <c r="F1486" t="n">
        <v>0.0328</v>
      </c>
      <c r="G1486" t="n">
        <v>0.0403</v>
      </c>
      <c r="H1486" t="inlineStr">
        <is>
          <t>The code you provided is a Java method for adding two numbers (`a` and `b`). The functionality of this function can be summarized as follows:
```plaintext
Function Name: add
Inputs: Two numerical values 'a' and 'b'.
Output: Returns the sum of input parameters 'a' and 'b'. 
Description: This simple</t>
        </is>
      </c>
      <c r="I1486" t="n">
        <v>0.0049</v>
      </c>
      <c r="J1486" t="n">
        <v>0.1053</v>
      </c>
      <c r="K1486" t="n">
        <v>0.1653</v>
      </c>
      <c r="L1486" t="inlineStr">
        <is>
          <t>The provided code is a Java class named `TestDistributedQueriesNoHashGeneration` that extends the abstract class `AbstractTestQueries` in Presto's testing framework for running queries on distributed systems without hash generation.
It starts with license information and import statements at the top of the file. The method `createQueryRunner` creates an instance of Tpch</t>
        </is>
      </c>
      <c r="M1486" t="n">
        <v>0.0037</v>
      </c>
      <c r="N1486" t="n">
        <v>0.0339</v>
      </c>
      <c r="O1486" t="n">
        <v>0.082</v>
      </c>
    </row>
    <row r="1487">
      <c r="A1487" t="inlineStr">
        <is>
          <t>presto</t>
        </is>
      </c>
      <c r="B1487" t="inlineStr">
        <is>
          <t>presto-tests/src/test/java/com/facebook/presto/tests/TestDistributedSpilledQueriesWithTempStorage.java</t>
        </is>
      </c>
      <c r="C1487">
        <f>HYPERLINK("https://github.com/prestodb/presto/blob/master/presto-tests/src/test/java/com/facebook/presto/tests/TestDistributedSpilledQueriesWithTempStorage.java")</f>
        <v/>
      </c>
      <c r="D1487" t="inlineStr">
        <is>
          <t>The code provided is a Java implementation of an Apache License 2.0 which governs the distribution and usage of software distributed under it. It includes comments explaining permissions and limitations as per the license. The code also imports various packages required for testing presto queries against TPC-H data set using custom plugins.
It appears to be part of a larger project that uses Facebook'</t>
        </is>
      </c>
      <c r="E1487" t="n">
        <v>0.0034</v>
      </c>
      <c r="F1487" t="n">
        <v>0.0541</v>
      </c>
      <c r="G1487" t="n">
        <v>0.1471</v>
      </c>
      <c r="H1487" t="inlineStr">
        <is>
          <t>The code you provided is a simple function for adding two numbers in Python named `add`. It takes two parameters `a` and `b` and returns their sum. The time complexity of this operation is O(1), meaning it always executes the same number of steps regardless of input size.
Please provide more context or specific examples if you want me to explain further about this</t>
        </is>
      </c>
      <c r="I1487" t="n">
        <v>0.0028</v>
      </c>
      <c r="J1487" t="n">
        <v>0.0548</v>
      </c>
      <c r="K1487" t="n">
        <v>0.1103</v>
      </c>
      <c r="L1487" t="inlineStr">
        <is>
          <t>The provided code is a Java program that tests the functionality of Presto SQL query execution engine. It imports necessary classes and packages for setting up and running queries in Presto. The main purpose of this code seems to be testing various aspects of the system like performance, resource usage etc. Code complexity appears to be O(N) as it involves looping through different test cases or data</t>
        </is>
      </c>
      <c r="M1487" t="n">
        <v>0.0032</v>
      </c>
      <c r="N1487" t="n">
        <v>0.0526</v>
      </c>
      <c r="O1487" t="n">
        <v>0.1079</v>
      </c>
    </row>
    <row r="1488">
      <c r="A1488" t="inlineStr">
        <is>
          <t>presto</t>
        </is>
      </c>
      <c r="B1488" t="inlineStr">
        <is>
          <t>presto-tests/src/test/java/com/facebook/presto/tests/TestSpilledTopNQueries.java</t>
        </is>
      </c>
      <c r="C1488">
        <f>HYPERLINK("https://github.com/prestodb/presto/blob/master/presto-tests/src/test/java/com/facebook/presto/tests/TestSpilledTopNQueries.java")</f>
        <v/>
      </c>
      <c r="D1488" t="inlineStr">
        <is>
          <t>The code is licensed under the Apache License 2.0 and contains a set of tests for Presto, an open source distributed SQL query engine. It includes functionality to test queries against TPC-H data sets. The license allows anyone to use this software in compliance with the terms specified by the license. However, some parts may be subject to additional conditions or requirements that are not stated explicitly</t>
        </is>
      </c>
      <c r="E1488" t="n">
        <v>0.0036</v>
      </c>
      <c r="F1488" t="n">
        <v>0.0519</v>
      </c>
      <c r="G1488" t="n">
        <v>0.2271</v>
      </c>
      <c r="H1488" t="inlineStr">
        <is>
          <t>The code provided is a simple function for addition of two numbers in Python named `add` which takes two parameters 'a' and 'b'. The functionality of the code is straightforward as it simply returns the sum of both inputs. This operation has time complexity O(1), meaning that its execution time does not increase with an increasing input size. It also follows Apache License 2.0, stating</t>
        </is>
      </c>
      <c r="I1488" t="n">
        <v>0.0037</v>
      </c>
      <c r="J1488" t="n">
        <v>0.0533</v>
      </c>
      <c r="K1488" t="n">
        <v>0.146</v>
      </c>
      <c r="L1488" t="inlineStr">
        <is>
          <t>The provided code is a test suite for an application using the Presto SQL query engine. The main purpose of this code is to execute tests on TPC-H queries against a preconfigured database system and verify their correctness based on expected results. It uses QueryRunner class from Facebook's Presto testing framework to run these tests. This code adheres to good coding practices such</t>
        </is>
      </c>
      <c r="M1488" t="n">
        <v>0.0034</v>
      </c>
      <c r="N1488" t="n">
        <v>0.0548</v>
      </c>
      <c r="O1488" t="n">
        <v>0.1111</v>
      </c>
    </row>
    <row r="1489">
      <c r="A1489" t="inlineStr">
        <is>
          <t>presto</t>
        </is>
      </c>
      <c r="B1489" t="inlineStr">
        <is>
          <t>presto-tests/src/test/java/com/facebook/presto/tests/TestH2QueryRunner.java</t>
        </is>
      </c>
      <c r="C1489">
        <f>HYPERLINK("https://github.com/prestodb/presto/blob/master/presto-tests/src/test/java/com/facebook/presto/tests/TestH2QueryRunner.java")</f>
        <v/>
      </c>
      <c r="D1489" t="inlineStr">
        <is>
          <t>The code provided is a Java class that uses TestNG for testing purposes in the Presto project by Facebook. It includes an Apache License header and several test methods annotated with @Test to define different tests. The code also has two lifecycle annotation methods (@BeforeClass &amp; @AfterClass), which are used to set up or clean up resources before and after each test respectively. This code</t>
        </is>
      </c>
      <c r="E1489" t="n">
        <v>0.0033</v>
      </c>
      <c r="F1489" t="n">
        <v>0.0278</v>
      </c>
      <c r="G1489" t="n">
        <v>0.1095</v>
      </c>
      <c r="H1489" t="inlineStr">
        <is>
          <t>The provided code is a Java class that contains several methods for testing various aspects of the Presto SQL query engine. The main method being tested appears to be `runTests` which takes in an array of test cases and executes them against the Presto session defined by `TEST_SESSION`. 
Each test case includes information about the expected result (i.e.,</t>
        </is>
      </c>
      <c r="I1489" t="n">
        <v>0.0031</v>
      </c>
      <c r="J1489" t="n">
        <v>0.0294</v>
      </c>
      <c r="K1489" t="n">
        <v>0.0385</v>
      </c>
      <c r="L1489" t="inlineStr">
        <is>
          <t>The code provided is a test suite for an application using TestNG as the testing framework and JUnit assertions to validate results. The main purpose of this suite is to perform tests on various functionalities of the Presto SQL query engine. It covers a wide range of scenarios including but not limited to date formatting, session management, materialization of result sets, etc.
The</t>
        </is>
      </c>
      <c r="M1489" t="n">
        <v>0.0029</v>
      </c>
      <c r="N1489" t="n">
        <v>0.0563</v>
      </c>
      <c r="O1489" t="n">
        <v>0.1111</v>
      </c>
    </row>
    <row r="1490">
      <c r="A1490" t="inlineStr">
        <is>
          <t>presto</t>
        </is>
      </c>
      <c r="B1490" t="inlineStr">
        <is>
          <t>presto-tests/src/test/java/com/facebook/presto/tests/TestDistributedEngineOnlyQueries.java</t>
        </is>
      </c>
      <c r="C1490">
        <f>HYPERLINK("https://github.com/prestodb/presto/blob/master/presto-tests/src/test/java/com/facebook/presto/tests/TestDistributedEngineOnlyQueries.java")</f>
        <v/>
      </c>
      <c r="D1490" t="inlineStr">
        <is>
          <t>```java
// Licensed under the Apache License, Version 2.0 (the "License");
// you may not use this file except in compliance with the License.
// You can obtain a copy of the License at http://www.apache.org/licenses/LICENSE-2.0
// Unless required by applicable law or agreed to in writing,</t>
        </is>
      </c>
      <c r="E1490" t="n">
        <v>0</v>
      </c>
      <c r="F1490" t="n">
        <v>0.0345</v>
      </c>
      <c r="G1490" t="n">
        <v>0.0847</v>
      </c>
      <c r="H1490" t="inlineStr">
        <is>
          <t>The provided code is a Java class named `TestDistributedEngineOnlyQueries` that extends the abstract base class `AbstractTestEngineOnlyQueries` and overrides its protected method `createQueryRunner` to return an instance of `TpchQueryRunnerBuilder` for running queries against TPC-H data sets. The Apache License 2.0 is included at the top of this</t>
        </is>
      </c>
      <c r="I1490" t="n">
        <v>0.004</v>
      </c>
      <c r="J1490" t="n">
        <v>0.0357</v>
      </c>
      <c r="K1490" t="n">
        <v>0.1271</v>
      </c>
      <c r="L1490" t="inlineStr">
        <is>
          <t>The provided code is a Java class named `TestDistributedEngineOnlyQueries` that extends the abstract base class `AbstractTestEngineOnlyQueries`. This class overrides the method `createQueryRunner()` to return an instance of TpchQueryRunnerBuilder which builds and returns QueryRunner instances for testing purposes only. 
The purpose of this class seems to</t>
        </is>
      </c>
      <c r="M1490" t="n">
        <v>0.0049</v>
      </c>
      <c r="N1490" t="n">
        <v>0.0755</v>
      </c>
      <c r="O1490" t="n">
        <v>0.08550000000000001</v>
      </c>
    </row>
    <row r="1491">
      <c r="A1491" t="inlineStr">
        <is>
          <t>presto</t>
        </is>
      </c>
      <c r="B1491" t="inlineStr">
        <is>
          <t>presto-tests/src/test/java/com/facebook/presto/tests/TestOrderByQueries.java</t>
        </is>
      </c>
      <c r="C1491">
        <f>HYPERLINK("https://github.com/prestodb/presto/blob/master/presto-tests/src/test/java/com/facebook/presto/tests/TestOrderByQueries.java")</f>
        <v/>
      </c>
      <c r="D1491" t="inlineStr">
        <is>
          <t>```java
// Licensed under the Apache License, Version 2.0 (the "License");
// you may not use this file except in compliance with the License.
// You can obtain a copy of the License at http://www.apache.org/licenses/LICENSE-2.0
// Unless required by applicable law or agreed to in writing,</t>
        </is>
      </c>
      <c r="E1491" t="n">
        <v>0</v>
      </c>
      <c r="F1491" t="n">
        <v>0.0345</v>
      </c>
      <c r="G1491" t="n">
        <v>0.0847</v>
      </c>
      <c r="H1491" t="inlineStr">
        <is>
          <t>The function provided is a simple addition operation between two numbers 'a' and 'b'. It takes in two parameters (numbers), adds them together using the '+' operator, then returns the result. The time complexity of this code is O(1).
In terms of licensing information, it appears to be Apache License version 2.0 which allows users to use or</t>
        </is>
      </c>
      <c r="I1491" t="n">
        <v>0.0031</v>
      </c>
      <c r="J1491" t="n">
        <v>0.0597</v>
      </c>
      <c r="K1491" t="n">
        <v>0.1154</v>
      </c>
      <c r="L1491" t="inlineStr">
        <is>
          <t>The provided code is a Java class named `TestOrderByQueries` that extends an abstract base class called `AbstractTestOrderByQueries`. This class contains the implementation of methods for testing order by queries in Presto DB. 
Here's what each method does:
1) The protected method createQueryRunner(): QueryRunner - It creates and</t>
        </is>
      </c>
      <c r="M1491" t="n">
        <v>0.0046</v>
      </c>
      <c r="N1491" t="n">
        <v>0.1091</v>
      </c>
      <c r="O1491" t="n">
        <v>0.1261</v>
      </c>
    </row>
    <row r="1492">
      <c r="A1492" t="inlineStr">
        <is>
          <t>presto</t>
        </is>
      </c>
      <c r="B1492" t="inlineStr">
        <is>
          <t>presto-tests/src/test/java/com/facebook/presto/tests/TestQueryPlanDeterminism.java</t>
        </is>
      </c>
      <c r="C1492">
        <f>HYPERLINK("https://github.com/prestodb/presto/blob/master/presto-tests/src/test/java/com/facebook/presto/tests/TestQueryPlanDeterminism.java")</f>
        <v/>
      </c>
      <c r="D1492" t="inlineStr">
        <is>
          <t>The provided code is a Java implementation of core algorithms and data structures used in PrestoDB (a distributed SQL query engine), licensed under the Apache License 2.0. It includes imports for various packages related to session management, type handling, property management, plugin configuration, testing framework setup, materialization of results, etc. The license details are also included at the top of the file</t>
        </is>
      </c>
      <c r="E1492" t="n">
        <v>0.0035</v>
      </c>
      <c r="F1492" t="n">
        <v>0.08450000000000001</v>
      </c>
      <c r="G1492" t="n">
        <v>0.1493</v>
      </c>
      <c r="H1492" t="inlineStr">
        <is>
          <t>The provided code is a Java method for adding two numbers (`add()`). The functionality of this function can be summarised as follows: It takes in two parameters `a` and `b` which are expected to be numerical values. This function then performs the addition operation on these inputs and returns their sum.
The complexity of this function is O(1), meaning it has</t>
        </is>
      </c>
      <c r="I1492" t="n">
        <v>0.0039</v>
      </c>
      <c r="J1492" t="n">
        <v>0.0857</v>
      </c>
      <c r="K1492" t="n">
        <v>0.1128</v>
      </c>
      <c r="L1492" t="inlineStr">
        <is>
          <t>The provided code is a part of Facebook's Presto project which is an open source distributed SQL query engine for running interactive analytic queries against various data sources. The main purpose of this code seems to be the implementation and testing of custom functions that can be used in SQL statements.
Here are some key operations performed by the code: 
1. It imports necessary classes</t>
        </is>
      </c>
      <c r="M1492" t="n">
        <v>0.0028</v>
      </c>
      <c r="N1492" t="n">
        <v>0.08110000000000001</v>
      </c>
      <c r="O1492" t="n">
        <v>0.146</v>
      </c>
    </row>
    <row r="1493">
      <c r="A1493" t="inlineStr">
        <is>
          <t>presto</t>
        </is>
      </c>
      <c r="B1493" t="inlineStr">
        <is>
          <t>presto-tests/src/test/java/com/facebook/presto/tests/TestLocalVerboseMemoryExceededErrors.java</t>
        </is>
      </c>
      <c r="C1493">
        <f>HYPERLINK("https://github.com/prestodb/presto/blob/master/presto-tests/src/test/java/com/facebook/presto/tests/TestLocalVerboseMemoryExceededErrors.java")</f>
        <v/>
      </c>
      <c r="D1493" t="inlineStr">
        <is>
          <t>The provided code is a Java class named `TestLocalVerboseMemoryExceededErrors` that extends an abstract base test class for testing verbose memory exceeded errors in Presto, Facebook's distributed SQL query engine. The main functionality of this class involves setting up and running queries with varying levels of total memory usage to simulate different scenarios where the system might encounter such errors due to ins</t>
        </is>
      </c>
      <c r="E1493" t="n">
        <v>0.0035</v>
      </c>
      <c r="F1493" t="n">
        <v>0.0563</v>
      </c>
      <c r="G1493" t="n">
        <v>0.1119</v>
      </c>
      <c r="H1493" t="inlineStr">
        <is>
          <t>The provided code is a Java implementation of the add function for two numbers using Apache License 2.0. It defines an 'add' method that takes in two parameters and returns their sum. The time complexity of this operation is O(1), meaning it performs a fixed number of operations regardless of input size. This function can be used to perform addition in any environment where Java is supported.</t>
        </is>
      </c>
      <c r="I1493" t="n">
        <v>0.0032</v>
      </c>
      <c r="J1493" t="n">
        <v>0.0779</v>
      </c>
      <c r="K1493" t="n">
        <v>0.1439</v>
      </c>
      <c r="L1493" t="inlineStr">
        <is>
          <t>The provided code is a Java program for testing local queries in Presto, an open source distributed SQL query engine. The main purpose of this class `TestLocalVerboseMemoryExceededErrors` is to test the verbosity and memory exceeded errors when running local queries using the QueryRunner.
It takes care of creating a local instance of QueryRunner by calling the static method</t>
        </is>
      </c>
      <c r="M1493" t="n">
        <v>0.0031</v>
      </c>
      <c r="N1493" t="n">
        <v>0.0606</v>
      </c>
      <c r="O1493" t="n">
        <v>0.1154</v>
      </c>
    </row>
    <row r="1494">
      <c r="A1494" t="inlineStr">
        <is>
          <t>presto</t>
        </is>
      </c>
      <c r="B1494" t="inlineStr">
        <is>
          <t>presto-tests/src/test/java/com/facebook/presto/tests/TestQueryTaskLimit.java</t>
        </is>
      </c>
      <c r="C1494">
        <f>HYPERLINK("https://github.com/prestodb/presto/blob/master/presto-tests/src/test/java/com/facebook/presto/tests/TestQueryTaskLimit.java")</f>
        <v/>
      </c>
      <c r="D1494" t="inlineStr">
        <is>
          <t>The provided code is a Java program that tests the functionality of Presto, an open source distributed SQL query engine for big data processing. It includes Apache License 2.0 details at the top and has some test cases written using TestNG framework. The code seems to be implementing TPC-H benchmark queries which are complex algorithms used in performance testing of database systems.
It appears</t>
        </is>
      </c>
      <c r="E1494" t="n">
        <v>0.0034</v>
      </c>
      <c r="F1494" t="n">
        <v>0.0541</v>
      </c>
      <c r="G1494" t="n">
        <v>0.1103</v>
      </c>
      <c r="H1494" t="inlineStr">
        <is>
          <t>The code you provided is a simple function in Java that adds two numbers together. It's named "add", and it takes two parameters 'a' and 'b'. The functionality of this function is to return the sum of these two numbers. This operation has a time complexity of O(1), meaning it executes in constant time regardless of the size of the input data.</t>
        </is>
      </c>
      <c r="I1494" t="n">
        <v>0.0039</v>
      </c>
      <c r="J1494" t="n">
        <v>0.0556</v>
      </c>
      <c r="K1494" t="n">
        <v>0.1493</v>
      </c>
      <c r="L1494" t="inlineStr">
        <is>
          <t>The provided code is a part of the Presto SQL test suite for Facebook's distributed SQL query engine. It provides unit tests to validate its functionality and performance against various scenarios. The main purpose of this code is to execute queries using different configurations (like memory limits) on TPC-H benchmark data set and compare results with expected values stored in CSV files.
The logic</t>
        </is>
      </c>
      <c r="M1494" t="n">
        <v>0.006</v>
      </c>
      <c r="N1494" t="n">
        <v>0.08110000000000001</v>
      </c>
      <c r="O1494" t="n">
        <v>0.1103</v>
      </c>
    </row>
    <row r="1495">
      <c r="A1495" t="inlineStr">
        <is>
          <t>presto</t>
        </is>
      </c>
      <c r="B1495" t="inlineStr">
        <is>
          <t>presto-tests/src/test/java/com/facebook/presto/tests/TestSetWorkerSessionPropertiesIncludingInvalidProperties.java</t>
        </is>
      </c>
      <c r="C1495">
        <f>HYPERLINK("https://github.com/prestodb/presto/blob/master/presto-tests/src/test/java/com/facebook/presto/tests/TestSetWorkerSessionPropertiesIncludingInvalidProperties.java")</f>
        <v/>
      </c>
      <c r="D1495" t="inlineStr">
        <is>
          <t>The code provided is a Java class that tests the functionality of Presto, an open source distributed SQL query engine for big data. It imports necessary classes and methods from other packages to execute queries in a test environment. The main method contains one or more unit tests which validate certain functionalities related to setting worker session properties including invalid ones. If any property value is not valid according to defined rules</t>
        </is>
      </c>
      <c r="E1495" t="n">
        <v>0.003</v>
      </c>
      <c r="F1495" t="n">
        <v>0.05</v>
      </c>
      <c r="G1495" t="n">
        <v>0.0694</v>
      </c>
      <c r="H1495" t="inlineStr">
        <is>
          <t>The code you provided is a Java class named `TestSetWorkerSessionPropertiesIncludingInvalidProperties` that extends an abstract base class called `AbstractReadmeTest`. This class contains tests for setting worker session properties including invalid ones using the Presto query runner and assertions to verify correctness of results. The complexity of this function appears to be O(N), where N represents the</t>
        </is>
      </c>
      <c r="I1495" t="n">
        <v>0.004</v>
      </c>
      <c r="J1495" t="n">
        <v>0.0625</v>
      </c>
      <c r="K1495" t="n">
        <v>0.1181</v>
      </c>
      <c r="L1495" t="inlineStr">
        <is>
          <t>The given code is a Java class that tests the functionality of Presto, an open source distributed SQL query engine for big data. The main purpose of this test case involves setting worker session properties and includes handling invalid properties.
Here's a concise summary: This Java class extends from an abstract base class to set up testing sessions in Presto with specific configurations including handling invalid</t>
        </is>
      </c>
      <c r="M1495" t="n">
        <v>0.0036</v>
      </c>
      <c r="N1495" t="n">
        <v>0.0533</v>
      </c>
      <c r="O1495" t="n">
        <v>0.1087</v>
      </c>
    </row>
    <row r="1496">
      <c r="A1496" t="inlineStr">
        <is>
          <t>presto</t>
        </is>
      </c>
      <c r="B1496" t="inlineStr">
        <is>
          <t>presto-tests/src/test/java/com/facebook/presto/tests/TestDistributedQueriesWithDynamicFilter.java</t>
        </is>
      </c>
      <c r="C1496">
        <f>HYPERLINK("https://github.com/prestodb/presto/blob/master/presto-tests/src/test/java/com/facebook/presto/tests/TestDistributedQueriesWithDynamicFilter.java")</f>
        <v/>
      </c>
      <c r="D1496" t="inlineStr">
        <is>
          <t>The provided code is a Java class that extends an abstract test query class for testing distributed queries with dynamic filtering using the Presto framework from Facebook. It creates and returns a QueryRunner object which can be used to run SQL queries on TPC-H data set. The Apache License 2.0 is applied to this code, meaning it's free to use under certain conditions specified in the</t>
        </is>
      </c>
      <c r="E1496" t="n">
        <v>0.0028</v>
      </c>
      <c r="F1496" t="n">
        <v>0.026</v>
      </c>
      <c r="G1496" t="n">
        <v>0.1087</v>
      </c>
      <c r="H1496" t="inlineStr">
        <is>
          <t>The code you provided is a Java class that extends an abstract test queries class and overrides the createQueryRunner method to return a TPCH query runner builder instance with dynamic filtering enabled. The license at the top of this file states that it's licensed under Apache License Version 2.0.
Here are some key points about this piece of code:
1. This</t>
        </is>
      </c>
      <c r="I1496" t="n">
        <v>0.0036</v>
      </c>
      <c r="J1496" t="n">
        <v>0.0282</v>
      </c>
      <c r="K1496" t="n">
        <v>0.0752</v>
      </c>
      <c r="L1496" t="inlineStr">
        <is>
          <t>The provided code is a Java class named `TestDistributedQueriesWithDynamicFilter` that extends an abstract base test class called `AbstractTestQueries`. This class tests distributed queries with dynamic filtering in Presto, which is a SQL query engine for big data processing.
Here's the summary of its functionality: 
1. The purpose of this class is</t>
        </is>
      </c>
      <c r="M1496" t="n">
        <v>0.0036</v>
      </c>
      <c r="N1496" t="n">
        <v>0.0667</v>
      </c>
      <c r="O1496" t="n">
        <v>0.0407</v>
      </c>
    </row>
    <row r="1497">
      <c r="A1497" t="inlineStr">
        <is>
          <t>presto</t>
        </is>
      </c>
      <c r="B1497" t="inlineStr">
        <is>
          <t>presto-tests/src/test/java/com/facebook/presto/tests/TestSpilledJoinQueries.java</t>
        </is>
      </c>
      <c r="C1497">
        <f>HYPERLINK("https://github.com/prestodb/presto/blob/master/presto-tests/src/test/java/com/facebook/presto/tests/TestSpilledJoinQueries.java")</f>
        <v/>
      </c>
      <c r="D1497" t="inlineStr">
        <is>
          <t>The code provided is a Java class named `TestSpilledJoinQueries` that extends the abstract class `AbstractTestJoinQueries` from package `com.facebook.presto.tests`. This class tests distributed spilled join queries using Presto's testing framework. The Apache License version 2.0 is included at the top of this file and it specifies conditions for</t>
        </is>
      </c>
      <c r="E1497" t="n">
        <v>0.0046</v>
      </c>
      <c r="F1497" t="n">
        <v>0.0667</v>
      </c>
      <c r="G1497" t="n">
        <v>0.1261</v>
      </c>
      <c r="H1497" t="inlineStr">
        <is>
          <t>The function provided is a simple addition operation that takes two parameters and returns their sum. It's complexity is O(1), meaning it always executes in constant time regardless of the input size. The code is licensed under Apache License 2.0 which means you can use this file for any purpose except to violate the license terms. You may obtain a copy of the License at http://</t>
        </is>
      </c>
      <c r="I1497" t="n">
        <v>0.0028</v>
      </c>
      <c r="J1497" t="n">
        <v>0.0519</v>
      </c>
      <c r="K1497" t="n">
        <v>0.1087</v>
      </c>
      <c r="L1497" t="inlineStr">
        <is>
          <t>The provided code is a Java implementation of an abstract test class for spilled join queries in the Presto database system. The main purpose of this code is to create and manage query runners that are used to execute distributed spilled join queries. This functionality contributes towards ensuring efficient execution of large scale data processing tasks.
The inputs include no specific details about what these input could be</t>
        </is>
      </c>
      <c r="M1497" t="n">
        <v>0.0035</v>
      </c>
      <c r="N1497" t="n">
        <v>0.0526</v>
      </c>
      <c r="O1497" t="n">
        <v>0.1429</v>
      </c>
    </row>
    <row r="1498">
      <c r="A1498" t="inlineStr">
        <is>
          <t>presto</t>
        </is>
      </c>
      <c r="B1498" t="inlineStr">
        <is>
          <t>presto-tests/src/test/java/com/facebook/presto/tests/TestHistoryBasedRetry.java</t>
        </is>
      </c>
      <c r="C1498">
        <f>HYPERLINK("https://github.com/prestodb/presto/blob/master/presto-tests/src/test/java/com/facebook/presto/tests/TestHistoryBasedRetry.java")</f>
        <v/>
      </c>
      <c r="D1498" t="inlineStr">
        <is>
          <t>The code provided is a Java program that sets up the environment for running tests on Presto, an open source distributed SQL query engine. It imports various packages and classes from different libraries to support its functionality. The main class seems to be QueryRunner which runs queries against a presto server using various plugins such as TpchPlugin. This setup allows testing of complex algorithms implemented by other developers</t>
        </is>
      </c>
      <c r="E1498" t="n">
        <v>0.0032</v>
      </c>
      <c r="F1498" t="n">
        <v>0.0526</v>
      </c>
      <c r="G1498" t="n">
        <v>0.1429</v>
      </c>
      <c r="H1498" t="inlineStr">
        <is>
          <t>The provided code is a Java class that implements the Presto plugin interface for querying data from various sources including TPC-H benchmark datasets. The complexity of this implementation is O(N), where N refers to the number of queries processed by the system. It includes methods related to handling different types of plugins and executing SQL queries against these plugins.
It also contains classes for managing</t>
        </is>
      </c>
      <c r="I1498" t="n">
        <v>0.0033</v>
      </c>
      <c r="J1498" t="n">
        <v>0.08</v>
      </c>
      <c r="K1498" t="n">
        <v>0.1095</v>
      </c>
      <c r="L1498" t="inlineStr">
        <is>
          <t>The provided code is a Java implementation of the Presto SQL query engine. It's designed to handle complex queries and provides various functionalities related to managing sessions, executing basic queries, handling statistics for plan optimization, and integrating with different plugins like TPC-H plugin.
Main Purpose: This software serves as an interface between users (like data analysts or developers)</t>
        </is>
      </c>
      <c r="M1498" t="n">
        <v>0.0074</v>
      </c>
      <c r="N1498" t="n">
        <v>0.0882</v>
      </c>
      <c r="O1498" t="n">
        <v>0.2862</v>
      </c>
    </row>
    <row r="1499">
      <c r="A1499" t="inlineStr">
        <is>
          <t>presto</t>
        </is>
      </c>
      <c r="B1499" t="inlineStr">
        <is>
          <t>presto-tests/src/test/java/com/facebook/presto/tests/TestTupleDomainFilterUtils.java</t>
        </is>
      </c>
      <c r="C1499">
        <f>HYPERLINK("https://github.com/prestodb/presto/blob/master/presto-tests/src/test/java/com/facebook/presto/tests/TestTupleDomainFilterUtils.java")</f>
        <v/>
      </c>
      <c r="D1499" t="inlineStr">
        <is>
          <t>The provided code is a Java implementation of core algorithms used in the Presto project from Facebook. It's licensed under Apache License 2.0 and it seems to be dealing with predicates or conditions related to data filtering and partitioning for distributed databases like Hadoop. The complexity appears to be O(N), indicating that its performance may scale linearly with input size N</t>
        </is>
      </c>
      <c r="E1499" t="n">
        <v>0.0036</v>
      </c>
      <c r="F1499" t="n">
        <v>0.0833</v>
      </c>
      <c r="G1499" t="n">
        <v>0.1504</v>
      </c>
      <c r="H1499" t="inlineStr">
        <is>
          <t>The function provided is a simple addition operation between two numbers 'a' and 'b'. It returns the sum of these two numbers. The time complexity of this function is O(1), meaning it performs a constant number of operations regardless of input size.
&lt;jupyter_text&gt;
Task 4: Code Refactoring (5 points)Refactor the code to improve</t>
        </is>
      </c>
      <c r="I1499" t="n">
        <v>0.0035</v>
      </c>
      <c r="J1499" t="n">
        <v>0.0625</v>
      </c>
      <c r="K1499" t="n">
        <v>0.16</v>
      </c>
      <c r="L1499" t="inlineStr">
        <is>
          <t>The provided code is a part of Facebook's Presto project and it deals with the domain filtering for data processing tasks in distributed computing environments. The main purpose of this module seems to be managing predicates or conditions that restrict which parts of large datasets are processed by querying engines like Hadoop MapReduce.
It uses various classes from com.facebook.presto</t>
        </is>
      </c>
      <c r="M1499" t="n">
        <v>0.0037</v>
      </c>
      <c r="N1499" t="n">
        <v>0.0571</v>
      </c>
      <c r="O1499" t="n">
        <v>0.1527</v>
      </c>
    </row>
    <row r="1500">
      <c r="A1500" t="inlineStr">
        <is>
          <t>presto</t>
        </is>
      </c>
      <c r="B1500" t="inlineStr">
        <is>
          <t>presto-tests/src/test/java/com/facebook/presto/tests/TestSslContextProvider.java</t>
        </is>
      </c>
      <c r="C1500">
        <f>HYPERLINK("https://github.com/prestodb/presto/blob/master/presto-tests/src/test/java/com/facebook/presto/tests/TestSslContextProvider.java")</f>
        <v/>
      </c>
      <c r="D1500" t="inlineStr">
        <is>
          <t>The provided code is a Java implementation of the Apache License 2.0 (the "License"). It includes several classes and interfaces for testing Presto plugins using TestNG framework. The license requires compliance with any modifications made to this software or its distribution.
It provides functionality related to SSL context provider in Facebook's Presto database system. This class might be used as part</t>
        </is>
      </c>
      <c r="E1500" t="n">
        <v>0.0042</v>
      </c>
      <c r="F1500" t="n">
        <v>0.08450000000000001</v>
      </c>
      <c r="G1500" t="n">
        <v>0.188</v>
      </c>
      <c r="H1500" t="inlineStr">
        <is>
          <t>The code provided is a simple function named add that takes two parameters and returns their sum. The complexity of this operation is O(1), meaning it performs the addition in constant time regardless of the size of the input numbers. This means there are no loops or other operations that scale with the size of the inputs.
```python
def add(a, b):  # Function to</t>
        </is>
      </c>
      <c r="I1500" t="n">
        <v>0.0034</v>
      </c>
      <c r="J1500" t="n">
        <v>0.0548</v>
      </c>
      <c r="K1500" t="n">
        <v>0.1103</v>
      </c>
      <c r="L1500" t="inlineStr">
        <is>
          <t>The code provided is a test suite for Presto SQL query execution using TestNG framework in Java language. It tests the functionality of SSL key store management and its usage during database connection setup. The main purpose of this code is to validate that the correct implementation of SSL context provider allows secure communication between client applications (like Presto) and server databases.
It uses Apache License</t>
        </is>
      </c>
      <c r="M1500" t="n">
        <v>0.0033</v>
      </c>
      <c r="N1500" t="n">
        <v>0.08110000000000001</v>
      </c>
      <c r="O1500" t="n">
        <v>0.1449</v>
      </c>
    </row>
    <row r="1501">
      <c r="A1501" t="inlineStr">
        <is>
          <t>presto</t>
        </is>
      </c>
      <c r="B1501" t="inlineStr">
        <is>
          <t>presto-tests/src/test/java/com/facebook/presto/tests/TestSetWorkerSessionPropertiesExcludingInvalidProperties.java</t>
        </is>
      </c>
      <c r="C1501">
        <f>HYPERLINK("https://github.com/prestodb/presto/blob/master/presto-tests/src/test/java/com/facebook/presto/tests/TestSetWorkerSessionPropertiesExcludingInvalidProperties.java")</f>
        <v/>
      </c>
      <c r="D1501" t="inlineStr">
        <is>
          <t>The provided code is a test class for the Presto project on Facebook's backend software components. It tests setting worker session properties excluding invalid ones. The Apache License 2.0 is applied to this code indicating its open source nature and usage restrictions. This code has been written in Java language.
It defines an abstract base class "AbstractReadMe", which seems to be</t>
        </is>
      </c>
      <c r="E1501" t="n">
        <v>0.0039</v>
      </c>
      <c r="F1501" t="n">
        <v>0.0563</v>
      </c>
      <c r="G1501" t="n">
        <v>0.1128</v>
      </c>
      <c r="H1501" t="inlineStr">
        <is>
          <t>The code you provided is a Java class named `TestSetWorkerSessionPropertiesExcludingInvalidProperties` that extends an abstract base class called `AbsTes`. This class appears to be part of the Presto project's testing suite for its distributed SQL query engine. The main purpose of this test seems to be setting worker session properties excluding invalid ones.
In terms</t>
        </is>
      </c>
      <c r="I1501" t="n">
        <v>0.0034</v>
      </c>
      <c r="J1501" t="n">
        <v>0.0317</v>
      </c>
      <c r="K1501" t="n">
        <v>0.0794</v>
      </c>
      <c r="L1501" t="inlineStr">
        <is>
          <t>The code you provided is a Java test class for Presto SQL query testing using TestNG framework from Facebook's presto project. The main purpose of this class seems to be to set worker session properties excluding invalid ones and then validate the results with assertions.
Here are some key operations and control flow points identified in the logic: 
1. Import necessary libraries</t>
        </is>
      </c>
      <c r="M1501" t="n">
        <v>0.0029</v>
      </c>
      <c r="N1501" t="n">
        <v>0.08450000000000001</v>
      </c>
      <c r="O1501" t="n">
        <v>0.1119</v>
      </c>
    </row>
    <row r="1502">
      <c r="A1502" t="inlineStr">
        <is>
          <t>presto</t>
        </is>
      </c>
      <c r="B1502" t="inlineStr">
        <is>
          <t>presto-tests/src/test/java/com/facebook/presto/tests/TestNoisyAggregations.java</t>
        </is>
      </c>
      <c r="C1502">
        <f>HYPERLINK("https://github.com/prestodb/presto/blob/master/presto-tests/src/test/java/com/facebook/presto/tests/TestNoisyAggregations.java")</f>
        <v/>
      </c>
      <c r="D1502" t="inlineStr">
        <is>
          <t>The provided code is a Java test class for the Presto project on Facebook's GitHub repository (https://github.com/prestodb/presto). The purpose of this class appears to be testing noisy aggregation functions in SQL queries using an Apache License 2.0. It imports necessary classes and packages from other projects like presto-testing and presto-</t>
        </is>
      </c>
      <c r="E1502" t="n">
        <v>0.0037</v>
      </c>
      <c r="F1502" t="n">
        <v>0.09229999999999999</v>
      </c>
      <c r="G1502" t="n">
        <v>0.123</v>
      </c>
      <c r="H1502" t="inlineStr">
        <is>
          <t>The function provided is a simple addition operation between two numbers 'a' and 'b'. It returns the sum of these two inputs. The functionality of this code can be summarised as follows: "Accepts two parameters (numbers), adds them together, and then returns the result."
In terms of complexity, it has O(1). This means that its time or space complexity</t>
        </is>
      </c>
      <c r="I1502" t="n">
        <v>0.0041</v>
      </c>
      <c r="J1502" t="n">
        <v>0.0588</v>
      </c>
      <c r="K1502" t="n">
        <v>0.1527</v>
      </c>
      <c r="L1502" t="inlineStr">
        <is>
          <t>The provided code is a test suite for Presto (a SQL engine) that tests the functionality of noisy aggregates. It's written in Java and uses TestNG as its testing framework. The purpose of this suite is to validate whether the implementation of core algorithms correctly handles noisy data during aggregate operations.
Here are some key details about the code:
1. `@</t>
        </is>
      </c>
      <c r="M1502" t="n">
        <v>0.0039</v>
      </c>
      <c r="N1502" t="n">
        <v>0.08699999999999999</v>
      </c>
      <c r="O1502" t="n">
        <v>0.188</v>
      </c>
    </row>
    <row r="1503">
      <c r="A1503" t="inlineStr">
        <is>
          <t>presto</t>
        </is>
      </c>
      <c r="B1503" t="inlineStr">
        <is>
          <t>presto-tests/src/test/java/com/facebook/presto/tests/TestSpilledOrderByQueriesWithTemporaryStorage.java</t>
        </is>
      </c>
      <c r="C1503">
        <f>HYPERLINK("https://github.com/prestodb/presto/blob/master/presto-tests/src/test/java/com/facebook/presto/tests/TestSpilledOrderByQueriesWithTemporaryStorage.java")</f>
        <v/>
      </c>
      <c r="D1503" t="inlineStr">
        <is>
          <t>```java
// Licensed under the Apache License, Version 2.0 (the "License");
// you may not use this file except in compliance with the License.
// You can obtain a copy of the License at http://www.apache.org/licenses/LICENSE-2.0
// Unless required by applicable law or agreed to in writing,</t>
        </is>
      </c>
      <c r="E1503" t="n">
        <v>0</v>
      </c>
      <c r="F1503" t="n">
        <v>0.0345</v>
      </c>
      <c r="G1503" t="n">
        <v>0.0847</v>
      </c>
      <c r="H1503" t="inlineStr">
        <is>
          <t>The function `add` takes two parameters (numbers a and b), adds them together, and returns the result. The functionality of this code is to add numbers. It has O(1) time complexity as it performs a single operation regardless of input size.
Please provide your own example for further clarification or if you have any other pieces of code that need summarizing.</t>
        </is>
      </c>
      <c r="I1503" t="n">
        <v>0.0036</v>
      </c>
      <c r="J1503" t="n">
        <v>0.0571</v>
      </c>
      <c r="K1503" t="n">
        <v>0.1128</v>
      </c>
      <c r="L1503" t="inlineStr">
        <is>
          <t>The provided code is a Java class named `TestSpilledOrderByQueriesWithTemporaryStorage` that extends the abstract base test class `TestSpilledOrderByQueries`. This class tests queries with spill and order by operations using temporary storage. The purpose of this code seems to be testing distributed query execution in Presto SQL for scenarios involving large data sets or</t>
        </is>
      </c>
      <c r="M1503" t="n">
        <v>0.0042</v>
      </c>
      <c r="N1503" t="n">
        <v>0.0667</v>
      </c>
      <c r="O1503" t="n">
        <v>0.121</v>
      </c>
    </row>
    <row r="1504">
      <c r="A1504" t="inlineStr">
        <is>
          <t>presto</t>
        </is>
      </c>
      <c r="B1504" t="inlineStr">
        <is>
          <t>presto-tests/src/test/java/com/facebook/presto/tests/TestProcedureCreation.java</t>
        </is>
      </c>
      <c r="C1504">
        <f>HYPERLINK("https://github.com/prestodb/presto/blob/master/presto-tests/src/test/java/com/facebook/presto/tests/TestProcedureCreation.java")</f>
        <v/>
      </c>
      <c r="D1504" t="inlineStr">
        <is>
          <t>The code provided is a Java implementation of Presto - an open source distributed SQL query engine for big data. The Apache License 2.0 is applied to this project which allows anyone to use the software in any way they want as long as it complies with its terms and conditions. This includes redistribution under certain conditions.
There are several classes defined within this package (</t>
        </is>
      </c>
      <c r="E1504" t="n">
        <v>0.0036</v>
      </c>
      <c r="F1504" t="n">
        <v>0.0822</v>
      </c>
      <c r="G1504" t="n">
        <v>0.1812</v>
      </c>
      <c r="H1504" t="inlineStr">
        <is>
          <t>The provided code is a Java method for adding two numbers (`a` and `b`). It uses the standard addition operator to perform this operation. The time complexity of this function is O(1), meaning it takes constant time regardless of input size. This means that no matter how large these numbers are, performing an addition will always take approximately the same amount of time.
In</t>
        </is>
      </c>
      <c r="I1504" t="n">
        <v>0.0034</v>
      </c>
      <c r="J1504" t="n">
        <v>0.0548</v>
      </c>
      <c r="K1504" t="n">
        <v>0.1103</v>
      </c>
      <c r="L1504" t="inlineStr">
        <is>
          <t>The code provided is a part of the Presto SQL project's source code. It defines two classes that extend from abstract base classes for distributed procedures and table data rewrite distributed procedures respectively. 
These classes are used to define custom procedures in Presto SQL which can be called within queries like `CALL procedure_name()`. The purpose of these classes seems to be to</t>
        </is>
      </c>
      <c r="M1504" t="n">
        <v>0.0029</v>
      </c>
      <c r="N1504" t="n">
        <v>0.0278</v>
      </c>
      <c r="O1504" t="n">
        <v>0.0746</v>
      </c>
    </row>
    <row r="1505">
      <c r="A1505" t="inlineStr">
        <is>
          <t>presto</t>
        </is>
      </c>
      <c r="B1505" t="inlineStr">
        <is>
          <t>presto-tests/src/test/java/com/facebook/presto/tests/TestTpchTaskUpdateSizeLimitIntegrationTest.java</t>
        </is>
      </c>
      <c r="C1505">
        <f>HYPERLINK("https://github.com/prestodb/presto/blob/master/presto-tests/src/test/java/com/facebook/presto/tests/TestTpchTaskUpdateSizeLimitIntegrationTest.java")</f>
        <v/>
      </c>
      <c r="D1505" t="inlineStr">
        <is>
          <t>The code provided is a Java class that tests the functionality of TPC-H queries using an integration test framework from Presto, Facebook's distributed SQL query engine. The Apache License 2.0 is applied to this project which allows anyone to use it for any purpose, subject to conditions stated in the license at http://www.apache.org/licenses/LICENSE-2</t>
        </is>
      </c>
      <c r="E1505" t="n">
        <v>0.0035</v>
      </c>
      <c r="F1505" t="n">
        <v>0.0286</v>
      </c>
      <c r="G1505" t="n">
        <v>0.08</v>
      </c>
      <c r="H1505" t="inlineStr">
        <is>
          <t>The code provided is a Java class that extends an abstract test framework for running queries against the TPC-H benchmark dataset using Presto as its query engine. The `createQueryRunner` method in this class returns a new instance of TpchQueryRunner which is responsible for executing SQL queries on the TPC-H data set and returning results.
This class also includes several</t>
        </is>
      </c>
      <c r="I1505" t="n">
        <v>0.0037</v>
      </c>
      <c r="J1505" t="n">
        <v>0.058</v>
      </c>
      <c r="K1505" t="n">
        <v>0.1145</v>
      </c>
      <c r="L1505" t="inlineStr">
        <is>
          <t>The provided code is a Java test class for an integration test in Presto, which is a distributed SQL query engine used by Facebook and its community to run interactive analytic queries against various data sources such as Hadoop.
The main purpose of this code is to test the TPC-H task update size limit functionality. The `createQueryRunner` method creates an instance of QueryRunner</t>
        </is>
      </c>
      <c r="M1505" t="n">
        <v>0.0029</v>
      </c>
      <c r="N1505" t="n">
        <v>0.0556</v>
      </c>
      <c r="O1505" t="n">
        <v>0.1111</v>
      </c>
    </row>
    <row r="1506">
      <c r="A1506" t="inlineStr">
        <is>
          <t>presto</t>
        </is>
      </c>
      <c r="B1506" t="inlineStr">
        <is>
          <t>presto-tests/src/test/java/com/facebook/presto/tests/TestEnums.java</t>
        </is>
      </c>
      <c r="C1506">
        <f>HYPERLINK("https://github.com/prestodb/presto/blob/master/presto-tests/src/test/java/com/facebook/presto/tests/TestEnums.java")</f>
        <v/>
      </c>
      <c r="D1506" t="inlineStr">
        <is>
          <t>The code provided is a Java implementation of core algorithms and data structures used in the Presto project by Facebook. It includes various classes for managing sessions, handling qualified object names (which are essentially identifiers with schema information), dealing with type signatures and user defined types, as well as enum maps for BigInts and Varchars. The license at the top indicates that this software can be red</t>
        </is>
      </c>
      <c r="E1506" t="n">
        <v>0.0036</v>
      </c>
      <c r="F1506" t="n">
        <v>0.08</v>
      </c>
      <c r="G1506" t="n">
        <v>0.3068</v>
      </c>
      <c r="H1506" t="inlineStr">
        <is>
          <t>The provided code is a Java function that adds two numbers together using the + operator. The functionality of this code can be summarized as follows:
It takes in two parameters (numbers), performs an addition operation on them and returns the result. This function does not use any external libraries or packages beyond those required for basic operations like arithmetic calculations. It has time complexity O(1</t>
        </is>
      </c>
      <c r="I1506" t="n">
        <v>0.0036</v>
      </c>
      <c r="J1506" t="n">
        <v>0.0541</v>
      </c>
      <c r="K1506" t="n">
        <v>0.1087</v>
      </c>
      <c r="L1506" t="inlineStr">
        <is>
          <t>ThegivenJavaPrestoTestingcodeusesFacebook'sPrestoframeworktostestSQLqueriesagainstdatabases.Itemploysaholeyarchicalstructureincludingclassesforhandlingdifferenttypesofdata.MainpurposetothecodetoestablishconnectionbetweenPrestosessionandsomekindofdatabaseusingJDBCdriver. The code also includes classes for handling</t>
        </is>
      </c>
      <c r="M1506" t="n">
        <v>0</v>
      </c>
      <c r="N1506" t="n">
        <v>0</v>
      </c>
      <c r="O1506" t="n">
        <v>0</v>
      </c>
    </row>
    <row r="1507">
      <c r="A1507" t="inlineStr">
        <is>
          <t>presto</t>
        </is>
      </c>
      <c r="B1507" t="inlineStr">
        <is>
          <t>presto-tests/src/test/java/com/facebook/presto/tests/BlackHoleQueryRunner.java</t>
        </is>
      </c>
      <c r="C1507">
        <f>HYPERLINK("https://github.com/prestodb/presto/blob/master/presto-tests/src/test/java/com/facebook/presto/tests/BlackHoleQueryRunner.java")</f>
        <v/>
      </c>
      <c r="D1507" t="inlineStr">
        <is>
          <t>The code provided appears to be a Java program that initializes and configures the environment for running tests on an application using Facebook's Presto framework. It sets up logging, registers plugins (including BlackHole and TPCH), creates a session object, and handles closing resources gracefully. The complexity of this code is O(N).
# Licensing Information</t>
        </is>
      </c>
      <c r="E1507" t="n">
        <v>0.0034</v>
      </c>
      <c r="F1507" t="n">
        <v>0.0317</v>
      </c>
      <c r="G1507" t="n">
        <v>0.119</v>
      </c>
      <c r="H1507" t="inlineStr">
        <is>
          <t>The provided code is a Java program that sets up logging for the Presto project by Facebook. It imports necessary classes and packages from their libraries to use in its tests. The main function of this class seems not to be defined as it's commented out at the end of the file.
It also contains Apache License 2.0 information which states that you can copy,</t>
        </is>
      </c>
      <c r="I1507" t="n">
        <v>0.0028</v>
      </c>
      <c r="J1507" t="n">
        <v>0.0267</v>
      </c>
      <c r="K1507" t="n">
        <v>0.1095</v>
      </c>
      <c r="L1507" t="inlineStr">
        <is>
          <t>The code provided is a part of the Presto SQL query engine's test suite. It sets up and tears down an environment for running tests on different plugins such as BlackHolePlugin (a plugin that provides testing capabilities) and TpchPlugin (which represents data from the TPC-H benchmark). The setup involves creating a session object with specific configurations, loading plugins, initializing</t>
        </is>
      </c>
      <c r="M1507" t="n">
        <v>0.0031</v>
      </c>
      <c r="N1507" t="n">
        <v>0.029</v>
      </c>
      <c r="O1507" t="n">
        <v>0.07630000000000001</v>
      </c>
    </row>
    <row r="1508">
      <c r="A1508" t="inlineStr">
        <is>
          <t>presto</t>
        </is>
      </c>
      <c r="B1508" t="inlineStr">
        <is>
          <t>presto-tests/src/test/java/com/facebook/presto/tests/TestMinWorkerRequirement.java</t>
        </is>
      </c>
      <c r="C1508">
        <f>HYPERLINK("https://github.com/prestodb/presto/blob/master/presto-tests/src/test/java/com/facebook/presto/tests/TestMinWorkerRequirement.java")</f>
        <v/>
      </c>
      <c r="D1508" t="inlineStr">
        <is>
          <t>The provided code is a Java test class for running TPC-H queries using Presto. It uses the TestNG framework and contains several assertions to verify correctness of query results. The Apache License 2.0 is applied to this project which requires any derivative work to also be licensed under the same terms. This means that if you modify or use parts of these tests in your own</t>
        </is>
      </c>
      <c r="E1508" t="n">
        <v>0.0033</v>
      </c>
      <c r="F1508" t="n">
        <v>0.0263</v>
      </c>
      <c r="G1508" t="n">
        <v>0.1087</v>
      </c>
      <c r="H1508" t="inlineStr">
        <is>
          <t>The provided code is a Java function named add that takes two parameters and returns their sum. It's part of the Presto project which is used for data processing in Hadoop ecosystem. The complexity of this operation is O(1), meaning it always executes in constant time regardless of input size.
&lt;jupyter_output&gt;
&lt;empty_output&gt;</t>
        </is>
      </c>
      <c r="I1508" t="n">
        <v>0.0035</v>
      </c>
      <c r="J1508" t="n">
        <v>0.0625</v>
      </c>
      <c r="K1508" t="n">
        <v>0.121</v>
      </c>
      <c r="L1508" t="inlineStr">
        <is>
          <t>The provided code is a Java test class for an application that uses the TestNG testing framework to run TPC-H queries against a presto database. The main purpose of this class seems to be executing various tests on different types of SQL queries and asserting their results match expected values. 
There are two key operations in this code: (i) building a query runner with specific</t>
        </is>
      </c>
      <c r="M1508" t="n">
        <v>0.0028</v>
      </c>
      <c r="N1508" t="n">
        <v>0.0541</v>
      </c>
      <c r="O1508" t="n">
        <v>0.1095</v>
      </c>
    </row>
    <row r="1509">
      <c r="A1509" t="inlineStr">
        <is>
          <t>presto</t>
        </is>
      </c>
      <c r="B1509" t="inlineStr">
        <is>
          <t>presto-tests/src/test/java/com/facebook/presto/tests/TestLocalQueryRunner.java</t>
        </is>
      </c>
      <c r="C1509">
        <f>HYPERLINK("https://github.com/prestodb/presto/blob/master/presto-tests/src/test/java/com/facebook/presto/tests/TestLocalQueryRunner.java")</f>
        <v/>
      </c>
      <c r="D1509" t="inlineStr">
        <is>
          <t>The code provided is a Java class that tests the functionality of Presto, an open-source distributed SQL query engine for big data. It uses TestNG framework to test queries and asserts their results against expected values. The code has Apache License 2.0 which means it's free to use but requires attribution if used in any way other than compliance with the license terms.</t>
        </is>
      </c>
      <c r="E1509" t="n">
        <v>0.0034</v>
      </c>
      <c r="F1509" t="n">
        <v>0.0541</v>
      </c>
      <c r="G1509" t="n">
        <v>0.0741</v>
      </c>
      <c r="H1509" t="inlineStr">
        <is>
          <t>The code provided is a simple function for addition of two numbers in Java named "add". It takes two parameters 'a' and 'b', performs the operation of adding them together and returns the result. The time complexity of this function is O(1), meaning it always executes in constant time regardless of the size of input data.
In terms of license information at the top of</t>
        </is>
      </c>
      <c r="I1509" t="n">
        <v>0.0028</v>
      </c>
      <c r="J1509" t="n">
        <v>0.0541</v>
      </c>
      <c r="K1509" t="n">
        <v>0.1095</v>
      </c>
      <c r="L1509" t="inlineStr">
        <is>
          <t>The provided code is a part of the Presto testing framework for SQL queries in Java. It's designed to test and validate SQL query results against expected outcomes. The main purpose of this class seems to be executing SELECT statements on specific tables with different access levels (i.e., privileges). 
It uses TestNG annotations (@Test) for defining tests which are run by</t>
        </is>
      </c>
      <c r="M1509" t="n">
        <v>0.003</v>
      </c>
      <c r="N1509" t="n">
        <v>0.0282</v>
      </c>
      <c r="O1509" t="n">
        <v>0.1128</v>
      </c>
    </row>
    <row r="1510">
      <c r="A1510" t="inlineStr">
        <is>
          <t>presto</t>
        </is>
      </c>
      <c r="B1510" t="inlineStr">
        <is>
          <t>presto-tests/src/test/java/com/facebook/presto/tests/TestSqlFunctions.java</t>
        </is>
      </c>
      <c r="C1510">
        <f>HYPERLINK("https://github.com/prestodb/presto/blob/master/presto-tests/src/test/java/com/facebook/presto/tests/TestSqlFunctions.java")</f>
        <v/>
      </c>
      <c r="D1510" t="inlineStr">
        <is>
          <t>```java
// Licensed under the Apache License, Version 2.0 (the "License");
// you may not use this file except in compliance with the License.
// You can obtain a copy of the License at http://www.apache.org/licenses/LICENSE-2.0
// Unless required by applicable law or agreed to in writing,</t>
        </is>
      </c>
      <c r="E1510" t="n">
        <v>0</v>
      </c>
      <c r="F1510" t="n">
        <v>0.0345</v>
      </c>
      <c r="G1510" t="n">
        <v>0.0847</v>
      </c>
      <c r="H1510" t="inlineStr">
        <is>
          <t>The code you provided is a Java function for adding two numbers (integers or floating point numbers). The functionality of this function can be summarized as follows:
```java
// Licensed under the Apache License, Version 2.0 (the "License");
// you may not use this file except in compliance with the License.
// You may obtain a copy of the</t>
        </is>
      </c>
      <c r="I1510" t="n">
        <v>0.0031</v>
      </c>
      <c r="J1510" t="n">
        <v>0.0615</v>
      </c>
      <c r="K1510" t="n">
        <v>0.07630000000000001</v>
      </c>
      <c r="L1510" t="inlineStr">
        <is>
          <t>The code you provided is a part of the Presto SQL project in Java. It appears to be implementing custom functions for user defined types (UDT) and invoking them using reflection.
Here's an overview of its functionality: 
It defines a class `CustomFunctionManager` that manages UDTs by registering their type signatures with the SqlInvoked</t>
        </is>
      </c>
      <c r="M1510" t="n">
        <v>0.0035</v>
      </c>
      <c r="N1510" t="n">
        <v>0.0968</v>
      </c>
      <c r="O1510" t="n">
        <v>0.12</v>
      </c>
    </row>
    <row r="1511">
      <c r="A1511" t="inlineStr">
        <is>
          <t>presto</t>
        </is>
      </c>
      <c r="B1511" t="inlineStr">
        <is>
          <t>presto-tests/src/test/java/com/facebook/presto/tests/TestDictionaryAggregation.java</t>
        </is>
      </c>
      <c r="C1511">
        <f>HYPERLINK("https://github.com/prestodb/presto/blob/master/presto-tests/src/test/java/com/facebook/presto/tests/TestDictionaryAggregation.java")</f>
        <v/>
      </c>
      <c r="D1511" t="inlineStr">
        <is>
          <t>The code provided is a Java implementation of tests for the Presto SQL query engine. It uses TestNG as its testing framework and includes several test cases related to TPC-H (Transaction Processing Performance Council - Hadoop), which is a set of benchmark queries used in the performance evaluation of data warehousing systems. The license under Apache License 2.0 specifies that users can use</t>
        </is>
      </c>
      <c r="E1511" t="n">
        <v>0.0029</v>
      </c>
      <c r="F1511" t="n">
        <v>0.0556</v>
      </c>
      <c r="G1511" t="n">
        <v>0.1111</v>
      </c>
      <c r="H1511" t="inlineStr">
        <is>
          <t>The code you provided is a simple function that performs addition of two numbers in Python. The functionality of this code can be summarized as follows: It takes two parameters (numbers), adds them together and returns the result. This operation has a time complexity of O(1).
In terms of license details, it appears to be Apache License Version 2.0 which allows users to</t>
        </is>
      </c>
      <c r="I1511" t="n">
        <v>0.0038</v>
      </c>
      <c r="J1511" t="n">
        <v>0.0548</v>
      </c>
      <c r="K1511" t="n">
        <v>0.1111</v>
      </c>
      <c r="L1511" t="inlineStr">
        <is>
          <t>The provided code is a test suite for Presto SQL query execution using TestNG framework in Java language. The purpose of this code is to validate the performance and functionality of different algorithms implemented by Facebook's Presto database system against TPC-H benchmark queries.
The main operations performed are loading data from TPC-H schema into memory (using LocalQueryRunner) and</t>
        </is>
      </c>
      <c r="M1511" t="n">
        <v>0.0037</v>
      </c>
      <c r="N1511" t="n">
        <v>0.08699999999999999</v>
      </c>
      <c r="O1511" t="n">
        <v>0.1538</v>
      </c>
    </row>
    <row r="1512">
      <c r="A1512" t="inlineStr">
        <is>
          <t>presto</t>
        </is>
      </c>
      <c r="B1512" t="inlineStr">
        <is>
          <t>presto-tests/src/test/java/com/facebook/presto/tests/TestVerboseOptimizerInfo.java</t>
        </is>
      </c>
      <c r="C1512">
        <f>HYPERLINK("https://github.com/prestodb/presto/blob/master/presto-tests/src/test/java/com/facebook/presto/tests/TestVerboseOptimizerInfo.java")</f>
        <v/>
      </c>
      <c r="D1512" t="inlineStr">
        <is>
          <t>The code is a Java implementation of Presto SQL query runner and test framework for running queries against local data sources or remote connectors such as Hive, Cassandra etc., under Apache License 2.0. The license prohibits unauthorised use without compliance with the terms in the license agreement. It's distributed on an "AS IS" basis without warranties or conditions of</t>
        </is>
      </c>
      <c r="E1512" t="n">
        <v>0.0031</v>
      </c>
      <c r="F1512" t="n">
        <v>0.058</v>
      </c>
      <c r="G1512" t="n">
        <v>0.1145</v>
      </c>
      <c r="H1512" t="inlineStr">
        <is>
          <t>The provided code is a Java implementation of the add function which adds two numbers together and returns their sum. The time complexity of this operation is O(1), meaning it takes constant time to execute regardless of the size of input data. This function can be used in any context where you need to perform addition between two numerical values.
&lt;jupyter_text&gt;
Task 4</t>
        </is>
      </c>
      <c r="I1512" t="n">
        <v>0.0034</v>
      </c>
      <c r="J1512" t="n">
        <v>0.0822</v>
      </c>
      <c r="K1512" t="n">
        <v>0.1481</v>
      </c>
      <c r="L1512" t="inlineStr">
        <is>
          <t>The provided code is part of a Presto test suite for an analytics database system. It imports various packages and classes from the 'com.facebook.presto' package to support testing functionalities related to SQL queries in a distributed computing environment. The main purpose of this code seems to be setting up and running tests on a local query runner using TPC-H benchmark data.</t>
        </is>
      </c>
      <c r="M1512" t="n">
        <v>0.003</v>
      </c>
      <c r="N1512" t="n">
        <v>0.0556</v>
      </c>
      <c r="O1512" t="n">
        <v>0.1128</v>
      </c>
    </row>
    <row r="1513">
      <c r="A1513" t="inlineStr">
        <is>
          <t>presto</t>
        </is>
      </c>
      <c r="B1513" t="inlineStr">
        <is>
          <t>presto-tests/src/test/java/com/facebook/presto/tests/TestResourceGroupPerQueryLimitEnforcement.java</t>
        </is>
      </c>
      <c r="C1513">
        <f>HYPERLINK("https://github.com/prestodb/presto/blob/master/presto-tests/src/test/java/com/facebook/presto/tests/TestResourceGroupPerQueryLimitEnforcement.java")</f>
        <v/>
      </c>
      <c r="D1513" t="inlineStr">
        <is>
          <t>The code provided is a Java implementation of the Presto SQL query execution engine from Facebook. It includes imports for various classes related to managing dispatch and executing queries in an environment with resource groups configured through file resources. The license at the top indicates that this software can be used under certain conditions as specified by Apache License 2.0.
# Code Summary
```java
//</t>
        </is>
      </c>
      <c r="E1513" t="n">
        <v>0.0033</v>
      </c>
      <c r="F1513" t="n">
        <v>0.0556</v>
      </c>
      <c r="G1513" t="n">
        <v>0.2715</v>
      </c>
      <c r="H1513" t="inlineStr">
        <is>
          <t>The code provided is a Java program that imports several classes from the Presto project for testing purposes. It's licensed under Apache License 2.0 and contains comments explaining its functionality and any limitations. The main class being imported appears to be `com.facebook.presto.tests.tpch.TpchQueryRunner` which seems to handle running TPC-H</t>
        </is>
      </c>
      <c r="I1513" t="n">
        <v>0.0081</v>
      </c>
      <c r="J1513" t="n">
        <v>0.0625</v>
      </c>
      <c r="K1513" t="n">
        <v>0.1563</v>
      </c>
      <c r="L1513" t="inlineStr">
        <is>
          <t>The provided code is a part of the Presto SQL query execution system. It imports several classes from different packages and creates instances of these classes to manage various aspects of query execution such as dispatching tasks, managing queries, configuring resource groups for file resources, etc. The main purpose of this module seems to be executing TPC-H benchmark queries on an underlying data source using Prest</t>
        </is>
      </c>
      <c r="M1513" t="n">
        <v>0.0033</v>
      </c>
      <c r="N1513" t="n">
        <v>0.0533</v>
      </c>
      <c r="O1513" t="n">
        <v>0.1449</v>
      </c>
    </row>
    <row r="1514">
      <c r="A1514" t="inlineStr">
        <is>
          <t>presto</t>
        </is>
      </c>
      <c r="B1514" t="inlineStr">
        <is>
          <t>presto-tests/src/test/java/com/facebook/presto/tests/TestSmileSupport.java</t>
        </is>
      </c>
      <c r="C1514">
        <f>HYPERLINK("https://github.com/prestodb/presto/blob/master/presto-tests/src/test/java/com/facebook/presto/tests/TestSmileSupport.java")</f>
        <v/>
      </c>
      <c r="D1514" t="inlineStr">
        <is>
          <t>The provided code is a test case for the Smile Support feature of Presto, an open source distributed SQL query engine. The test runs TPCH Q6 (a complex analytical query from the TPC-H benchmark suite), with smile enabled to perform smoke tests on smile support. It uses TestNG framework for testing and Apache License 2.0 as its license.</t>
        </is>
      </c>
      <c r="E1514" t="n">
        <v>0.0031</v>
      </c>
      <c r="F1514" t="n">
        <v>0.0294</v>
      </c>
      <c r="G1514" t="n">
        <v>0.0769</v>
      </c>
      <c r="H1514" t="inlineStr">
        <is>
          <t>The provided code is a Java class named `TestSmileSupport` with a method called `smokeTestSmileSupport` that tests the functionality of Smile (a data serialization library). The test runs TPCH Q6 query using smile enabled to smoke test smile support. 
It's licensed under Apache License Version 2.0 and it uses TestNG for</t>
        </is>
      </c>
      <c r="I1514" t="n">
        <v>0.0044</v>
      </c>
      <c r="J1514" t="n">
        <v>0.0667</v>
      </c>
      <c r="K1514" t="n">
        <v>0.082</v>
      </c>
      <c r="L1514" t="inlineStr">
        <is>
          <t>The provided code is a test case for the Smile Support feature in Presto, an open-source distributed SQL query engine. The purpose of this test is to verify that when Smile (a machine learning library) is enabled and used with Presto, it can execute TPCH Q6 queries successfully without throwing any exceptions.
Here's a summary of its functionality</t>
        </is>
      </c>
      <c r="M1514" t="n">
        <v>0.0037</v>
      </c>
      <c r="N1514" t="n">
        <v>0.0588</v>
      </c>
      <c r="O1514" t="n">
        <v>0.1154</v>
      </c>
    </row>
    <row r="1515">
      <c r="A1515" t="inlineStr">
        <is>
          <t>presto</t>
        </is>
      </c>
      <c r="B1515" t="inlineStr">
        <is>
          <t>presto-tests/src/test/java/com/facebook/presto/tests/TestQueryManager.java</t>
        </is>
      </c>
      <c r="C1515">
        <f>HYPERLINK("https://github.com/prestodb/presto/blob/master/presto-tests/src/test/java/com/facebook/presto/tests/TestQueryManager.java")</f>
        <v/>
      </c>
      <c r="D1515" t="inlineStr">
        <is>
          <t>The code provided is a Java implementation of core algorithms used in the Presto project by Facebook. The Apache License 2.0 details are present at the top indicating that this software can be freely distributed and modified under certain conditions. It's not clear what specific functionality or tests it provides as there isn't any actual code to summarize.
# Please provide the solution for</t>
        </is>
      </c>
      <c r="E1515" t="n">
        <v>0.004</v>
      </c>
      <c r="F1515" t="n">
        <v>0.08110000000000001</v>
      </c>
      <c r="G1515" t="n">
        <v>0.3135</v>
      </c>
      <c r="H1515" t="inlineStr">
        <is>
          <t>The code provided is a simple function that adds two numbers together. It takes in parameters 'a' and 'b', performs the addition operation on them and returns the result. The time complexity of this function is O(1), meaning it only executes one fixed number of operations regardless of the size of input data.
The Apache License 2.0 applies to this code as per</t>
        </is>
      </c>
      <c r="I1515" t="n">
        <v>0.0029</v>
      </c>
      <c r="J1515" t="n">
        <v>0.0548</v>
      </c>
      <c r="K1515" t="n">
        <v>0.1111</v>
      </c>
      <c r="L1515" t="inlineStr">
        <is>
          <t>The given code is a part of Facebook's Presto SQL query execution framework. It imports various necessary classes and packages for the functionality to work properly. The main purpose seems to be running queries in an efficient manner by managing dispatching tasks and providing runtime statistics about them.
The function `runQueries` takes as input parameters - session (which represents user sessions) and</t>
        </is>
      </c>
      <c r="M1515" t="n">
        <v>0.0035</v>
      </c>
      <c r="N1515" t="n">
        <v>0.0571</v>
      </c>
      <c r="O1515" t="n">
        <v>0.0746</v>
      </c>
    </row>
    <row r="1516">
      <c r="A1516" t="inlineStr">
        <is>
          <t>presto</t>
        </is>
      </c>
      <c r="B1516" t="inlineStr">
        <is>
          <t>presto-tests/src/test/java/com/facebook/presto/tests/tpch/TpchQueryRunnerBuilder.java</t>
        </is>
      </c>
      <c r="C1516">
        <f>HYPERLINK("https://github.com/prestodb/presto/blob/master/presto-tests/src/test/java/com/facebook/presto/tests/tpch/TpchQueryRunnerBuilder.java")</f>
        <v/>
      </c>
      <c r="D1516" t="inlineStr">
        <is>
          <t>The code provided is a builder class for running TPC-H queries in the Presto framework from Facebook. The TPC-H benchmark suite includes standardized SQL scripts to test performance of different database management systems (DBMSs). This specific piece of code extends the Distributed Query Runner Builder and provides methods to build sessions with default settings. It also contains Apache License information at the top</t>
        </is>
      </c>
      <c r="E1516" t="n">
        <v>0.0034</v>
      </c>
      <c r="F1516" t="n">
        <v>0.0548</v>
      </c>
      <c r="G1516" t="n">
        <v>0.1111</v>
      </c>
      <c r="H1516" t="inlineStr">
        <is>
          <t>The code you provided is a Java class that extends the DistributedQueryRunner.Builder class from Presto, an open source distributed SQL query engine for big data processing. This particular class seems to be used in testing TPC-H queries against different backends (like Hadoop or Spark). The license at the top of this file states it's licensed under Apache License 2.</t>
        </is>
      </c>
      <c r="I1516" t="n">
        <v>0.0031</v>
      </c>
      <c r="J1516" t="n">
        <v>0.0286</v>
      </c>
      <c r="K1516" t="n">
        <v>0.07630000000000001</v>
      </c>
      <c r="L1516" t="inlineStr">
        <is>
          <t>The provided code is a Java class named TpchQueryRunnerBuilder that extends the DistributedQueryRunner.Builder class from Presto project's tpch module (a framework for running tests on distributed systems). This class seems to be used to build and execute queries against an external data source using JDBC connections. The main purpose of this class appears to be to configure and run</t>
        </is>
      </c>
      <c r="M1516" t="n">
        <v>0.0041</v>
      </c>
      <c r="N1516" t="n">
        <v>0.058</v>
      </c>
      <c r="O1516" t="n">
        <v>0.1527</v>
      </c>
    </row>
    <row r="1517">
      <c r="A1517" t="inlineStr">
        <is>
          <t>presto</t>
        </is>
      </c>
      <c r="B1517" t="inlineStr">
        <is>
          <t>presto-tests/src/test/java/com/facebook/presto/tests/tpch/TpchQueryRunner.java</t>
        </is>
      </c>
      <c r="C1517">
        <f>HYPERLINK("https://github.com/prestodb/presto/blob/master/presto-tests/src/test/java/com/facebook/presto/tests/tpch/TpchQueryRunner.java")</f>
        <v/>
      </c>
      <c r="D1517" t="inlineStr">
        <is>
          <t>The code provided is a utility class for running TPC-H queries using the Presto distributed query runner from Facebook's Airlift library. It provides a method to create an instance of DistributedQueryRunner which can be used to execute SQL queries against data stored in Hadoop or other similar systems that support the Parquet file format (used by TPC-H). The Apache License</t>
        </is>
      </c>
      <c r="E1517" t="n">
        <v>0</v>
      </c>
      <c r="F1517" t="n">
        <v>0</v>
      </c>
      <c r="G1517" t="n">
        <v>0.0379</v>
      </c>
      <c r="H1517" t="inlineStr">
        <is>
          <t>The code provided is a Java class named `TpchQueryRunner` that contains a static method called `createQueryRunner` which creates and returns an instance of the `DistributedQueryRunner` class from Facebook's Presto project for running TPC-H queries in distributed systems. The license at the top of this file states that it can be used under Apache License 2.</t>
        </is>
      </c>
      <c r="I1517" t="n">
        <v>0.0033</v>
      </c>
      <c r="J1517" t="n">
        <v>0.0308</v>
      </c>
      <c r="K1517" t="n">
        <v>0.1181</v>
      </c>
      <c r="L1517" t="inlineStr">
        <is>
          <t>The provided code is a Java class named `TpchQueryRunner` that creates and returns an instance of the `DistributedQueryRunner` class from Facebook's Presto project for running TPC-H queries on distributed systems. 
Here are its main functionalities in short:
1. It provides a method to create a Distributed Query Runner which can</t>
        </is>
      </c>
      <c r="M1517" t="n">
        <v>0.0037</v>
      </c>
      <c r="N1517" t="n">
        <v>0.0333</v>
      </c>
      <c r="O1517" t="n">
        <v>0.082</v>
      </c>
    </row>
    <row r="1518">
      <c r="A1518" t="inlineStr">
        <is>
          <t>presto</t>
        </is>
      </c>
      <c r="B1518" t="inlineStr">
        <is>
          <t>presto-tests/src/test/java/com/facebook/presto/execution/TestStageInfo.java</t>
        </is>
      </c>
      <c r="C1518">
        <f>HYPERLINK("https://github.com/prestodb/presto/blob/master/presto-tests/src/test/java/com/facebook/presto/execution/TestStageInfo.java")</f>
        <v/>
      </c>
      <c r="D1518" t="inlineStr">
        <is>
          <t>The code provided is a part of the Presto project by Facebook, which is an open source distributed SQL query engine for big data analytics. It includes various functionalities related to execution and testing of queries in this system. The license under Apache License 2.0 governs its usage. This repository contains backend software components implementing core algorithms used in distributed systems.
Please note that without</t>
        </is>
      </c>
      <c r="E1518" t="n">
        <v>0.004</v>
      </c>
      <c r="F1518" t="n">
        <v>0.1081</v>
      </c>
      <c r="G1518" t="n">
        <v>0.3112</v>
      </c>
      <c r="H1518" t="inlineStr">
        <is>
          <t>The provided code is a Java function named `add` that takes two parameters and returns their sum. The complexity of this operation is O(1), meaning it always executes in constant time regardless of the input size. This function can be used for adding numbers together in any application where such functionality might be needed.
Please provide more context or specifics about what you'd like to</t>
        </is>
      </c>
      <c r="I1518" t="n">
        <v>0.0037</v>
      </c>
      <c r="J1518" t="n">
        <v>0.0533</v>
      </c>
      <c r="K1518" t="n">
        <v>0.1095</v>
      </c>
      <c r="L1518" t="inlineStr">
        <is>
          <t>The provided code is a part of Facebook's Presto project which provides distributed SQL query execution capabilities across multiple nodes in a cluster. The main purpose of the code seems to be managing and executing queries on a distributed system using an abstraction layer over various data sources such as Hive, Cassandra etc. It uses core algorithms for query optimization, resource group scheduling, task distribution among other things</t>
        </is>
      </c>
      <c r="M1518" t="n">
        <v>0.0032</v>
      </c>
      <c r="N1518" t="n">
        <v>0.026</v>
      </c>
      <c r="O1518" t="n">
        <v>0.1071</v>
      </c>
    </row>
    <row r="1519">
      <c r="A1519" t="inlineStr">
        <is>
          <t>presto</t>
        </is>
      </c>
      <c r="B1519" t="inlineStr">
        <is>
          <t>presto-tests/src/test/java/com/facebook/presto/execution/TestQueues.java</t>
        </is>
      </c>
      <c r="C1519">
        <f>HYPERLINK("https://github.com/prestodb/presto/blob/master/presto-tests/src/test/java/com/facebook/presto/execution/TestQueues.java")</f>
        <v/>
      </c>
      <c r="D1519" t="inlineStr">
        <is>
          <t>The code provided is a Java implementation of the Presto execution module from Facebook's Airlift library. It includes HTTP client configuration for making requests and handling responses, JSON object mapping using Jackson or equivalent libraries, data size and duration units used in defining memory limits and timeouts respectively. The license under which this software can be distributed is defined by Apache License 2.0.</t>
        </is>
      </c>
      <c r="E1519" t="n">
        <v>0.0038</v>
      </c>
      <c r="F1519" t="n">
        <v>0.0548</v>
      </c>
      <c r="G1519" t="n">
        <v>0.3158</v>
      </c>
      <c r="H1519" t="inlineStr">
        <is>
          <t>The code provided is a Java implementation of an HTTP client for communication with Facebook's Presto database system using the Apache Jetty library and JSON parsing via AirLift framework. The functionality includes making GET requests to fetch data from a specified URL endpoint in accordance with session parameters. It also handles various aspects such as handling timeouts, managing connections etc. Licensing information is present at</t>
        </is>
      </c>
      <c r="I1519" t="n">
        <v>0.0033</v>
      </c>
      <c r="J1519" t="n">
        <v>0.0541</v>
      </c>
      <c r="K1519" t="n">
        <v>0.1095</v>
      </c>
      <c r="L1519" t="inlineStr">
        <is>
          <t>The provided code is a part of Facebook's Presto SQL query execution engine. It uses Apache Airlift library for HTTP client and JSON parsing functionalities. The main purpose of this code seems to be managing the dispatching of queries to different nodes in a distributed system based on certain conditions or strategies (like load balancing).
It takes as input an HttpClient object which</t>
        </is>
      </c>
      <c r="M1519" t="n">
        <v>0.0029</v>
      </c>
      <c r="N1519" t="n">
        <v>0.0278</v>
      </c>
      <c r="O1519" t="n">
        <v>0.1111</v>
      </c>
    </row>
    <row r="1520">
      <c r="A1520" t="inlineStr">
        <is>
          <t>presto</t>
        </is>
      </c>
      <c r="B1520" t="inlineStr">
        <is>
          <t>presto-tests/src/test/java/com/facebook/presto/execution/TestEventListenerPlugin.java</t>
        </is>
      </c>
      <c r="C1520">
        <f>HYPERLINK("https://github.com/prestodb/presto/blob/master/presto-tests/src/test/java/com/facebook/presto/execution/TestEventListenerPlugin.java")</f>
        <v/>
      </c>
      <c r="D1520" t="inlineStr">
        <is>
          <t>The code provided is a Java implementation of an event listener for the Presto SQL query execution engine by Facebook. It listens to two events - Query Created and Query Completed. The purpose seems to be to track or analyze these events in some way. This could include logging information about queries being executed, tracking performance metrics related to those queries etc. The license at the top ensures that this</t>
        </is>
      </c>
      <c r="E1520" t="n">
        <v>0.0031</v>
      </c>
      <c r="F1520" t="n">
        <v>0.0519</v>
      </c>
      <c r="G1520" t="n">
        <v>0.1056</v>
      </c>
      <c r="H1520" t="inlineStr">
        <is>
          <t>The provided code is a Java implementation of an event listener for Presto SQL, which is used to manage events related to the execution of queries in a database management system (DBMS). The functionality includes two main methods that handle query creation and completion events respectively. This software component also implements Apache License 2.0 conditions as per requirement.
Here's a concise summary of</t>
        </is>
      </c>
      <c r="I1520" t="n">
        <v>0.0077</v>
      </c>
      <c r="J1520" t="n">
        <v>0.0822</v>
      </c>
      <c r="K1520" t="n">
        <v>0.2756</v>
      </c>
      <c r="L1520" t="inlineStr">
        <is>
          <t>The provided code is a part of Facebook's Presto SQL query execution engine and it provides event listener functionality for various events such as Query Created and Query Completed. The main purpose of this module seems to be the creation and management of different types of listeners that can react to these events in specific ways (such as logging or analytics). This could potentially involve complex logic involving threading,</t>
        </is>
      </c>
      <c r="M1520" t="n">
        <v>0.0037</v>
      </c>
      <c r="N1520" t="n">
        <v>0.1026</v>
      </c>
      <c r="O1520" t="n">
        <v>0.1418</v>
      </c>
    </row>
    <row r="1521">
      <c r="A1521" t="inlineStr">
        <is>
          <t>presto</t>
        </is>
      </c>
      <c r="B1521" t="inlineStr">
        <is>
          <t>presto-tests/src/test/java/com/facebook/presto/execution/TestQueryRunnerUtil.java</t>
        </is>
      </c>
      <c r="C1521">
        <f>HYPERLINK("https://github.com/prestodb/presto/blob/master/presto-tests/src/test/java/com/facebook/presto/execution/TestQueryRunnerUtil.java")</f>
        <v/>
      </c>
      <c r="D1521" t="inlineStr">
        <is>
          <t>The code provided is a Java implementation of the Apache Presto project's execution module. It includes classes for managing sessions and dispatching tasks. The complexity appears to be O(N), but without more context it can't be definitively stated. This repository also contains backend software components implementing core algorithms used in data processing systems like TPC-H queries.
In terms of</t>
        </is>
      </c>
      <c r="E1521" t="n">
        <v>0.0044</v>
      </c>
      <c r="F1521" t="n">
        <v>0.1127</v>
      </c>
      <c r="G1521" t="n">
        <v>0.3255</v>
      </c>
      <c r="H1521" t="inlineStr">
        <is>
          <t>The provided code is a Java function named `add` that takes two parameters (numbers), adds them together and returns the result. The time complexity of this operation is O(1). This means it performs a constant number of operations regardless of the size of input data.
```java
public class Main {
    public static int add(int a, int b){
        return</t>
        </is>
      </c>
      <c r="I1521" t="n">
        <v>0.0037</v>
      </c>
      <c r="J1521" t="n">
        <v>0.0597</v>
      </c>
      <c r="K1521" t="n">
        <v>0.1154</v>
      </c>
      <c r="L1521" t="inlineStr">
        <is>
          <t>ThegivenJavaSourcedefinesaPackagecalled'com.facebook.presto.execution'.ItincludesclassesforhandlingqueryexecutionsessionsincludingthosefromtestingTPCHqueries.Theseclassesrelyondifferentpackageslike'com.facebook.presto.dispatcher', 'com.facebook.presto.server','com.facebook.presto.tests</t>
        </is>
      </c>
      <c r="M1521" t="n">
        <v>0</v>
      </c>
      <c r="N1521" t="n">
        <v>0</v>
      </c>
      <c r="O1521" t="n">
        <v>0</v>
      </c>
    </row>
    <row r="1522">
      <c r="A1522" t="inlineStr">
        <is>
          <t>presto</t>
        </is>
      </c>
      <c r="B1522" t="inlineStr">
        <is>
          <t>presto-tests/src/test/java/com/facebook/presto/execution/TriggerFailurePlanChecker.java</t>
        </is>
      </c>
      <c r="C1522">
        <f>HYPERLINK("https://github.com/prestodb/presto/blob/master/presto-tests/src/test/java/com/facebook/presto/execution/TriggerFailurePlanChecker.java")</f>
        <v/>
      </c>
      <c r="D1522" t="inlineStr">
        <is>
          <t>The code provided is a Java class that handles the execution of queries in Presto, an open source distributed SQL query engine for big data. The Apache License 2.0 applies to this code base which requires attribution and compliance with its terms before usage. This includes distribution under any "AS IS" BASIS without warranties or conditions specified by applicable law.
The main</t>
        </is>
      </c>
      <c r="E1522" t="n">
        <v>0.0035</v>
      </c>
      <c r="F1522" t="n">
        <v>0.0563</v>
      </c>
      <c r="G1522" t="n">
        <v>0.0746</v>
      </c>
      <c r="H1522" t="inlineStr">
        <is>
          <t>The provided code is a Java function named add that takes two parameters and returns their sum. It operates under the complexity of O(1), meaning it performs constant time operations regardless of input size. The Apache License 2.0 applies to this code as per its header comments indicating permissions and limitations related to redistribution and usage.
The README file also provides information about the repository</t>
        </is>
      </c>
      <c r="I1522" t="n">
        <v>0.0028</v>
      </c>
      <c r="J1522" t="n">
        <v>0.0533</v>
      </c>
      <c r="K1522" t="n">
        <v>0.1095</v>
      </c>
      <c r="L1522" t="inlineStr">
        <is>
          <t>The provided code is part of a Presto SQL query execution engine and it's responsible for planning and checking the validity of queries before they are executed. The main purpose of this class seems to be managing the process of creating an optimized plan from raw input data using various algorithms implemented in other classes (like PlanChecker). It also handles exceptions during the planning phase and provides feedback on any warnings</t>
        </is>
      </c>
      <c r="M1522" t="n">
        <v>0.0026</v>
      </c>
      <c r="N1522" t="n">
        <v>0.075</v>
      </c>
      <c r="O1522" t="n">
        <v>0.1399</v>
      </c>
    </row>
    <row r="1523">
      <c r="A1523" t="inlineStr">
        <is>
          <t>presto</t>
        </is>
      </c>
      <c r="B1523" t="inlineStr">
        <is>
          <t>presto-tests/src/test/java/com/facebook/presto/execution/TestBeginQuery.java</t>
        </is>
      </c>
      <c r="C1523">
        <f>HYPERLINK("https://github.com/prestodb/presto/blob/master/presto-tests/src/test/java/com/facebook/presto/execution/TestBeginQuery.java")</f>
        <v/>
      </c>
      <c r="D1523" t="inlineStr">
        <is>
          <t>The code provided is a Java implementation of an Apache License 2.0 which outlines the terms and conditions under which this software can be used or modified. It also includes specific language governing permissions and limitations under the license. The actual functionality implemented by the code isn't specified in detail as it appears to be boilerplate licensing information rather than any core algorithm or logic.</t>
        </is>
      </c>
      <c r="E1523" t="n">
        <v>0.0042</v>
      </c>
      <c r="F1523" t="n">
        <v>0.1333</v>
      </c>
      <c r="G1523" t="n">
        <v>0.3501</v>
      </c>
      <c r="H1523" t="inlineStr">
        <is>
          <t>The code you provided is a simple function for addition in Python named `add` that takes two arguments and returns their sum. The time complexity of this operation is O(1), indicating it performs the same number of operations regardless of input size.
Here's the summary without repeating any code:
Function Name: add
Input Parameters: a, b (two numbers to</t>
        </is>
      </c>
      <c r="I1523" t="n">
        <v>0.0031</v>
      </c>
      <c r="J1523" t="n">
        <v>0.058</v>
      </c>
      <c r="K1523" t="n">
        <v>0.1145</v>
      </c>
      <c r="L1523" t="inlineStr">
        <is>
          <t>The provided code is part of a Presto SQL query execution engine and it's responsible for managing the overall process including splitting queries into manageable parts (connector splits) which are executed by different nodes in parallel to speed up processing time. It also handles runtime stats collection and provides an interface between the presto framework and various data sources like Hive, Cassandra etc. The main</t>
        </is>
      </c>
      <c r="M1523" t="n">
        <v>0.0028</v>
      </c>
      <c r="N1523" t="n">
        <v>0.027</v>
      </c>
      <c r="O1523" t="n">
        <v>0.073</v>
      </c>
    </row>
    <row r="1524">
      <c r="A1524" t="inlineStr">
        <is>
          <t>presto</t>
        </is>
      </c>
      <c r="B1524" t="inlineStr">
        <is>
          <t>presto-tests/src/test/java/com/facebook/presto/execution/TestingSessionContext.java</t>
        </is>
      </c>
      <c r="C1524">
        <f>HYPERLINK("https://github.com/prestodb/presto/blob/master/presto-tests/src/test/java/com/facebook/presto/execution/TestingSessionContext.java")</f>
        <v/>
      </c>
      <c r="D1524" t="inlineStr">
        <is>
          <t>The code provided appears to be a license header and some comments about the project's purpose. It does not contain any executable or runnable code. Therefore, there is no summary of functionality available for this code snippet.</t>
        </is>
      </c>
      <c r="E1524" t="n">
        <v>0.006</v>
      </c>
      <c r="F1524" t="n">
        <v>0.0435</v>
      </c>
      <c r="G1524" t="n">
        <v>0.1376</v>
      </c>
      <c r="H1524" t="inlineStr">
        <is>
          <t>The function provided is a simple addition operation in Python that takes two parameters and returns their sum. It has a time complexity of O(1), meaning it performs the same number of operations regardless of input size. The code does not repeat itself or contain any comments explaining its functionality. However, there are license details at the top which state that this software may be distributed under an Apache License 2.</t>
        </is>
      </c>
      <c r="I1524" t="n">
        <v>0.003</v>
      </c>
      <c r="J1524" t="n">
        <v>0.05</v>
      </c>
      <c r="K1524" t="n">
        <v>0.2207</v>
      </c>
      <c r="L1524" t="inlineStr">
        <is>
          <t>The provided code is part of a Presto SQL query execution engine and it's responsible for managing the session context including transaction ID, runtime stats etc. It also provides functionalities related to invoking functions in different connectors such as JDBC, Cassandra etc. The main purpose of this class seems to be managing these aspects which makes it an important component of any data processing system.</t>
        </is>
      </c>
      <c r="M1524" t="n">
        <v>0.0028</v>
      </c>
      <c r="N1524" t="n">
        <v>0.027</v>
      </c>
      <c r="O1524" t="n">
        <v>0.1095</v>
      </c>
    </row>
    <row r="1525">
      <c r="A1525" t="inlineStr">
        <is>
          <t>presto</t>
        </is>
      </c>
      <c r="B1525" t="inlineStr">
        <is>
          <t>presto-tests/src/test/java/com/facebook/presto/execution/TestEventListener.java</t>
        </is>
      </c>
      <c r="C1525">
        <f>HYPERLINK("https://github.com/prestodb/presto/blob/master/presto-tests/src/test/java/com/facebook/presto/execution/TestEventListener.java")</f>
        <v/>
      </c>
      <c r="D1525" t="inlineStr">
        <is>
          <t>The code provided is a Java implementation of an event listener for Presto SQL query execution events. It listens to two types of events - QueryCreatedEvent and QueryCompletedEvent. The QueryCreatedEvent gets triggered when the query starts executing, while the QueryCompletedEvent triggers once the query has finished its execution. This software component allows users to perform certain actions based on these events such as</t>
        </is>
      </c>
      <c r="E1525" t="n">
        <v>0.0068</v>
      </c>
      <c r="F1525" t="n">
        <v>0.0571</v>
      </c>
      <c r="G1525" t="n">
        <v>0.2338</v>
      </c>
      <c r="H1525" t="inlineStr">
        <is>
          <t>The code you provided is a Java method that defines an add function which takes two parameters and returns their sum. This functionality can be summarized as follows: The 'add' function performs addition of two numbers. It has a time complexity of O(1), meaning it executes in constant time regardless of the size of input data.
In terms of license information at the top of the</t>
        </is>
      </c>
      <c r="I1525" t="n">
        <v>0.0036</v>
      </c>
      <c r="J1525" t="n">
        <v>0.0533</v>
      </c>
      <c r="K1525" t="n">
        <v>0.1087</v>
      </c>
      <c r="L1525" t="inlineStr">
        <is>
          <t>The provided code is part of a Presto query execution system and it's designed to manage the lifecycle of queries in an interactive SQL environment. It includes functionalities for managing resource groups and event listeners related to testing.
Key operations involve handling events such as Query Created (when a new query starts) and Query Completed (after a query finishes). The primary behavior</t>
        </is>
      </c>
      <c r="M1525" t="n">
        <v>0.0029</v>
      </c>
      <c r="N1525" t="n">
        <v>0.0563</v>
      </c>
      <c r="O1525" t="n">
        <v>0.0746</v>
      </c>
    </row>
    <row r="1526">
      <c r="A1526" t="inlineStr">
        <is>
          <t>presto</t>
        </is>
      </c>
      <c r="B1526" t="inlineStr">
        <is>
          <t>presto-tests/src/test/java/com/facebook/presto/execution/TestMemoryRevokingScheduler.java</t>
        </is>
      </c>
      <c r="C1526">
        <f>HYPERLINK("https://github.com/prestodb/presto/blob/master/presto-tests/src/test/java/com/facebook/presto/execution/TestMemoryRevokingScheduler.java")</f>
        <v/>
      </c>
      <c r="D1526" t="inlineStr">
        <is>
          <t>The code is licensed under the Apache License 2.0 and it's a part of Presto SQL execution module which provides functionalities related to task management, buffer handling, memory usage monitoring etc., but does not contain any specific functionality or algorithm implementation as per comments mentioned in the README file. The complexity seems to be O(N), where N represents some form of data size.</t>
        </is>
      </c>
      <c r="E1526" t="n">
        <v>0.0038</v>
      </c>
      <c r="F1526" t="n">
        <v>0.0541</v>
      </c>
      <c r="G1526" t="n">
        <v>0.1481</v>
      </c>
      <c r="H1526" t="inlineStr">
        <is>
          <t>The provided code is a Java package `com.facebook.presto.execution` that contains several classes and interfaces related to SQL task execution in an environment where data processing can be done on distributed systems such as Hadoop or Apache Spark clusters. The main class here appears to be `TestSqlTaskManager` which has a nested static class called `MockExchangeClientSupplier`.</t>
        </is>
      </c>
      <c r="I1526" t="n">
        <v>0.0034</v>
      </c>
      <c r="J1526" t="n">
        <v>0.0308</v>
      </c>
      <c r="K1526" t="n">
        <v>0.0397</v>
      </c>
      <c r="L1526" t="inlineStr">
        <is>
          <t>The provided code is part of a Presto SQL query execution engine and it's responsible for managing tasks related to executing SQL queries in parallel across multiple nodes. It does this by creating buffers to hold the output data from each node during task execution, as well as handling any exchange operations between different nodes involved in the computation process. The main purpose of this module seems to be efficient management of</t>
        </is>
      </c>
      <c r="M1526" t="n">
        <v>0.003</v>
      </c>
      <c r="N1526" t="n">
        <v>0.0494</v>
      </c>
      <c r="O1526" t="n">
        <v>0.1389</v>
      </c>
    </row>
    <row r="1527">
      <c r="A1527" t="inlineStr">
        <is>
          <t>presto</t>
        </is>
      </c>
      <c r="B1527" t="inlineStr">
        <is>
          <t>presto-tests/src/test/java/com/facebook/presto/execution/TestWarnings.java</t>
        </is>
      </c>
      <c r="C1527">
        <f>HYPERLINK("https://github.com/prestodb/presto/blob/master/presto-tests/src/test/java/com/facebook/presto/execution/TestWarnings.java")</f>
        <v/>
      </c>
      <c r="D1527" t="inlineStr">
        <is>
          <t>The code provided appears to be a Java class file with Apache License 2.0 header comments and import statements for various packages used in the Presto SQL query execution framework. It does not contain any functional logic or method definitions as indicated by the lack of curly braces `{}`. The @TestNG annotations such as @BeforeClass and @AfterClass are also present without corresponding</t>
        </is>
      </c>
      <c r="E1527" t="n">
        <v>0.0029</v>
      </c>
      <c r="F1527" t="n">
        <v>0.0571</v>
      </c>
      <c r="G1527" t="n">
        <v>0.0746</v>
      </c>
      <c r="H1527" t="inlineStr">
        <is>
          <t>The code provided is a simple function that adds two numbers together in Python. The functionality of this code can be summarized as follows: This function takes two parameters (`a` and `b`), performs an addition operation on them, and returns the result. It operates with complexity O(1). Please note that while it's not possible to provide a concise summary without repeating the code</t>
        </is>
      </c>
      <c r="I1527" t="n">
        <v>0.0038</v>
      </c>
      <c r="J1527" t="n">
        <v>0.0822</v>
      </c>
      <c r="K1527" t="n">
        <v>0.1111</v>
      </c>
      <c r="L1527" t="inlineStr">
        <is>
          <t>The provided code is a Java program that uses Facebook's Presto query execution engine for executing SQL queries against data sources. The main purpose of the code seems to be setting up and tearing down an environment for running tests on this engine.
Here are some key components identified from the given source code file:
1. `@BeforeClass` annotation marks methods as setup</t>
        </is>
      </c>
      <c r="M1527" t="n">
        <v>0.0029</v>
      </c>
      <c r="N1527" t="n">
        <v>0.0282</v>
      </c>
      <c r="O1527" t="n">
        <v>0.1119</v>
      </c>
    </row>
    <row r="1528">
      <c r="A1528" t="inlineStr">
        <is>
          <t>presto</t>
        </is>
      </c>
      <c r="B1528" t="inlineStr">
        <is>
          <t>presto-tests/src/test/java/com/facebook/presto/execution/TestFinalQueryInfo.java</t>
        </is>
      </c>
      <c r="C1528">
        <f>HYPERLINK("https://github.com/prestodb/presto/blob/master/presto-tests/src/test/java/com/facebook/presto/execution/TestFinalQueryInfo.java")</f>
        <v/>
      </c>
      <c r="D1528" t="inlineStr">
        <is>
          <t>The code provided is a Java implementation of the Apache Presto project's execution module which contains classes related to query execution and session management. It also uses other modules from the same project such as client and tests for interacting with distributed systems. The code is licensed under the Apache License 2.0. This means that it can be used freely in both open source and commercial projects but requires att</t>
        </is>
      </c>
      <c r="E1528" t="n">
        <v>0.0034</v>
      </c>
      <c r="F1528" t="n">
        <v>0.05</v>
      </c>
      <c r="G1528" t="n">
        <v>0.1761</v>
      </c>
      <c r="H1528" t="inlineStr">
        <is>
          <t>The code you provided is a simple function for addition in Python named `add` that takes two parameters and returns their sum. The time complexity of this operation is O(1), indicating it performs a constant number of operations regardless of the size of the input data.
In terms of licensing information, the code appears to be licensed under Apache License 2.0 as indicated by comments</t>
        </is>
      </c>
      <c r="I1528" t="n">
        <v>0.0028</v>
      </c>
      <c r="J1528" t="n">
        <v>0.0533</v>
      </c>
      <c r="K1528" t="n">
        <v>0.1095</v>
      </c>
      <c r="L1528" t="inlineStr">
        <is>
          <t>The provided code is part of a distributed query execution framework for SQL queries in Java. It's designed to run complex SQL queries across multiple nodes (clusters) and provides various functionalities like managing sessions, executing statements, handling client requests etc. The main purpose seems to be the management and distribution of large scale data processing tasks efficiently.
It uses Apache License 2.0</t>
        </is>
      </c>
      <c r="M1528" t="n">
        <v>0.0029</v>
      </c>
      <c r="N1528" t="n">
        <v>0.0556</v>
      </c>
      <c r="O1528" t="n">
        <v>0.0746</v>
      </c>
    </row>
    <row r="1529">
      <c r="A1529" t="inlineStr">
        <is>
          <t>presto</t>
        </is>
      </c>
      <c r="B1529" t="inlineStr">
        <is>
          <t>presto-tests/src/test/java/com/facebook/presto/execution/TestCompletedEventWarnings.java</t>
        </is>
      </c>
      <c r="C1529">
        <f>HYPERLINK("https://github.com/prestodb/presto/blob/master/presto-tests/src/test/java/com/facebook/presto/execution/TestCompletedEventWarnings.java")</f>
        <v/>
      </c>
      <c r="D1529" t="inlineStr">
        <is>
          <t>ThegivenJava code is a part of the Presto SQL query execution engine and it's licensed under Apache License 2.0. The license allows anyone to use this file for any purpose except compliance with the terms in the license. This software is distributed on an "AS IS" BASIS without warranties or conditions of any kind either expressed or implied by applicable law. Please refer</t>
        </is>
      </c>
      <c r="E1529" t="n">
        <v>0.0068</v>
      </c>
      <c r="F1529" t="n">
        <v>0.0548</v>
      </c>
      <c r="G1529" t="n">
        <v>0.2338</v>
      </c>
      <c r="H1529" t="inlineStr">
        <is>
          <t>The code you provided is a Java function named "add". It takes two parameters 'a' and 'b', adds them together and returns the result. The time complexity of this operation is O(1), meaning it always executes in constant time regardless of input size.
In terms of functionality, this function performs simple addition operation on two numbers and does not involve any complex algorithms or</t>
        </is>
      </c>
      <c r="I1529" t="n">
        <v>0.0028</v>
      </c>
      <c r="J1529" t="n">
        <v>0.0822</v>
      </c>
      <c r="K1529" t="n">
        <v>0.1103</v>
      </c>
      <c r="L1529" t="inlineStr">
        <is>
          <t>The provided code is a part of the Presto SQL query execution engine and it's used to manage test events in an event-driven manner. It provides functionality for handling warnings during testing as well as managing session builders and event listeners.
It starts by importing necessary classes from different packages like `com.facebook.presto.Session`, `com.facebook</t>
        </is>
      </c>
      <c r="M1529" t="n">
        <v>0.0041</v>
      </c>
      <c r="N1529" t="n">
        <v>0.0597</v>
      </c>
      <c r="O1529" t="n">
        <v>0.08</v>
      </c>
    </row>
    <row r="1530">
      <c r="A1530" t="inlineStr">
        <is>
          <t>presto</t>
        </is>
      </c>
      <c r="B1530" t="inlineStr">
        <is>
          <t>presto-tests/src/test/java/com/facebook/presto/execution/TestHistoryBasedStatsTracking.java</t>
        </is>
      </c>
      <c r="C1530">
        <f>HYPERLINK("https://github.com/prestodb/presto/blob/master/presto-tests/src/test/java/com/facebook/presto/execution/TestHistoryBasedStatsTracking.java")</f>
        <v/>
      </c>
      <c r="D1530" t="inlineStr">
        <is>
          <t>The provided code is a Java implementation of core algorithms used in the Presto SQL query execution engine from Facebook. It's licensed under Apache License 2.0 and includes various classes for managing sessions (`Session`), providing statistics about data processing tasks (`StatsProvider`), accessing metadata information related to tables and functions (`Metadata`), handling plugins that extend its functionality</t>
        </is>
      </c>
      <c r="E1530" t="n">
        <v>0.0043</v>
      </c>
      <c r="F1530" t="n">
        <v>0.09089999999999999</v>
      </c>
      <c r="G1530" t="n">
        <v>0.1563</v>
      </c>
      <c r="H1530" t="inlineStr">
        <is>
          <t>The function provided is a simple addition operation between two numbers 'a' and 'b'. It returns the sum of these two numbers. The complexity of this code is O(1), meaning it performs constant time operations regardless of input size.
It does not repeat any code or provide an unnecessary summary as per your instructions. However, I can see that there are license comments at the beginning</t>
        </is>
      </c>
      <c r="I1530" t="n">
        <v>0.0028</v>
      </c>
      <c r="J1530" t="n">
        <v>0.0533</v>
      </c>
      <c r="K1530" t="n">
        <v>0.1449</v>
      </c>
      <c r="L1530" t="inlineStr">
        <is>
          <t>The provided code file is a part of the Presto SQL query execution engine's backend software component. It defines classes for different types of nodes in an abstract syntax tree (AST) representing queries to be executed by this engine. The main purpose of these classes seems to be handling various operations such as aggregating data, applying filters, performing distinct limit and joining two or more datasets based on certain</t>
        </is>
      </c>
      <c r="M1530" t="n">
        <v>0.0031</v>
      </c>
      <c r="N1530" t="n">
        <v>0.0513</v>
      </c>
      <c r="O1530" t="n">
        <v>0.1418</v>
      </c>
    </row>
    <row r="1531">
      <c r="A1531" t="inlineStr">
        <is>
          <t>presto</t>
        </is>
      </c>
      <c r="B1531" t="inlineStr">
        <is>
          <t>presto-tests/src/test/java/com/facebook/presto/execution/TestingPlanCheckerProviderPlugin.java</t>
        </is>
      </c>
      <c r="C1531">
        <f>HYPERLINK("https://github.com/prestodb/presto/blob/master/presto-tests/src/test/java/com/facebook/presto/execution/TestingPlanCheckerProviderPlugin.java")</f>
        <v/>
      </c>
      <c r="D1531" t="inlineStr">
        <is>
          <t>The code provided is a Java implementation of the Presto SQL query execution engine. It includes various components such as Coordinator Plugin and Plan Checkers for validating queries' plans before they are executed. The license at the top specifies that this software can be used under certain conditions specified in the License file located on ApacheâĢĻs website (http://www.apache.org/licenses</t>
        </is>
      </c>
      <c r="E1531" t="n">
        <v>0.0037</v>
      </c>
      <c r="F1531" t="n">
        <v>0.0563</v>
      </c>
      <c r="G1531" t="n">
        <v>0.2862</v>
      </c>
      <c r="H1531" t="inlineStr">
        <is>
          <t>The code provided is a Java class that implements the PlanChecker interface from Presto, an open source distributed SQL query engine for big data. The purpose of this class seems to be providing a custom plan checker provider factory and registering it with Coordinator Plugin in order to customize how queries are planned and executed by Presto.
In terms of functionality, it</t>
        </is>
      </c>
      <c r="I1531" t="n">
        <v>0.0035</v>
      </c>
      <c r="J1531" t="n">
        <v>0.0571</v>
      </c>
      <c r="K1531" t="n">
        <v>0.1119</v>
      </c>
      <c r="L1531" t="inlineStr">
        <is>
          <t>The provided code is part of a Presto SQL query execution engine and it provides different plugins for coordinating the queries among various nodes in distributed systems. The main purpose of this module seems to be managing and executing complex plans created by users or other components of the system.
It uses several core algorithms from Google's Guava library for data manipulation tasks like lists, maps etc</t>
        </is>
      </c>
      <c r="M1531" t="n">
        <v>0.0036</v>
      </c>
      <c r="N1531" t="n">
        <v>0.0789</v>
      </c>
      <c r="O1531" t="n">
        <v>0.1799</v>
      </c>
    </row>
    <row r="1532">
      <c r="A1532" t="inlineStr">
        <is>
          <t>presto</t>
        </is>
      </c>
      <c r="B1532" t="inlineStr">
        <is>
          <t>presto-tests/src/test/java/com/facebook/presto/execution/resourceGroups/TestResourceGroupIntegration.java</t>
        </is>
      </c>
      <c r="C1532">
        <f>HYPERLINK("https://github.com/prestodb/presto/blob/master/presto-tests/src/test/java/com/facebook/presto/execution/resourceGroups/TestResourceGroupIntegration.java")</f>
        <v/>
      </c>
      <c r="D1532" t="inlineStr">
        <is>
          <t>The code provided is a Java implementation of resource group management in Presto, an open source distributed SQL query engine for big data processing. The functionality includes managing and distributing queries across multiple nodes based on predefined rules or policies. It uses the Apache License 2.0 which allows users to use it under certain conditions without having to share their modifications with other developers. There are several classes</t>
        </is>
      </c>
      <c r="E1532" t="n">
        <v>0.0032</v>
      </c>
      <c r="F1532" t="n">
        <v>0.0779</v>
      </c>
      <c r="G1532" t="n">
        <v>0.1071</v>
      </c>
      <c r="H1532" t="inlineStr">
        <is>
          <t>The code you provided is a simple function that adds two numbers together in Python. It takes as input parameters 'a' and 'b', performs the addition operation on these inputs, and then returns the result. The time complexity of this function is O(1), meaning it executes in constant time regardless of the size of the input data.
Here are some key points about the code</t>
        </is>
      </c>
      <c r="I1532" t="n">
        <v>0.0028</v>
      </c>
      <c r="J1532" t="n">
        <v>0.0541</v>
      </c>
      <c r="K1532" t="n">
        <v>0.1095</v>
      </c>
      <c r="L1532" t="inlineStr">
        <is>
          <t>The provided code is a part of Facebook's Presto project which is an open-source distributed SQL query engine for running interactive analytic queries against various data sources such as Hadoop and other types of databases. It provides resource group management functionality to control the execution resources (CPU, memory etc.) used by different parts of the system in accordance with business needs or policies.
It begins</t>
        </is>
      </c>
      <c r="M1532" t="n">
        <v>0.0033</v>
      </c>
      <c r="N1532" t="n">
        <v>0.0267</v>
      </c>
      <c r="O1532" t="n">
        <v>0.073</v>
      </c>
    </row>
    <row r="1533">
      <c r="A1533" t="inlineStr">
        <is>
          <t>presto</t>
        </is>
      </c>
      <c r="B1533" t="inlineStr">
        <is>
          <t>presto-tests/src/test/java/com/facebook/presto/execution/resourceGroups/db/TestQueuesDb.java</t>
        </is>
      </c>
      <c r="C1533">
        <f>HYPERLINK("https://github.com/prestodb/presto/blob/master/presto-tests/src/test/java/com/facebook/presto/execution/resourceGroups/db/TestQueuesDb.java")</f>
        <v/>
      </c>
      <c r="D1533" t="inlineStr">
        <is>
          <t>The provided code is a Java implementation of resource group management for Presto, an open source distributed SQL query engine for big data processing. The main functionality includes managing and controlling the distribution of resources across different nodes in a cluster based on predefined rules or policies. This is achieved through integration with H2 database to store and retrieve resource group configurations. It also provides reload capabilities so that changes</t>
        </is>
      </c>
      <c r="E1533" t="n">
        <v>0.0034</v>
      </c>
      <c r="F1533" t="n">
        <v>0.0769</v>
      </c>
      <c r="G1533" t="n">
        <v>0.1408</v>
      </c>
      <c r="H1533" t="inlineStr">
        <is>
          <t>The code you provided is a simple function for addition in Python named add that takes two parameters and returns their sum. The complexity of this operation is O(1), meaning it always executes the same number of operations regardless of input size.
In the README file, there are details about licensing information which states that the software may be distributed under an Apache 2.0 license</t>
        </is>
      </c>
      <c r="I1533" t="n">
        <v>0.0033</v>
      </c>
      <c r="J1533" t="n">
        <v>0.0533</v>
      </c>
      <c r="K1533" t="n">
        <v>0.146</v>
      </c>
      <c r="L1533" t="inlineStr">
        <is>
          <t>The provided code is a part of Facebook's Presto query execution system. It provides the functionality to manage resource groups and their corresponding configurations in an H2 database. The main purpose of this module seems to be managing resources for distributed queries across multiple nodes.
It takes as input parameters a Session object representing current session state, along with DispatchManager and QueryManager objects that handle</t>
        </is>
      </c>
      <c r="M1533" t="n">
        <v>0.0037</v>
      </c>
      <c r="N1533" t="n">
        <v>0.08110000000000001</v>
      </c>
      <c r="O1533" t="n">
        <v>0.146</v>
      </c>
    </row>
    <row r="1534">
      <c r="A1534" t="inlineStr">
        <is>
          <t>presto</t>
        </is>
      </c>
      <c r="B1534" t="inlineStr">
        <is>
          <t>presto-tests/src/test/java/com/facebook/presto/execution/resourceGroups/db/H2ResourceGroupConfigurationManagerFactory.java</t>
        </is>
      </c>
      <c r="C1534">
        <f>HYPERLINK("https://github.com/prestodb/presto/blob/master/presto-tests/src/test/java/com/facebook/presto/execution/resourceGroups/db/H2ResourceGroupConfigurationManagerFactory.java")</f>
        <v/>
      </c>
      <c r="D1534" t="inlineStr">
        <is>
          <t>The code provided is a Java implementation of resource group management for Presto SQL, which is an open source distributed SQL query engine for big data processing. It uses Apache Airlift's Bootstrap and JSON modules to manage configurations and resources efficiently. The main class `DbResourceGroupManager` manages the creation and destruction of database resource groups based on configuration changes. Various other classes handle different</t>
        </is>
      </c>
      <c r="E1534" t="n">
        <v>0.0029</v>
      </c>
      <c r="F1534" t="n">
        <v>0.0556</v>
      </c>
      <c r="G1534" t="n">
        <v>0.1481</v>
      </c>
      <c r="H1534" t="inlineStr">
        <is>
          <t>The code provided is a Java package that contains backend software components for Presto, an open source distributed SQL query engine for big data. The main component of interest appears to be the `com.facebook.presto.execution.resourceGroups.db` package which seems to handle resource group management and reloading in Presto. It uses Apache Airlift's bootstrapping mechanism</t>
        </is>
      </c>
      <c r="I1534" t="n">
        <v>0.0042</v>
      </c>
      <c r="J1534" t="n">
        <v>0.0606</v>
      </c>
      <c r="K1534" t="n">
        <v>0.121</v>
      </c>
      <c r="L1534" t="inlineStr">
        <is>
          <t>The provided code is a Java implementation of resource group management in Presto, an open-source distributed SQL query engine for big data processing. The main purpose of this code appears to be managing and controlling the distribution and allocation of resources within different groups based on user queries or tasks.
It uses Airlift's Bootstrap module for initialization and configuration management. It also utilizes Json</t>
        </is>
      </c>
      <c r="M1534" t="n">
        <v>0.0034</v>
      </c>
      <c r="N1534" t="n">
        <v>0.08110000000000001</v>
      </c>
      <c r="O1534" t="n">
        <v>0.1838</v>
      </c>
    </row>
    <row r="1535">
      <c r="A1535" t="inlineStr">
        <is>
          <t>presto</t>
        </is>
      </c>
      <c r="B1535" t="inlineStr">
        <is>
          <t>presto-tests/src/test/java/com/facebook/presto/execution/resourceGroups/db/TestResourceGroupDbIntegration.java</t>
        </is>
      </c>
      <c r="C1535">
        <f>HYPERLINK("https://github.com/prestodb/presto/blob/master/presto-tests/src/test/java/com/facebook/presto/execution/resourceGroups/db/TestResourceGroupDbIntegration.java")</f>
        <v/>
      </c>
      <c r="D1535" t="inlineStr">
        <is>
          <t>The provided code is a test class for integration testing of resource groups in the Presto database system. It uses TestNG as its testing framework and it tests the interaction between distributed query runner (used to run queries on multiple nodes), H2TestUtil (a utility used for creating simple query runner instances), and other components related to resource group management. The purpose seems to be to verify that different</t>
        </is>
      </c>
      <c r="E1535" t="n">
        <v>0.0027</v>
      </c>
      <c r="F1535" t="n">
        <v>0.0263</v>
      </c>
      <c r="G1535" t="n">
        <v>0.07140000000000001</v>
      </c>
      <c r="H1535" t="inlineStr">
        <is>
          <t>The code you provided is a Java class named `TestResourceGroupDbIntegration` that contains one test method annotated with @Test. This class imports several packages and classes from the Presto project for testing distributed queries. The license at the top of this file states it's licensed under Apache License 2.0.
In terms of functionality, this class seems to</t>
        </is>
      </c>
      <c r="I1535" t="n">
        <v>0.0039</v>
      </c>
      <c r="J1535" t="n">
        <v>0.0606</v>
      </c>
      <c r="K1535" t="n">
        <v>0.0781</v>
      </c>
      <c r="L1535" t="inlineStr">
        <is>
          <t>The provided code is a test class for integration testing of resource groups in the Presto SQL query execution framework. The main purpose of this class is to verify that distributed queries can be executed and resources are properly managed across different nodes.
Here's what it does: 
1. It sets up a simple H2 database with some sample data for use by tests.</t>
        </is>
      </c>
      <c r="M1535" t="n">
        <v>0.0029</v>
      </c>
      <c r="N1535" t="n">
        <v>0.0556</v>
      </c>
      <c r="O1535" t="n">
        <v>0.1111</v>
      </c>
    </row>
    <row r="1536">
      <c r="A1536" t="inlineStr">
        <is>
          <t>presto</t>
        </is>
      </c>
      <c r="B1536" t="inlineStr">
        <is>
          <t>presto-tests/src/test/java/com/facebook/presto/execution/resourceGroups/db/TestDistributedQueuesDb.java</t>
        </is>
      </c>
      <c r="C1536">
        <f>HYPERLINK("https://github.com/prestodb/presto/blob/master/presto-tests/src/test/java/com/facebook/presto/execution/resourceGroups/db/TestDistributedQueuesDb.java")</f>
        <v/>
      </c>
      <c r="D1536" t="inlineStr">
        <is>
          <t>The code provided appears to be a Java class that manages resource groups for database queries in Presto, an open source distributed SQL query engine. It imports various classes and packages related to resource group management, security, and data access objects (DAOs). The license at the top of the file specifies Apache License Version 2.0. This software is licensed under this license and may not</t>
        </is>
      </c>
      <c r="E1536" t="n">
        <v>0.0066</v>
      </c>
      <c r="F1536" t="n">
        <v>0.08110000000000001</v>
      </c>
      <c r="G1536" t="n">
        <v>0.1095</v>
      </c>
      <c r="H1536" t="inlineStr">
        <is>
          <t>The code provided is a Java function named `add` that takes two parameters and returns their sum. The functionality of this function is to add two numbers together. This code follows the Apache License 2.0 which allows it to be used in any project as long as compliance with the license terms are maintained.
In summary, the function performs addition operation on two given inputs and return the</t>
        </is>
      </c>
      <c r="I1536" t="n">
        <v>0.0035</v>
      </c>
      <c r="J1536" t="n">
        <v>0.0779</v>
      </c>
      <c r="K1536" t="n">
        <v>0.1071</v>
      </c>
      <c r="L1536" t="inlineStr">
        <is>
          <t>The provided code is part of a Presto SQL query execution resource group management system. The main purpose of this module seems to be managing and tracking the resources used by different queries in an efficient manner.
It uses H2 as its database for storing Resource Group information which allows it to maintain data persistency even after application restarts. It also provides interfaces for other plugins like BlackH</t>
        </is>
      </c>
      <c r="M1536" t="n">
        <v>0.0032</v>
      </c>
      <c r="N1536" t="n">
        <v>0.0789</v>
      </c>
      <c r="O1536" t="n">
        <v>0.1429</v>
      </c>
    </row>
    <row r="1537">
      <c r="A1537" t="inlineStr">
        <is>
          <t>presto</t>
        </is>
      </c>
      <c r="B1537" t="inlineStr">
        <is>
          <t>presto-tests/src/test/java/com/facebook/presto/execution/resourceGroups/db/H2ResourceGroupsModule.java</t>
        </is>
      </c>
      <c r="C1537">
        <f>HYPERLINK("https://github.com/prestodb/presto/blob/master/presto-tests/src/test/java/com/facebook/presto/execution/resourceGroups/db/H2ResourceGroupsModule.java")</f>
        <v/>
      </c>
      <c r="D1537" t="inlineStr">
        <is>
          <t>ThegivenJava code is a part of the Presto project's resource group management system for database resources. It defines interfaces and classes related to managing database resources in terms of resource groups. The main class `DbManagerSpecProvider` provides specifications (configurations) for different types of databases like H2. This module also includes an interface `ResourceGroupsDao` which acts as a</t>
        </is>
      </c>
      <c r="E1537" t="n">
        <v>0.0043</v>
      </c>
      <c r="F1537" t="n">
        <v>0.0615</v>
      </c>
      <c r="G1537" t="n">
        <v>0.1563</v>
      </c>
      <c r="H1537" t="inlineStr">
        <is>
          <t>The provided code is a Java class that manages database resource groups and provides configuration for these resources using H2 as the data storage solution. The license at the top of the file specifies that it's licensed under Apache License 2.0.
The function `add` takes two parameters (a, b), adds them together, and returns the result. This operation has a time</t>
        </is>
      </c>
      <c r="I1537" t="n">
        <v>0.0036</v>
      </c>
      <c r="J1537" t="n">
        <v>0.0563</v>
      </c>
      <c r="K1537" t="n">
        <v>0.1128</v>
      </c>
      <c r="L1537" t="inlineStr">
        <is>
          <t>The provided code is part of a Presto database execution resource group module. It imports several classes from the package `com.facebook.presto.resourceGroups.db` and uses them to manage resources for different environments (like development or production) in an application using H2 as its data storage system. The main purpose of this code seems to be managing configurations related to these resource</t>
        </is>
      </c>
      <c r="M1537" t="n">
        <v>0.0031</v>
      </c>
      <c r="N1537" t="n">
        <v>0.0563</v>
      </c>
      <c r="O1537" t="n">
        <v>0.1145</v>
      </c>
    </row>
    <row r="1538">
      <c r="A1538" t="inlineStr">
        <is>
          <t>presto</t>
        </is>
      </c>
      <c r="B1538" t="inlineStr">
        <is>
          <t>presto-tests/src/test/java/com/facebook/presto/execution/resourceGroups/db/TestEnvironments.java</t>
        </is>
      </c>
      <c r="C1538">
        <f>HYPERLINK("https://github.com/prestodb/presto/blob/master/presto-tests/src/test/java/com/facebook/presto/execution/resourceGroups/db/TestEnvironments.java")</f>
        <v/>
      </c>
      <c r="D1538" t="inlineStr">
        <is>
          <t>The code provided is a Java class that interacts with the database to manage and query resource groups for Presto, an open source distributed SQL query engine for big data. The main functionality of this code revolves around managing queries in different states (running or failed), using H2 as its underlying database management system. It also provides methods to obtain resources related to each group.
It</t>
        </is>
      </c>
      <c r="E1538" t="n">
        <v>0.0033</v>
      </c>
      <c r="F1538" t="n">
        <v>0.027</v>
      </c>
      <c r="G1538" t="n">
        <v>0.1087</v>
      </c>
      <c r="H1538" t="inlineStr">
        <is>
          <t>The function provided is a simple addition operation between two numbers 'a' and 'b'. It returns the sum of these two inputs. The complexity of this code snippet is O(1), meaning it executes in constant time regardless of input size.
&lt;jupyter_output&gt;
&lt;empty_output&gt;
&lt;jupyter_text&gt;
In terms</t>
        </is>
      </c>
      <c r="I1538" t="n">
        <v>0.0041</v>
      </c>
      <c r="J1538" t="n">
        <v>0.0702</v>
      </c>
      <c r="K1538" t="n">
        <v>0.1709</v>
      </c>
      <c r="L1538" t="inlineStr">
        <is>
          <t>The code provided is a part of Facebook's Presto project and it deals with managing resource groups for database queries in distributed systems. The main purpose of this module appears to be handling the state transitions between different query states (running or failed) based on certain conditions defined by the system. This functionality could potentially help optimize resource usage within such environments. However, without additional context about the specific use</t>
        </is>
      </c>
      <c r="M1538" t="n">
        <v>0.0037</v>
      </c>
      <c r="N1538" t="n">
        <v>0.0759</v>
      </c>
      <c r="O1538" t="n">
        <v>0.1408</v>
      </c>
    </row>
    <row r="1539">
      <c r="A1539" t="inlineStr">
        <is>
          <t>presto</t>
        </is>
      </c>
      <c r="B1539" t="inlineStr">
        <is>
          <t>presto-tests/src/test/java/com/facebook/presto/execution/resourceGroups/db/H2TestUtil.java</t>
        </is>
      </c>
      <c r="C1539">
        <f>HYPERLINK("https://github.com/prestodb/presto/blob/master/presto-tests/src/test/java/com/facebook/presto/execution/resourceGroups/db/H2TestUtil.java")</f>
        <v/>
      </c>
      <c r="D1539" t="inlineStr">
        <is>
          <t>ThegivencodeislicensedundertheApache License 2.0 and it is a Java code for managing resource groups in Presto SQL query execution. It imports several packages including com.facebook.airlift.json.JsonCodec which provides JSON encoding and decoding capabilities. The main class uses the DbResourceGroupConfig to configure database resources. This includes selecting queries based</t>
        </is>
      </c>
      <c r="E1539" t="n">
        <v>0.0048</v>
      </c>
      <c r="F1539" t="n">
        <v>0.0339</v>
      </c>
      <c r="G1539" t="n">
        <v>0.1271</v>
      </c>
      <c r="H1539" t="inlineStr">
        <is>
          <t>The function provided is a simple addition operation between two numbers 'a' and 'b'. It returns the sum of these two numbers. The complexity of this code is O(1), meaning it executes in constant time regardless of input size.
The Apache License 2.0 applies to this code as per the license notice at the top. This means you can use, modify or</t>
        </is>
      </c>
      <c r="I1539" t="n">
        <v>0.0035</v>
      </c>
      <c r="J1539" t="n">
        <v>0.0556</v>
      </c>
      <c r="K1539" t="n">
        <v>0.1493</v>
      </c>
      <c r="L1539" t="inlineStr">
        <is>
          <t>ThegivenJavaSourcecodehandlesdatabaseaccessmanagementforPrestoqueryexecutors.ItusesaJSONcodecfromAirLiftlibrarytostorageandretrievalofresourcesgroupsconfigurationdata.Thecodehasafollowingstructure:1)Mainclassinitializesessionandsetsupnecessaryobjectsincludingqueriesmanagerandresourcedbprovider.2)Therearemethodsdefinedtocreate</t>
        </is>
      </c>
      <c r="M1539" t="n">
        <v>0</v>
      </c>
      <c r="N1539" t="n">
        <v>0</v>
      </c>
      <c r="O1539" t="n">
        <v>0</v>
      </c>
    </row>
    <row r="1540">
      <c r="A1540" t="inlineStr">
        <is>
          <t>presto</t>
        </is>
      </c>
      <c r="B1540" t="inlineStr">
        <is>
          <t>presto-tests/src/test/java/com/facebook/presto/execution/resourceGroups/db/H2ResourceGroupManagerPlugin.java</t>
        </is>
      </c>
      <c r="C1540">
        <f>HYPERLINK("https://github.com/prestodb/presto/blob/master/presto-tests/src/test/java/com/facebook/presto/execution/resourceGroups/db/H2ResourceGroupManagerPlugin.java")</f>
        <v/>
      </c>
      <c r="D1540" t="inlineStr">
        <is>
          <t>The code provided is a Java class named H2ResourceGroupManagerPlugin that implements the Plugin interface from Presto, which is an open source distributed SQL query engine for big data. This plugin provides resource group management functionality to manage resources in a database environment. The Apache License 2.0 (see http://www.apache.org/licenses/LICENSE-2.0)</t>
        </is>
      </c>
      <c r="E1540" t="n">
        <v>0.005</v>
      </c>
      <c r="F1540" t="n">
        <v>0.0625</v>
      </c>
      <c r="G1540" t="n">
        <v>0.125</v>
      </c>
      <c r="H1540" t="inlineStr">
        <is>
          <t>This repository contains backend software components that implement core algorithms and data structures used by Presto SQL for resource management and query execution. The complexity is O(n), where n represents the number of resources managed by this plugin. It provides a mechanism to manage and allocate resources in an efficient manner based on specific configurations provided by users or automatically adjusted according to system load patterns.
The code</t>
        </is>
      </c>
      <c r="I1540" t="n">
        <v>0.0038</v>
      </c>
      <c r="J1540" t="n">
        <v>0.1299</v>
      </c>
      <c r="K1540" t="n">
        <v>0.3046</v>
      </c>
      <c r="L1540" t="inlineStr">
        <is>
          <t>The provided code is a Java class named `H2ResourceGroupManagerPlugin` which implements the Presto plugin interface and provides an instance of Resource Group Configuration Manager Factory for managing resource groups in H2 database.
Here's its functionality summary: 
1. The main purpose of this class is to manage resources (like memory) efficiently by grouping them into different categories</t>
        </is>
      </c>
      <c r="M1540" t="n">
        <v>0.0043</v>
      </c>
      <c r="N1540" t="n">
        <v>0.0615</v>
      </c>
      <c r="O1540" t="n">
        <v>0.1563</v>
      </c>
    </row>
    <row r="1541">
      <c r="A1541" t="inlineStr">
        <is>
          <t>presto</t>
        </is>
      </c>
      <c r="B1541" t="inlineStr">
        <is>
          <t>presto-tests/src/test/java/com/facebook/presto/execution/resourceGroups/db/TestDistributedQueuesSchedulingPolicy.java</t>
        </is>
      </c>
      <c r="C1541">
        <f>HYPERLINK("https://github.com/prestodb/presto/blob/master/presto-tests/src/test/java/com/facebook/presto/execution/resourceGroups/db/TestDistributedQueuesSchedulingPolicy.java")</f>
        <v/>
      </c>
      <c r="D1541" t="inlineStr">
        <is>
          <t>The code provided is a Java implementation of resource groups for distributed systems using Apache Presto framework and H2 database. It provides functionality to manage resources in the system by creating Resource Group IDs and storing them into an H2 database. The main class `DbBasedResourceGroupManager` manages these resource group operations. This code follows Apache License 2.0 which requires that any derivative works</t>
        </is>
      </c>
      <c r="E1541" t="n">
        <v>0.0039</v>
      </c>
      <c r="F1541" t="n">
        <v>0.08450000000000001</v>
      </c>
      <c r="G1541" t="n">
        <v>0.1493</v>
      </c>
      <c r="H1541" t="inlineStr">
        <is>
          <t>The code you provided is a simple function for addition of two numbers in Python. It takes two parameters 'a' and 'b', adds them together and returns the result. The time complexity of this operation is O(1), meaning it always executes in constant time regardless of input size.
In terms of functionality, this function performs basic arithmetic operations which are fundamental to any programming</t>
        </is>
      </c>
      <c r="I1541" t="n">
        <v>0.0028</v>
      </c>
      <c r="J1541" t="n">
        <v>0.0548</v>
      </c>
      <c r="K1541" t="n">
        <v>0.1103</v>
      </c>
      <c r="L1541" t="inlineStr">
        <is>
          <t>The code provided is a part of Facebook's Presto SQL query execution resource group management system. It includes the implementation of core algorithms for managing and tracking resources used by different queries in an efficient manner. The main purpose of this code seems to be handling the interaction between various components involved in distributed query processing like Resource Group Runtime Info, H2 Resource Groups DAO (Data Access Object</t>
        </is>
      </c>
      <c r="M1541" t="n">
        <v>0.0032</v>
      </c>
      <c r="N1541" t="n">
        <v>0.0779</v>
      </c>
      <c r="O1541" t="n">
        <v>0.1786</v>
      </c>
    </row>
    <row r="1542">
      <c r="A1542" t="inlineStr">
        <is>
          <t>presto</t>
        </is>
      </c>
      <c r="B1542" t="inlineStr">
        <is>
          <t>presto-tests/src/test/java/com/facebook/presto/server/TestClusterStatsResource.java</t>
        </is>
      </c>
      <c r="C1542">
        <f>HYPERLINK("https://github.com/prestodb/presto/blob/master/presto-tests/src/test/java/com/facebook/presto/server/TestClusterStatsResource.java")</f>
        <v/>
      </c>
      <c r="D1542" t="inlineStr">
        <is>
          <t>The code provided is a Java implementation of the Apache Presto server component from Facebook. It uses an HTTP client (Airlift's Jetty based Http Client), which sends requests to other services and processes responses using Thrift protocol. The code also manages encoding and decoding for thrift messages with help of Drift Codec Manager. This software can be used as a</t>
        </is>
      </c>
      <c r="E1542" t="n">
        <v>0.0071</v>
      </c>
      <c r="F1542" t="n">
        <v>0.058</v>
      </c>
      <c r="G1542" t="n">
        <v>0.2818</v>
      </c>
      <c r="H1542" t="inlineStr">
        <is>
          <t>The code provided is a simple function for addition of two numbers in Python named "add". It takes as input parameters 'a' and 'b', performs the operation 'a + b' and returns the result. The complexity of this function is O(1), meaning it has constant time complexity since no loop or recursive calls are made to perform any operations on the inputs.
The</t>
        </is>
      </c>
      <c r="I1542" t="n">
        <v>0.0029</v>
      </c>
      <c r="J1542" t="n">
        <v>0.0563</v>
      </c>
      <c r="K1542" t="n">
        <v>0.1111</v>
      </c>
      <c r="L1542" t="inlineStr">
        <is>
          <t>The code provided is a Java implementation of the Presto SQL query execution engine by Facebook. It uses Apache Thrift for communication with other components and Jetty as its HTTP client library. The main purpose of this software component seems to be handling requests from clients (possibly web browsers) that want to execute presto queries against their data sources.
It takes in inputs such</t>
        </is>
      </c>
      <c r="M1542" t="n">
        <v>0.0034</v>
      </c>
      <c r="N1542" t="n">
        <v>0.0556</v>
      </c>
      <c r="O1542" t="n">
        <v>0.2735</v>
      </c>
    </row>
    <row r="1543">
      <c r="A1543" t="inlineStr">
        <is>
          <t>presto</t>
        </is>
      </c>
      <c r="B1543" t="inlineStr">
        <is>
          <t>presto-tests/src/test/java/com/facebook/presto/server/TestServerInfoResource.java</t>
        </is>
      </c>
      <c r="C1543">
        <f>HYPERLINK("https://github.com/prestodb/presto/blob/master/presto-tests/src/test/java/com/facebook/presto/server/TestServerInfoResource.java")</f>
        <v/>
      </c>
      <c r="D1543" t="inlineStr">
        <is>
          <t>The code provided is a Java implementation of the Presto server component from Facebook's Drift framework. It uses Apache Thrift for communication and HTTP client to communicate with other services in the system. The license under which this software can be used is specified at http://www.apache.org/licenses/LICENSE-2.0. This repository contains backend components implementing core algorithms</t>
        </is>
      </c>
      <c r="E1543" t="n">
        <v>0.0048</v>
      </c>
      <c r="F1543" t="n">
        <v>0.1143</v>
      </c>
      <c r="G1543" t="n">
        <v>0.3384</v>
      </c>
      <c r="H1543" t="inlineStr">
        <is>
          <t>The code you provided is a simple function that adds two numbers together using the + operator in Java. The functionality of this code can be summarized as follows: It takes two parameters (numbers), performs an addition operation on them and returns the result. This process has a time complexity of O(1).
Here's the summary for your code snippet: 
```</t>
        </is>
      </c>
      <c r="I1543" t="n">
        <v>0.004</v>
      </c>
      <c r="J1543" t="n">
        <v>0.0588</v>
      </c>
      <c r="K1543" t="n">
        <v>0.1136</v>
      </c>
      <c r="L1543" t="inlineStr">
        <is>
          <t>The code provided is a Java implementation of the Presto SQL query execution engine from Facebook's Drift framework. It uses Apache Thrift for serialization and deserialization of requests and responses between client and server components. The main purpose of this software component appears to be handling HTTP requests made by clients (typically web browsers) containing SQL queries that need to be executed on some backend</t>
        </is>
      </c>
      <c r="M1543" t="n">
        <v>0.0033</v>
      </c>
      <c r="N1543" t="n">
        <v>0.0541</v>
      </c>
      <c r="O1543" t="n">
        <v>0.2715</v>
      </c>
    </row>
    <row r="1544">
      <c r="A1544" t="inlineStr">
        <is>
          <t>presto</t>
        </is>
      </c>
      <c r="B1544" t="inlineStr">
        <is>
          <t>presto-tests/src/test/java/com/facebook/presto/server/TestTaskInfoResource.java</t>
        </is>
      </c>
      <c r="C1544">
        <f>HYPERLINK("https://github.com/prestodb/presto/blob/master/presto-tests/src/test/java/com/facebook/presto/server/TestTaskInfoResource.java")</f>
        <v/>
      </c>
      <c r="D1544" t="inlineStr">
        <is>
          <t>ThegivenJava code is a part of Presto server implementation which uses Apache Airlift's Http Client to make HTTP requests. The client makes use of Jetty as the underlying HTTP engine for handling these requests. It also includes classes related to query execution and stage information management. This code is licensed under the Apache License 2.0 making it open source with conditions that you may not</t>
        </is>
      </c>
      <c r="E1544" t="n">
        <v>0.0033</v>
      </c>
      <c r="F1544" t="n">
        <v>0.0533</v>
      </c>
      <c r="G1544" t="n">
        <v>0.146</v>
      </c>
      <c r="H1544" t="inlineStr">
        <is>
          <t>The code you provided is a simple function for addition of two numbers in Python. It takes two parameters (numbers), adds them together and returns the result. The time complexity is O(1).
Here's the summary: 
```python
# Licensed under the Apache License, Version 2.0 (the "License");
# you may not use this file</t>
        </is>
      </c>
      <c r="I1544" t="n">
        <v>0.0035</v>
      </c>
      <c r="J1544" t="n">
        <v>0.0645</v>
      </c>
      <c r="K1544" t="n">
        <v>0.12</v>
      </c>
      <c r="L1544" t="inlineStr">
        <is>
          <t>The code you provided is a part of Facebook's Presto SQL query execution system. It uses the Apache Jetty HTTP client to make requests and handle responses from an external server. The main purpose of this module seems to be managing communication with such servers for executing queries in distributed systems.
It takes as input data about stages of a running query (represented by `St</t>
        </is>
      </c>
      <c r="M1544" t="n">
        <v>0.0033</v>
      </c>
      <c r="N1544" t="n">
        <v>0.0541</v>
      </c>
      <c r="O1544" t="n">
        <v>0.146</v>
      </c>
    </row>
    <row r="1545">
      <c r="A1545" t="inlineStr">
        <is>
          <t>presto</t>
        </is>
      </c>
      <c r="B1545" t="inlineStr">
        <is>
          <t>presto-tests/src/test/java/com/facebook/presto/server/TestCompression.java</t>
        </is>
      </c>
      <c r="C1545">
        <f>HYPERLINK("https://github.com/prestodb/presto/blob/master/presto-tests/src/test/java/com/facebook/presto/server/TestCompression.java")</f>
        <v/>
      </c>
      <c r="D1545" t="inlineStr">
        <is>
          <t>The code provided is a test class for testing compression in the Presto framework developed by Facebook. It contains one method `testCompression` that tests whether certain conditions are met when compressing data using various algorithms. The conditions being tested include correctness of results and performance metrics such as execution time and memory usage. This code does not contain any actual implementation but serves as an example or template to</t>
        </is>
      </c>
      <c r="E1545" t="n">
        <v>0.0031</v>
      </c>
      <c r="F1545" t="n">
        <v>0.0519</v>
      </c>
      <c r="G1545" t="n">
        <v>0.1418</v>
      </c>
      <c r="H1545" t="inlineStr">
        <is>
          <t>The function provided is a simple addition operation between two numbers 'a' and 'b'. It takes in two parameters (numbers), adds them together and returns the result. The complexity of this function is O(1).
&lt;jupyter_output&gt;
&lt;empty_output&gt;
&lt;jupyter_text&gt;
Question 1:Write a Python program</t>
        </is>
      </c>
      <c r="I1545" t="n">
        <v>0.0044</v>
      </c>
      <c r="J1545" t="n">
        <v>0.0727</v>
      </c>
      <c r="K1545" t="n">
        <v>0.1316</v>
      </c>
      <c r="L1545" t="inlineStr">
        <is>
          <t>The provided code is a test class in Java named `TestCompression`. This class tests the compression functionality of Presto, an open source distributed SQL query engine for big data.
Here's what it does: 
It defines a method called `testCompressionSummary()` which uses TestNG framework to run unit tests on the compression feature of Presto</t>
        </is>
      </c>
      <c r="M1545" t="n">
        <v>0.0041</v>
      </c>
      <c r="N1545" t="n">
        <v>0.0645</v>
      </c>
      <c r="O1545" t="n">
        <v>0.08</v>
      </c>
    </row>
    <row r="1546">
      <c r="A1546" t="inlineStr">
        <is>
          <t>presto</t>
        </is>
      </c>
      <c r="B1546" t="inlineStr">
        <is>
          <t>presto-tests/src/test/java/com/facebook/presto/server/TestAsyncPageTransportServlet.java</t>
        </is>
      </c>
      <c r="C1546">
        <f>HYPERLINK("https://github.com/prestodb/presto/blob/master/presto-tests/src/test/java/com/facebook/presto/server/TestAsyncPageTransportServlet.java")</f>
        <v/>
      </c>
      <c r="D1546" t="inlineStr">
        <is>
          <t>The code provided is a Java class that handles HTTP requests and responses for the Presto server application. It appears to be part of Facebook's infrastructure which provides distributed SQL query execution service. The license at the top indicates it may not be open source but under an Apache 2.0 License. This means anyone can use this software in any way they want as long as they comply with the</t>
        </is>
      </c>
      <c r="E1546" t="n">
        <v>0.0034</v>
      </c>
      <c r="F1546" t="n">
        <v>0.05</v>
      </c>
      <c r="G1546" t="n">
        <v>0.2223</v>
      </c>
      <c r="H1546" t="inlineStr">
        <is>
          <t>The provided code is a Java function that performs addition of two numbers using the '+' operator. The complexity of this operation is O(1), meaning it takes constant time to execute regardless of the size of input data. This function does not contain any loops or recursive calls which makes it efficient for large datasets as well. It also follows good coding practices such as clear naming and comments explaining</t>
        </is>
      </c>
      <c r="I1546" t="n">
        <v>0.0031</v>
      </c>
      <c r="J1546" t="n">
        <v>0.0769</v>
      </c>
      <c r="K1546" t="n">
        <v>0.1056</v>
      </c>
      <c r="L1546" t="inlineStr">
        <is>
          <t>The code you provided is a part of the Presto SQL server implementation in Java. The main purpose of this class seems to be managing task execution and buffer management for HTTP requests and responses.
It takes as input an HttpServletRequest object which contains information about the client request, such as query parameters or headers. It also receives an HttpServletResponse object that it uses to send back</t>
        </is>
      </c>
      <c r="M1546" t="n">
        <v>0.0027</v>
      </c>
      <c r="N1546" t="n">
        <v>0.0533</v>
      </c>
      <c r="O1546" t="n">
        <v>0.1439</v>
      </c>
    </row>
    <row r="1547">
      <c r="A1547" t="inlineStr">
        <is>
          <t>presto</t>
        </is>
      </c>
      <c r="B1547" t="inlineStr">
        <is>
          <t>presto-tests/src/test/java/com/facebook/presto/server/TestResourceGroupStateInfoResource.java</t>
        </is>
      </c>
      <c r="C1547">
        <f>HYPERLINK("https://github.com/prestodb/presto/blob/master/presto-tests/src/test/java/com/facebook/presto/server/TestResourceGroupStateInfoResource.java")</f>
        <v/>
      </c>
      <c r="D1547" t="inlineStr">
        <is>
          <t>The code provided is a Java implementation of Presto Server from Facebook's Airlift library that uses HTTP client to communicate with other services in the system. It also includes configurations for resource groups and file resources group configuration manager factory. The license at the top specifies Apache License 2.0 which means you can use this software freely under certain conditions.
Please note that without seeing the</t>
        </is>
      </c>
      <c r="E1547" t="n">
        <v>0.0033</v>
      </c>
      <c r="F1547" t="n">
        <v>0.0526</v>
      </c>
      <c r="G1547" t="n">
        <v>0.2696</v>
      </c>
      <c r="H1547" t="inlineStr">
        <is>
          <t>The code provided is a simple function for addition of two numbers in Python named `add` which takes 2 parameters and returns their sum. The time complexity of this operation is O(1), meaning it always executes the same number of operations regardless of input size.
In terms of license information at the top of the file, it's Apache License Version 2.0 (</t>
        </is>
      </c>
      <c r="I1547" t="n">
        <v>0.0029</v>
      </c>
      <c r="J1547" t="n">
        <v>0.0556</v>
      </c>
      <c r="K1547" t="n">
        <v>0.1119</v>
      </c>
      <c r="L1547" t="inlineStr">
        <is>
          <t>The provided code is a Java implementation of the Presto server component from Facebook's Hive &amp; Presto SQL query engine. It uses several libraries such as Airlift Http Client and Google Guava for networking and data processing respectively. The main purpose of this code seems to be managing HTTP requests (using the JettyHttpClient) towards various endpoints on which other components like P</t>
        </is>
      </c>
      <c r="M1547" t="n">
        <v>0.0029</v>
      </c>
      <c r="N1547" t="n">
        <v>0.0571</v>
      </c>
      <c r="O1547" t="n">
        <v>0.1493</v>
      </c>
    </row>
    <row r="1548">
      <c r="A1548" t="inlineStr">
        <is>
          <t>presto</t>
        </is>
      </c>
      <c r="B1548" t="inlineStr">
        <is>
          <t>presto-tests/src/test/java/com/facebook/presto/server/TestQueryResource.java</t>
        </is>
      </c>
      <c r="C1548">
        <f>HYPERLINK("https://github.com/prestodb/presto/blob/master/presto-tests/src/test/java/com/facebook/presto/server/TestQueryResource.java")</f>
        <v/>
      </c>
      <c r="D1548" t="inlineStr">
        <is>
          <t>The code provided is a Java implementation of Presto Server and its related components for running SQL queries on distributed systems. It uses Apache License 2.0 as the open source license. The server communicates with clients over HTTP using an HttpClient from Airlift library which provides Jetty based HTTP client. This allows it to distribute query execution across multiple nodes in a cluster.</t>
        </is>
      </c>
      <c r="E1548" t="n">
        <v>0.0034</v>
      </c>
      <c r="F1548" t="n">
        <v>0.0556</v>
      </c>
      <c r="G1548" t="n">
        <v>0.1481</v>
      </c>
      <c r="H1548" t="inlineStr">
        <is>
          <t>The code provided is a Java implementation of the add function that takes two numbers as input and returns their sum. The complexity of this operation is O(1), meaning it performs a constant number of operations regardless of the size of the inputs.
Here's the summary for the given code: 
```java
public class Main {
    public static void main(String[]</t>
        </is>
      </c>
      <c r="I1548" t="n">
        <v>0.0031</v>
      </c>
      <c r="J1548" t="n">
        <v>0.08699999999999999</v>
      </c>
      <c r="K1548" t="n">
        <v>0.1527</v>
      </c>
      <c r="L1548" t="inlineStr">
        <is>
          <t>The code provided is a part of the Presto SQL query execution engine and it's responsible for managing HTTP requests to communicate with other components in the system such as Coordinator and Workers. It uses Apache Jetty Http Client library for making these requests. The main purpose of this module seems to be handling communication between different parts of the distributed presto environment.
Here</t>
        </is>
      </c>
      <c r="M1548" t="n">
        <v>0.0034</v>
      </c>
      <c r="N1548" t="n">
        <v>0.0548</v>
      </c>
      <c r="O1548" t="n">
        <v>0.1471</v>
      </c>
    </row>
    <row r="1549">
      <c r="A1549" t="inlineStr">
        <is>
          <t>presto</t>
        </is>
      </c>
      <c r="B1549" t="inlineStr">
        <is>
          <t>presto-tests/src/test/java/com/facebook/presto/server/TestCoordinatorPluginIntegration.java</t>
        </is>
      </c>
      <c r="C1549">
        <f>HYPERLINK("https://github.com/prestodb/presto/blob/master/presto-tests/src/test/java/com/facebook/presto/server/TestCoordinatorPluginIntegration.java")</f>
        <v/>
      </c>
      <c r="D1549" t="inlineStr">
        <is>
          <t>The code provided is a Java class named `TestCoordinatorPluginIntegration` that tests the functionality of Presto Server using TestNG annotations and Google's Guava library for collections. The testing server instance variable is defined as a final field with type `TestingPrestoServer`. This means it cannot be changed after initialization in the constructor or method scope. It also</t>
        </is>
      </c>
      <c r="E1549" t="n">
        <v>0.0044</v>
      </c>
      <c r="F1549" t="n">
        <v>0.0625</v>
      </c>
      <c r="G1549" t="n">
        <v>0.1181</v>
      </c>
      <c r="H1549" t="inlineStr">
        <is>
          <t>The code provided is a Java class named `TestCoordinatorPluginIntegration` which contains several private fields and methods for testing Presto server components related to coordinators. This class also has some comments explaining the purpose of different parts of the code. The license at the top of this file states that it's licensed under Apache License 2.0.
In terms of</t>
        </is>
      </c>
      <c r="I1549" t="n">
        <v>0.0037</v>
      </c>
      <c r="J1549" t="n">
        <v>0.0294</v>
      </c>
      <c r="K1549" t="n">
        <v>0.1154</v>
      </c>
      <c r="L1549" t="inlineStr">
        <is>
          <t>The provided code is a test class for integration testing of the Test Coordinator Plugin in Presto Server using TestNG framework. The purpose of this class is to verify and validate the functionality of the plugin with respect to various aspects like performance, reliability etc.
It uses an instance of `TestingPrestoServer` which sets up a local embedded presto server environment</t>
        </is>
      </c>
      <c r="M1549" t="n">
        <v>0.0036</v>
      </c>
      <c r="N1549" t="n">
        <v>0.0588</v>
      </c>
      <c r="O1549" t="n">
        <v>0.1136</v>
      </c>
    </row>
    <row r="1550">
      <c r="A1550" t="inlineStr">
        <is>
          <t>presto</t>
        </is>
      </c>
      <c r="B1550" t="inlineStr">
        <is>
          <t>presto-tests/src/test/java/com/facebook/presto/utils/QueryExecutionClientUtil.java</t>
        </is>
      </c>
      <c r="C1550">
        <f>HYPERLINK("https://github.com/prestodb/presto/blob/master/presto-tests/src/test/java/com/facebook/presto/utils/QueryExecutionClientUtil.java")</f>
        <v/>
      </c>
      <c r="D1550" t="inlineStr">
        <is>
          <t>ThegivenJava code is a part of the Presto SQL query execution engine and it's licensed under Apache License 2.0 (see link in comments). It includes import statements for various libraries related to HTTP client requests, JSON parsing, presto server testing etc., which are used for interacting with external services or APIs. The main purpose seems to be executing queries on an underlying</t>
        </is>
      </c>
      <c r="E1550" t="n">
        <v>0.0029</v>
      </c>
      <c r="F1550" t="n">
        <v>0.0278</v>
      </c>
      <c r="G1550" t="n">
        <v>0.0746</v>
      </c>
      <c r="H1550" t="inlineStr">
        <is>
          <t>The code provided is a Java function that performs addition of two numbers using the + operator. It takes in two parameters (numbers), adds them together and returns the result. The time complexity of this operation is O(1). This means it always executes in constant time regardless of the size of input data.
In terms of licensing, it appears to be Apache License Version</t>
        </is>
      </c>
      <c r="I1550" t="n">
        <v>0.0034</v>
      </c>
      <c r="J1550" t="n">
        <v>0.0556</v>
      </c>
      <c r="K1550" t="n">
        <v>0.1103</v>
      </c>
      <c r="L1550" t="inlineStr">
        <is>
          <t>The code provided is a part of Presto SQL query execution system. It includes the implementation for making HTTP requests to communicate with an external service and handling JSON responses. The main purpose of this module seems to be executing queries against some sort of distributed data store using RESTful API calls. 
It uses Apache Airlift's HttpClient library to make these requests and JsonCode</t>
        </is>
      </c>
      <c r="M1550" t="n">
        <v>0.0034</v>
      </c>
      <c r="N1550" t="n">
        <v>0.0822</v>
      </c>
      <c r="O1550" t="n">
        <v>0.1838</v>
      </c>
    </row>
    <row r="1551">
      <c r="A1551" t="inlineStr">
        <is>
          <t>presto</t>
        </is>
      </c>
      <c r="B1551" t="inlineStr">
        <is>
          <t>presto-tests/src/test/java/com/facebook/presto/utils/ResourceUtils.java</t>
        </is>
      </c>
      <c r="C1551">
        <f>HYPERLINK("https://github.com/prestodb/presto/blob/master/presto-tests/src/test/java/com/facebook/presto/utils/ResourceUtils.java")</f>
        <v/>
      </c>
      <c r="D1551" t="inlineStr">
        <is>
          <t>The code provided is a utility class for handling resources in the Presto project (a distributed SQL query engine). It provides one static method `getResourceFilePath` which creates a temporary file with a given name and returns its path as a string. The purpose of this utility might be to handle resource files during testing or other operations related to software development.
However, without more context</t>
        </is>
      </c>
      <c r="E1551" t="n">
        <v>0.0033</v>
      </c>
      <c r="F1551" t="n">
        <v>0.0548</v>
      </c>
      <c r="G1551" t="n">
        <v>0.1095</v>
      </c>
      <c r="H1551" t="inlineStr">
        <is>
          <t>The provided code is a utility class for handling resources in Java. It provides a method to get the file path of a resource file that will be used during testing. The function creates a temporary file with a specified name and returns its absolute path as a string. If any error occurs while creating or accessing this file, an `UncheckedIOException` is thrown.
Here's a</t>
        </is>
      </c>
      <c r="I1551" t="n">
        <v>0.0028</v>
      </c>
      <c r="J1551" t="n">
        <v>0.0541</v>
      </c>
      <c r="K1551" t="n">
        <v>0.1095</v>
      </c>
      <c r="L1551" t="inlineStr">
        <is>
          <t>The provided code is a utility class named `ResourceUtils` in the package `com.facebook.presto.utils` that provides methods for working with resources related to testing presto queries.
Here's an overview of its functionality: 
1. The method `getResourceFilePath` takes a filename as input and creates a temporary file with this name using Java</t>
        </is>
      </c>
      <c r="M1551" t="n">
        <v>0.0037</v>
      </c>
      <c r="N1551" t="n">
        <v>0.0645</v>
      </c>
      <c r="O1551" t="n">
        <v>0.123</v>
      </c>
    </row>
    <row r="1552">
      <c r="A1552" t="inlineStr">
        <is>
          <t>presto</t>
        </is>
      </c>
      <c r="B1552" t="inlineStr">
        <is>
          <t>presto-tests/src/test/java/com/facebook/presto/functions/TestDuplicateSqlInvokedFunctions.java</t>
        </is>
      </c>
      <c r="C1552">
        <f>HYPERLINK("https://github.com/prestodb/presto/blob/master/presto-tests/src/test/java/com/facebook/presto/functions/TestDuplicateSqlInvokedFunctions.java")</f>
        <v/>
      </c>
      <c r="D1552" t="inlineStr">
        <is>
          <t>The code provided is a Java class named `TestDuplicateSqlInvokedFunctions` that contains several methods annotated with the `@SqlInvokedScalarFunction` annotation from Presto's SPI (Service Provider Interface). These annotations are used to register custom functions in the Presto SQL query engine. The purpose of this class seems to be for testing purposes only as</t>
        </is>
      </c>
      <c r="E1552" t="n">
        <v>0</v>
      </c>
      <c r="F1552" t="n">
        <v>0.0333</v>
      </c>
      <c r="G1552" t="n">
        <v>0.0813</v>
      </c>
      <c r="H1552" t="inlineStr">
        <is>
          <t>The provided code is a Java class named `TestDuplicateSqlInvokedFunctions` that contains an annotated method for a SQL invoked scalar function called "add". This function takes two parameters of type DOUBLE and returns their sum as another double value. The complexity of this operation is O(1), meaning it performs constant time operations regardless of the size of input data.</t>
        </is>
      </c>
      <c r="I1552" t="n">
        <v>0.0037</v>
      </c>
      <c r="J1552" t="n">
        <v>0.0896</v>
      </c>
      <c r="K1552" t="n">
        <v>0.1538</v>
      </c>
      <c r="L1552" t="inlineStr">
        <is>
          <t>The provided code is a Java class named `TestDuplicateSqlInvokedFunctions` that contains two methods annotated with the `@SqlInvokedScalarFunction` annotation from Presto SQL framework for defining scalar functions in Presto SQL query language. The purpose of this class seems to be testing duplicate registration of these custom defined function annotations which could lead to unexpected behavior or errors</t>
        </is>
      </c>
      <c r="M1552" t="n">
        <v>0</v>
      </c>
      <c r="N1552" t="n">
        <v>0.0625</v>
      </c>
      <c r="O1552" t="n">
        <v>0.0781</v>
      </c>
    </row>
    <row r="1553">
      <c r="A1553" t="inlineStr">
        <is>
          <t>presto</t>
        </is>
      </c>
      <c r="B1553" t="inlineStr">
        <is>
          <t>presto-tests/src/test/java/com/facebook/presto/functions/TestSqlInvokedFunctionsPlugin.java</t>
        </is>
      </c>
      <c r="C1553">
        <f>HYPERLINK("https://github.com/prestodb/presto/blob/master/presto-tests/src/test/java/com/facebook/presto/functions/TestSqlInvokedFunctionsPlugin.java")</f>
        <v/>
      </c>
      <c r="D1553" t="inlineStr">
        <is>
          <t>The code provided is a Java class named `TestSqlInvokedFunctionsPlugin` which contains the definition of an invoked scalar function in Presto SQL. It's licensed under Apache License 2.0 and includes comments explaining its functionality. The class does not contain any methods or functions but it imports several classes from the package `com.facebook.presto.spi</t>
        </is>
      </c>
      <c r="E1553" t="n">
        <v>0.0036</v>
      </c>
      <c r="F1553" t="n">
        <v>0.0625</v>
      </c>
      <c r="G1553" t="n">
        <v>0.0813</v>
      </c>
      <c r="H1553" t="inlineStr">
        <is>
          <t>The provided code is a Java class that contains an invoked scalar function for addition in the Presto SQL framework by Facebook. The add function takes two parameters and returns their sum.
Here's how it works:
```java
@SqlInvokedScalarFunction(
    name = "add", 
    functions = { @FunctionSelector("+") }</t>
        </is>
      </c>
      <c r="I1553" t="n">
        <v>0.004</v>
      </c>
      <c r="J1553" t="n">
        <v>0.0784</v>
      </c>
      <c r="K1553" t="n">
        <v>0.0847</v>
      </c>
      <c r="L1553" t="inlineStr">
        <is>
          <t>The provided code is a Java class named `TestSqlInvokedFunctionsPlugin` that contains several methods annotated with the `@SqlInvokedScalarFunction` annotation from Presto's SPI (Service Provider Interface) package. These annotations are used to indicate which functions in this plugin will be made available for use within the Presto SQL query language.</t>
        </is>
      </c>
      <c r="M1553" t="n">
        <v>0</v>
      </c>
      <c r="N1553" t="n">
        <v>0.0351</v>
      </c>
      <c r="O1553" t="n">
        <v>0.0833</v>
      </c>
    </row>
    <row r="1554">
      <c r="A1554" t="inlineStr">
        <is>
          <t>presto</t>
        </is>
      </c>
      <c r="B1554" t="inlineStr">
        <is>
          <t>presto-tests/src/test/java/com/facebook/presto/functions/TestPluginLoadedDuplicateSqlInvokedFunctions.java</t>
        </is>
      </c>
      <c r="C1554">
        <f>HYPERLINK("https://github.com/prestodb/presto/blob/master/presto-tests/src/test/java/com/facebook/presto/functions/TestPluginLoadedDuplicateSqlInvokedFunctions.java")</f>
        <v/>
      </c>
      <c r="D1554" t="inlineStr">
        <is>
          <t>The code provided is a Java implementation of the Apache License 2.0 which governs how users can use and distribute software distributed under this license. The license allows for free redistribution as long as it remains in compliance with the terms set forth by the original author or contributors. It also provides specific language governing permissions and limitations.
The main part of the code seems to be</t>
        </is>
      </c>
      <c r="E1554" t="n">
        <v>0.0032</v>
      </c>
      <c r="F1554" t="n">
        <v>0.0526</v>
      </c>
      <c r="G1554" t="n">
        <v>0.1799</v>
      </c>
      <c r="H1554" t="inlineStr">
        <is>
          <t>The code provided is a simple function that adds two numbers together in Python. It takes as input parameters 'a' and 'b', performs the addition operation on them, and then returns the result. The time complexity of this function is O(1), meaning it always executes in constant time regardless of the size of the inputs.
In Java, the same functionality could be achieved with</t>
        </is>
      </c>
      <c r="I1554" t="n">
        <v>0.0034</v>
      </c>
      <c r="J1554" t="n">
        <v>0.0548</v>
      </c>
      <c r="K1554" t="n">
        <v>0.1103</v>
      </c>
      <c r="L1554" t="inlineStr">
        <is>
          <t>The provided code is a Java implementation of the Array Intersection Function in Presto SQL (a distributed SQL query engine). The main purpose of this function is to find common elements between two arrays. It takes as input two array parameters and returns an output array containing only those elements which are present in both inputs. This functionality enhances the ability to perform set operations within queries executed on big data platforms</t>
        </is>
      </c>
      <c r="M1554" t="n">
        <v>0.0033</v>
      </c>
      <c r="N1554" t="n">
        <v>0.075</v>
      </c>
      <c r="O1554" t="n">
        <v>0.1389</v>
      </c>
    </row>
    <row r="1555">
      <c r="A1555" t="inlineStr">
        <is>
          <t>presto</t>
        </is>
      </c>
      <c r="B1555" t="inlineStr">
        <is>
          <t>presto-tests/src/test/java/com/facebook/presto/functions/TestBuiltInConnectorFunctions.java</t>
        </is>
      </c>
      <c r="C1555">
        <f>HYPERLINK("https://github.com/prestodb/presto/blob/master/presto-tests/src/test/java/com/facebook/presto/functions/TestBuiltInConnectorFunctions.java")</f>
        <v/>
      </c>
      <c r="D1555" t="inlineStr">
        <is>
          <t>The provided code is a Java implementation of core algorithms used in the Presto SQL query engine by Facebook. The main functionalities include timezone conversion and normalization functions for map data types. It also includes aggregation function implementations such as Count Aggregation. However, without more specific details about what exactly this code does or its purpose, it's hard to provide an accurate summary.</t>
        </is>
      </c>
      <c r="E1555" t="n">
        <v>0.0034</v>
      </c>
      <c r="F1555" t="n">
        <v>0.1111</v>
      </c>
      <c r="G1555" t="n">
        <v>0.1852</v>
      </c>
      <c r="H1555" t="inlineStr">
        <is>
          <t>The code provided is a Java function for addition of two numbers (a and b). It takes in two parameters 'a' and 'b', performs the operation 'a + b', and returns the result. The time complexity of this function is O(1), meaning it executes in constant time regardless of the size of inputs 'a' and 'b'.
In terms of lic</t>
        </is>
      </c>
      <c r="I1555" t="n">
        <v>0.003</v>
      </c>
      <c r="J1555" t="n">
        <v>0.0882</v>
      </c>
      <c r="K1555" t="n">
        <v>0.1136</v>
      </c>
      <c r="L1555" t="inlineStr">
        <is>
          <t>The code provided is part of a larger Presto SQL query engine project written in Java. The main purpose of this file appears to be the implementation of various functions and operators related to date and time manipulation, type handling, map normalization, aggregation operations (specifically count) and filtering based on maps.
Here's an overview of what it does: 
It</t>
        </is>
      </c>
      <c r="M1555" t="n">
        <v>0.0031</v>
      </c>
      <c r="N1555" t="n">
        <v>0.1176</v>
      </c>
      <c r="O1555" t="n">
        <v>0.1527</v>
      </c>
    </row>
    <row r="1556">
      <c r="A1556" t="inlineStr">
        <is>
          <t>presto</t>
        </is>
      </c>
      <c r="B1556" t="inlineStr">
        <is>
          <t>presto-tests/src/test/java/com/facebook/presto/functions/TestConnectorSystemFunctions.java</t>
        </is>
      </c>
      <c r="C1556">
        <f>HYPERLINK("https://github.com/prestodb/presto/blob/master/presto-tests/src/test/java/com/facebook/presto/functions/TestConnectorSystemFunctions.java")</f>
        <v/>
      </c>
      <c r="D1556" t="inlineStr">
        <is>
          <t>The provided code is a Java class named `TestConnectorSystemFunctions` that contains several methods annotated with various annotations from the Presto framework for SQL functions. The class does not appear to contain any actual logic or functionality per se as it's just a declaration of classes and interfaces used in other parts of the system. It appears to be part of a larger project which may</t>
        </is>
      </c>
      <c r="E1556" t="n">
        <v>0.0033</v>
      </c>
      <c r="F1556" t="n">
        <v>0.0541</v>
      </c>
      <c r="G1556" t="n">
        <v>0.073</v>
      </c>
      <c r="H1556" t="inlineStr">
        <is>
          <t>The function `add` is a scalar function that takes in two parameters (both of type `long`), and returns the sum of these two numbers. The complexity of this operation is O(1). It's used to add two long integers together.
```java
@ScalarFunction("add")
@Description("Returns modulo of value by number Of README: This</t>
        </is>
      </c>
      <c r="I1556" t="n">
        <v>0.0044</v>
      </c>
      <c r="J1556" t="n">
        <v>0.0645</v>
      </c>
      <c r="K1556" t="n">
        <v>0.1639</v>
      </c>
      <c r="L1556" t="inlineStr">
        <is>
          <t>The provided code is a Java class named `TestConnectorSystemFunctions` with one method annotated as @ScalarFunction and two methods annotated as @Description. The purpose of the class seems to be implementing system functions related to testing connectors for Presto SQL query engine. 
The first function appears to return the modulo of an input value by a specified number</t>
        </is>
      </c>
      <c r="M1556" t="n">
        <v>0.0032</v>
      </c>
      <c r="N1556" t="n">
        <v>0.0615</v>
      </c>
      <c r="O1556" t="n">
        <v>0.1163</v>
      </c>
    </row>
    <row r="1557">
      <c r="A1557" t="inlineStr">
        <is>
          <t>presto</t>
        </is>
      </c>
      <c r="B1557" t="inlineStr">
        <is>
          <t>presto-tests/src/test/java/com/facebook/presto/functions/TestFunctions.java</t>
        </is>
      </c>
      <c r="C1557">
        <f>HYPERLINK("https://github.com/prestodb/presto/blob/master/presto-tests/src/test/java/com/facebook/presto/functions/TestFunctions.java")</f>
        <v/>
      </c>
      <c r="D1557" t="inlineStr">
        <is>
          <t>The provided code is a Java class named `TestFunctions` that contains several methods annotated with Presto's annotation library for defining functions in the Presto SQL query engine. The annotations provide metadata about these functions to help the system understand their purpose and behavior.
One of the functions within this class has been decorated with the @Description annotation providing a brief description of</t>
        </is>
      </c>
      <c r="E1557" t="n">
        <v>0.0029</v>
      </c>
      <c r="F1557" t="n">
        <v>0.0563</v>
      </c>
      <c r="G1557" t="n">
        <v>0.1119</v>
      </c>
      <c r="H1557" t="inlineStr">
        <is>
          <t>The provided code is a Java function named `add` that takes two parameters and returns their sum (i.e., addition). The time complexity of this operation is O(1), meaning it performs the same number of operations regardless of input size.
It's annotated with @Description to provide documentation about its purpose and usage in Presto SQL queries. It also uses @</t>
        </is>
      </c>
      <c r="I1557" t="n">
        <v>0.0031</v>
      </c>
      <c r="J1557" t="n">
        <v>0.058</v>
      </c>
      <c r="K1557" t="n">
        <v>0.1527</v>
      </c>
      <c r="L1557" t="inlineStr">
        <is>
          <t>The provided code is a Java implementation of the function "getModuloByNumberOfBuckets". This function calculates and returns the modulo value of an input number based on the total number of buckets or partitions defined. The purpose of this function seems to be in data distribution and partitioning for distributed systems like Hadoop MapReduce or Presto SQL query engine.</t>
        </is>
      </c>
      <c r="M1557" t="n">
        <v>0.0038</v>
      </c>
      <c r="N1557" t="n">
        <v>0.09229999999999999</v>
      </c>
      <c r="O1557" t="n">
        <v>0.155</v>
      </c>
    </row>
    <row r="1558">
      <c r="A1558" t="inlineStr">
        <is>
          <t>presto</t>
        </is>
      </c>
      <c r="B1558" t="inlineStr">
        <is>
          <t>presto-tests/src/test/java/com/facebook/presto/functions/TestPluginLoadedSqlInvokedFunctions.java</t>
        </is>
      </c>
      <c r="C1558">
        <f>HYPERLINK("https://github.com/prestodb/presto/blob/master/presto-tests/src/test/java/com/facebook/presto/functions/TestPluginLoadedSqlInvokedFunctions.java")</f>
        <v/>
      </c>
      <c r="D1558" t="inlineStr">
        <is>
          <t>The code provided is a Java implementation of the Apache License 2.0 which governs the use and distribution of software distributed under this license. It includes conditions for redistribution that must be met in order to distribute software as per the "AS IS" BASIS without warranties or conditions of any kind either expressed or implied by Facebook's agreement with users who choose to comply. The</t>
        </is>
      </c>
      <c r="E1558" t="n">
        <v>0.0033</v>
      </c>
      <c r="F1558" t="n">
        <v>0.0533</v>
      </c>
      <c r="G1558" t="n">
        <v>0.2715</v>
      </c>
      <c r="H1558" t="inlineStr">
        <is>
          <t>The code you provided is a simple function for addition in Python named `add` that takes two arguments and returns their sum. The time complexity of this operation is O(1), meaning it always executes the same number of operations regardless of input size.
Here's a summary: 
```java
// Licensed under the Apache License, Version 2.0 (the</t>
        </is>
      </c>
      <c r="I1558" t="n">
        <v>0.0033</v>
      </c>
      <c r="J1558" t="n">
        <v>0.0606</v>
      </c>
      <c r="K1558" t="n">
        <v>0.1172</v>
      </c>
      <c r="L1558" t="inlineStr">
        <is>
          <t>The provided code is a part of Facebook's Presto project which is an open source distributed SQL query engine for running interactive analytic queries against various data sources such as Hadoop and other types of databases. The main purpose of this code seems to be the implementation of custom functions that can be used in SQL statements within Presto.
There are several classes being imported at the top</t>
        </is>
      </c>
      <c r="M1558" t="n">
        <v>0.0027</v>
      </c>
      <c r="N1558" t="n">
        <v>0.0779</v>
      </c>
      <c r="O1558" t="n">
        <v>0.1429</v>
      </c>
    </row>
    <row r="1559">
      <c r="A1559" t="inlineStr">
        <is>
          <t>presto</t>
        </is>
      </c>
      <c r="B1559" t="inlineStr">
        <is>
          <t>presto-tests/src/test/java/com/facebook/presto/memory/TestClusterMemoryLeakDetector.java</t>
        </is>
      </c>
      <c r="C1559">
        <f>HYPERLINK("https://github.com/prestodb/presto/blob/master/presto-tests/src/test/java/com/facebook/presto/memory/TestClusterMemoryLeakDetector.java")</f>
        <v/>
      </c>
      <c r="D1559" t="inlineStr">
        <is>
          <t>The provided code is a Java class that manages memory usage for Presto, an open source distributed SQL query engine for big data. The Apache License 2.0 is applied to this code which allows users to use it in any way they wish as long as compliance with the license terms are maintained. This includes redistribution of modified versions of the software under certain conditions.</t>
        </is>
      </c>
      <c r="E1559" t="n">
        <v>0.0033</v>
      </c>
      <c r="F1559" t="n">
        <v>0.0541</v>
      </c>
      <c r="G1559" t="n">
        <v>0.1095</v>
      </c>
      <c r="H1559" t="inlineStr">
        <is>
          <t>The code provided is a Java function that adds two numbers together using the + operator. The functionality of this code is to add two numerical inputs and return their sum as output. This operation has a time complexity of O(1), meaning it performs constant number of operations regardless of input size.
The Apache License 2.0 applies to this code, stating that you may not use this</t>
        </is>
      </c>
      <c r="I1559" t="n">
        <v>0.0036</v>
      </c>
      <c r="J1559" t="n">
        <v>0.0526</v>
      </c>
      <c r="K1559" t="n">
        <v>0.1439</v>
      </c>
      <c r="L1559" t="inlineStr">
        <is>
          <t>The provided code is part of a backend software component for Presto SQL, an open source distributed SQL query engine. The main purpose of this module seems to be managing memory usage and statistics related to queries in the system.
It appears to provide classes that handle resource allocation based on QueryIds or Resource Group Ids, as well as tracking and reporting various aspects of each running query'</t>
        </is>
      </c>
      <c r="M1559" t="n">
        <v>0.0035</v>
      </c>
      <c r="N1559" t="n">
        <v>0.0789</v>
      </c>
      <c r="O1559" t="n">
        <v>0.1786</v>
      </c>
    </row>
    <row r="1560">
      <c r="A1560" t="inlineStr">
        <is>
          <t>presto</t>
        </is>
      </c>
      <c r="B1560" t="inlineStr">
        <is>
          <t>presto-tests/src/test/java/com/facebook/presto/memory/TestMemoryManager.java</t>
        </is>
      </c>
      <c r="C1560">
        <f>HYPERLINK("https://github.com/prestodb/presto/blob/master/presto-tests/src/test/java/com/facebook/presto/memory/TestMemoryManager.java")</f>
        <v/>
      </c>
      <c r="D1560" t="inlineStr">
        <is>
          <t>The provided code is a Java implementation of the Apache License 2.0 which governs the use and distribution of software components related to Presto, an open source distributed SQL query engine for big data processing. It includes import statements for various packages like com.facebook.presto.memory etc., defines classes such as ClusterMemoryPoolInfo, QueryId etc., provides methods for managing</t>
        </is>
      </c>
      <c r="E1560" t="n">
        <v>0.0039</v>
      </c>
      <c r="F1560" t="n">
        <v>0.0588</v>
      </c>
      <c r="G1560" t="n">
        <v>0.2466</v>
      </c>
      <c r="H1560" t="inlineStr">
        <is>
          <t>The code provided is a Java function named `add` that takes two parameters and returns their sum. The complexity of this operation is O(1), meaning it always executes in the same amount of time regardless of input size. This function does not import any external libraries or packages, its purpose seems to be basic arithmetic addition only. It's licensed under Apache License 2.0 which</t>
        </is>
      </c>
      <c r="I1560" t="n">
        <v>0.0034</v>
      </c>
      <c r="J1560" t="n">
        <v>0.0533</v>
      </c>
      <c r="K1560" t="n">
        <v>0.1103</v>
      </c>
      <c r="L1560" t="inlineStr">
        <is>
          <t>The provided code is part of a Presto SQL query execution system and it's responsible for managing memory usage in the cluster environment. The main purpose of this module seems to be controlling how much memory resources are allocated per query based on various factors like query complexity or session properties.
It uses core algorithms such as ClusterMemoryPoolInfo which deals with information about memory pools within the</t>
        </is>
      </c>
      <c r="M1560" t="n">
        <v>0.0036</v>
      </c>
      <c r="N1560" t="n">
        <v>0.0789</v>
      </c>
      <c r="O1560" t="n">
        <v>0.1799</v>
      </c>
    </row>
    <row r="1561">
      <c r="A1561" t="inlineStr">
        <is>
          <t>presto</t>
        </is>
      </c>
      <c r="B1561" t="inlineStr">
        <is>
          <t>presto-tests/src/test/java/com/facebook/presto/resourcemanager/TestDistributedQueryInfoResource.java</t>
        </is>
      </c>
      <c r="C1561">
        <f>HYPERLINK("https://github.com/prestodb/presto/blob/master/presto-tests/src/test/java/com/facebook/presto/resourcemanager/TestDistributedQueryInfoResource.java")</f>
        <v/>
      </c>
      <c r="D1561" t="inlineStr">
        <is>
          <t>The code provided is a Java implementation of the Presto resource manager which manages resources for distributed query execution on multiple nodes in a cluster. It uses Apache Airlift's HttpClient to communicate with other components of the system and interacts with various services such as metadata service (managing catalog information), node discovery mechanism (discovering all available nodes), and resource group configuration managers (config</t>
        </is>
      </c>
      <c r="E1561" t="n">
        <v>0.0029</v>
      </c>
      <c r="F1561" t="n">
        <v>0.0556</v>
      </c>
      <c r="G1561" t="n">
        <v>0.1111</v>
      </c>
      <c r="H1561" t="inlineStr">
        <is>
          <t>The code provided is a Java class that uses the Apache HttpClient to make HTTP requests and handle responses from a Presto server instance. The complexity of this implementation is O(n), where n represents the number of nodes in the cluster managed by the AllNodes class. This is because it iterates over each node when creating an instance of TestingPrestoServer.
In</t>
        </is>
      </c>
      <c r="I1561" t="n">
        <v>0.0036</v>
      </c>
      <c r="J1561" t="n">
        <v>0.0571</v>
      </c>
      <c r="K1561" t="n">
        <v>0.1504</v>
      </c>
      <c r="L1561" t="inlineStr">
        <is>
          <t>The provided code is a Java implementation of the Presto resource manager module from Facebook's open source project. It manages resources for queries in an efficient manner by utilizing various strategies and algorithms to optimize query performance based on available system resources.
The main purpose of this code seems to be managing resources across multiple nodes (clusters) using HTTP client communication. The inputs are likely</t>
        </is>
      </c>
      <c r="M1561" t="n">
        <v>0.0033</v>
      </c>
      <c r="N1561" t="n">
        <v>0.0541</v>
      </c>
      <c r="O1561" t="n">
        <v>0.1825</v>
      </c>
    </row>
    <row r="1562">
      <c r="A1562" t="inlineStr">
        <is>
          <t>presto</t>
        </is>
      </c>
      <c r="B1562" t="inlineStr">
        <is>
          <t>presto-tests/src/test/java/com/facebook/presto/resourcemanager/TestRaftServer.java</t>
        </is>
      </c>
      <c r="C1562">
        <f>HYPERLINK("https://github.com/prestodb/presto/blob/master/presto-tests/src/test/java/com/facebook/presto/resourcemanager/TestRaftServer.java")</f>
        <v/>
      </c>
      <c r="D1562" t="inlineStr">
        <is>
          <t>The code provided is a Java implementation of the Presto resource manager component from Facebook's Airlift library. It manages resources for distributed systems and provides an interface to interact with the underlying system through HTTP requests. The license at the top indicates that this software can be used under certain conditions specified in the Apache License 2.0.
It uses several classes related to node management</t>
        </is>
      </c>
      <c r="E1562" t="n">
        <v>0.0033</v>
      </c>
      <c r="F1562" t="n">
        <v>0.0533</v>
      </c>
      <c r="G1562" t="n">
        <v>0.2715</v>
      </c>
      <c r="H1562" t="inlineStr">
        <is>
          <t>The code provided is a simple addition function in Java named add which takes two parameters and returns their sum. It has an average complexity of O(1), meaning it performs constant time operations regardless of the size or number of inputs. The Apache License 2.0 applies to this code as stated at the top.
Please provide more context for further explanation if needed.</t>
        </is>
      </c>
      <c r="I1562" t="n">
        <v>0.0029</v>
      </c>
      <c r="J1562" t="n">
        <v>0.0548</v>
      </c>
      <c r="K1562" t="n">
        <v>0.1111</v>
      </c>
      <c r="L1562" t="inlineStr">
        <is>
          <t>The provided code is a part of Facebook's Presto resource manager component. It creates an HTTP client for communication with other components in the system and manages resources such as memory usage. The main purpose of this class seems to be managing distributed queries across multiple nodes. 
It uses core algorithms from Airlift library (which provides utilities for building HTTP clients) and interacts</t>
        </is>
      </c>
      <c r="M1562" t="n">
        <v>0.0034</v>
      </c>
      <c r="N1562" t="n">
        <v>0.0833</v>
      </c>
      <c r="O1562" t="n">
        <v>0.1481</v>
      </c>
    </row>
    <row r="1563">
      <c r="A1563" t="inlineStr">
        <is>
          <t>presto</t>
        </is>
      </c>
      <c r="B1563" t="inlineStr">
        <is>
          <t>presto-tests/src/test/java/com/facebook/presto/resourcemanager/TestDistributedQueryResource.java</t>
        </is>
      </c>
      <c r="C1563">
        <f>HYPERLINK("https://github.com/prestodb/presto/blob/master/presto-tests/src/test/java/com/facebook/presto/resourcemanager/TestDistributedQueryResource.java")</f>
        <v/>
      </c>
      <c r="D1563" t="inlineStr">
        <is>
          <t>ThegivenJava code is a part of the Presto resource manager package which manages resources for queries in an environment where multiple users can run concurrently. The Apache License 2.0 applies to this code and it's distributed on an "AS IS" BASIS without warranties or conditions of any kind either expressed or implied. It uses Jetty Http Client for making</t>
        </is>
      </c>
      <c r="E1563" t="n">
        <v>0.0031</v>
      </c>
      <c r="F1563" t="n">
        <v>0.058</v>
      </c>
      <c r="G1563" t="n">
        <v>0.1145</v>
      </c>
      <c r="H1563" t="inlineStr">
        <is>
          <t>The code is a Java implementation of the Apache License version 2.0 which defines conditions under which you may use this file and obtain a copy of the license at http://www.apache.org/licenses/LICENSE-2.0. It also specifies limitations on what you can do with it if not in compliance with these terms. The code does not seem to be related directly to</t>
        </is>
      </c>
      <c r="I1563" t="n">
        <v>0.0031</v>
      </c>
      <c r="J1563" t="n">
        <v>0.0533</v>
      </c>
      <c r="K1563" t="n">
        <v>0.1527</v>
      </c>
      <c r="L1563" t="inlineStr">
        <is>
          <t>The provided code is a part of the Presto resource manager component in Facebook's Hadoop query processing framework. It sets up and manages resources for queries submitted to the system by clients. The main purpose of this module appears to be managing memory usage within the system, particularly with regard to file caching. 
It uses an HTTP client library (`com.facebook.</t>
        </is>
      </c>
      <c r="M1563" t="n">
        <v>0.0036</v>
      </c>
      <c r="N1563" t="n">
        <v>0.0571</v>
      </c>
      <c r="O1563" t="n">
        <v>0.1515</v>
      </c>
    </row>
    <row r="1564">
      <c r="A1564" t="inlineStr">
        <is>
          <t>presto</t>
        </is>
      </c>
      <c r="B1564" t="inlineStr">
        <is>
          <t>presto-tests/src/test/java/com/facebook/presto/resourcemanager/TestDistributedClusterStatsResource.java</t>
        </is>
      </c>
      <c r="C1564">
        <f>HYPERLINK("https://github.com/prestodb/presto/blob/master/presto-tests/src/test/java/com/facebook/presto/resourcemanager/TestDistributedClusterStatsResource.java")</f>
        <v/>
      </c>
      <c r="D1564" t="inlineStr">
        <is>
          <t>ThegivenJava code is a part of the Facebook Presto resource manager package which manages resources for queries in distributed systems. It uses Apache Airlift's Http Client to communicate with other nodes in the cluster and manage query execution based on available resources. The license at the top specifies that this software can be used under certain conditions as specified by the Apache License 2.0.</t>
        </is>
      </c>
      <c r="E1564" t="n">
        <v>0.0034</v>
      </c>
      <c r="F1564" t="n">
        <v>0.0541</v>
      </c>
      <c r="G1564" t="n">
        <v>0.2321</v>
      </c>
      <c r="H1564" t="inlineStr">
        <is>
          <t>The code provided is a Java function named `add` that takes two parameters and returns their sum. The function uses the '+' operator to perform this operation. This functionality can be described as follows: "Given any two numbers (inputs), return the result of adding them together." It has a time complexity of O(1).
The Apache License 2.0 applies to</t>
        </is>
      </c>
      <c r="I1564" t="n">
        <v>0.0041</v>
      </c>
      <c r="J1564" t="n">
        <v>0.0588</v>
      </c>
      <c r="K1564" t="n">
        <v>0.1145</v>
      </c>
      <c r="L1564" t="inlineStr">
        <is>
          <t>The provided code is a part of Facebook's Presto resource manager component which manages the resources for query execution in distributed systems. It uses HTTP client to communicate with other components like metadata and nodes management. The main purpose of this module seems to be managing and controlling the allocation of system resources based on user queries.
The function `getResourceGroupSummary` takes as input an</t>
        </is>
      </c>
      <c r="M1564" t="n">
        <v>0.0034</v>
      </c>
      <c r="N1564" t="n">
        <v>0.0822</v>
      </c>
      <c r="O1564" t="n">
        <v>0.1471</v>
      </c>
    </row>
    <row r="1565">
      <c r="A1565" t="inlineStr">
        <is>
          <t>presto</t>
        </is>
      </c>
      <c r="B1565" t="inlineStr">
        <is>
          <t>presto-tests/src/test/java/com/facebook/presto/resourcemanager/TestDistributedResourceGroupInfoResource.java</t>
        </is>
      </c>
      <c r="C1565">
        <f>HYPERLINK("https://github.com/prestodb/presto/blob/master/presto-tests/src/test/java/com/facebook/presto/resourcemanager/TestDistributedResourceGroupInfoResource.java")</f>
        <v/>
      </c>
      <c r="D1565" t="inlineStr">
        <is>
          <t>ThegivenJava code is a part of the Presto resource manager module which manages resources in distributed systems. It uses Apache Jetty HTTP client for making requests and handling responses. The JsonCodec from Airlift library is used to handle JSON parsing and serialization. This component interacts with other modules like metadata (AllNodes), Resource Group Configuration Manager Factory (FileResourceGroupConfiguration</t>
        </is>
      </c>
      <c r="E1565" t="n">
        <v>0.0042</v>
      </c>
      <c r="F1565" t="n">
        <v>0.0615</v>
      </c>
      <c r="G1565" t="n">
        <v>0.155</v>
      </c>
      <c r="H1565" t="inlineStr">
        <is>
          <t>The provided code is a Java function for adding two numbers (`add()`). It takes in two parameters `a` and `b` and returns their sum. The time complexity of this operation is O(1), meaning it always executes the same number of steps regardless of input size. This function does not throw any exceptions related to HTTP responses or JSON parsing as indicated by the comments</t>
        </is>
      </c>
      <c r="I1565" t="n">
        <v>0.0034</v>
      </c>
      <c r="J1565" t="n">
        <v>0.0548</v>
      </c>
      <c r="K1565" t="n">
        <v>0.1103</v>
      </c>
      <c r="L1565" t="inlineStr">
        <is>
          <t>The provided code is a part of the Presto resource manager module in Facebook's open source project. It manages resources across multiple nodes and groups them based on configurations. The main purpose of this code seems to be managing access to resources for different query execution sessions.
It takes inputs such as AllNodes (which contains information about all available nodes) and ResourceGroupInfo (contain</t>
        </is>
      </c>
      <c r="M1565" t="n">
        <v>0.0034</v>
      </c>
      <c r="N1565" t="n">
        <v>0.0556</v>
      </c>
      <c r="O1565" t="n">
        <v>0.1481</v>
      </c>
    </row>
    <row r="1566">
      <c r="A1566" t="inlineStr">
        <is>
          <t>presto</t>
        </is>
      </c>
      <c r="B1566" t="inlineStr">
        <is>
          <t>presto-tests/src/test/java/com/facebook/presto/resourcemanager/TestDistributedTaskInfoResource.java</t>
        </is>
      </c>
      <c r="C1566">
        <f>HYPERLINK("https://github.com/prestodb/presto/blob/master/presto-tests/src/test/java/com/facebook/presto/resourcemanager/TestDistributedTaskInfoResource.java")</f>
        <v/>
      </c>
      <c r="D1566" t="inlineStr">
        <is>
          <t>The code provided is a Java implementation of resource management for Presto, an open source distributed SQL query engine for big data. It uses the Apache License 2.0 to govern its usage and distribution. The license permits use without restrictions but requires attribution in any derivative works. This includes software distributed under the terms of the "AS IS" BASIS with no warranties or conditions of</t>
        </is>
      </c>
      <c r="E1566" t="n">
        <v>0.0037</v>
      </c>
      <c r="F1566" t="n">
        <v>0.0541</v>
      </c>
      <c r="G1566" t="n">
        <v>0.1825</v>
      </c>
      <c r="H1566" t="inlineStr">
        <is>
          <t>The provided code is a Java implementation of the add function that adds two numbers together. The complexity of this operation is O(1), meaning it takes constant time to perform regardless of input size. This function does not use any external resources or dependencies and can be used in various contexts such as arithmetic operations within an application.
Here's the summary for your reference:</t>
        </is>
      </c>
      <c r="I1566" t="n">
        <v>0.0034</v>
      </c>
      <c r="J1566" t="n">
        <v>0.08110000000000001</v>
      </c>
      <c r="K1566" t="n">
        <v>0.1471</v>
      </c>
      <c r="L1566" t="inlineStr">
        <is>
          <t>The provided code is a part of the Facebook Presto resource manager component. It's designed to manage resources for tasks in an execution environment. The main purpose seems to be managing and tracking task information including their statuses, inputs, outputs etc. 
It uses HTTP client libraries from Airlift package for communication with other components like query engines or coordinators. This module also interact</t>
        </is>
      </c>
      <c r="M1566" t="n">
        <v>0.0038</v>
      </c>
      <c r="N1566" t="n">
        <v>0.0556</v>
      </c>
      <c r="O1566" t="n">
        <v>0.1481</v>
      </c>
    </row>
    <row r="1567">
      <c r="A1567" t="inlineStr">
        <is>
          <t>presto</t>
        </is>
      </c>
      <c r="B1567" t="inlineStr">
        <is>
          <t>presto-tests/src/test/java/com/facebook/presto/connector/informationschema/BenchmarkInformationSchema.java</t>
        </is>
      </c>
      <c r="C1567">
        <f>HYPERLINK("https://github.com/prestodb/presto/blob/master/presto-tests/src/test/java/com/facebook/presto/connector/informationschema/BenchmarkInformationSchema.java")</f>
        <v/>
      </c>
      <c r="D1567" t="inlineStr">
        <is>
          <t>The provided code is a Java implementation of the Presto Connector for Information Schema which provides metadata about other connectors in the system. The connector interacts with various data sources using their respective plugins and fetches information related to schemas, tables, columns etc., from them. It also supports querying on these metadata through SQL queries. This code is licensed under Apache License 2.</t>
        </is>
      </c>
      <c r="E1567" t="n">
        <v>0.0034</v>
      </c>
      <c r="F1567" t="n">
        <v>0.0563</v>
      </c>
      <c r="G1567" t="n">
        <v>0.1481</v>
      </c>
      <c r="H1567" t="inlineStr">
        <is>
          <t>The code provided is a simple function for addition of two numbers in Python named `add` which takes two parameters and returns their sum. The time complexity of this operation is O(1), indicating that it performs constant number of operations regardless of the size of input data.
In Java version, there's no difference from python as both are performing basic arithmetic operation with fixed computational cost</t>
        </is>
      </c>
      <c r="I1567" t="n">
        <v>0.0028</v>
      </c>
      <c r="J1567" t="n">
        <v>0.0526</v>
      </c>
      <c r="K1567" t="n">
        <v>0.1087</v>
      </c>
      <c r="L1567" t="inlineStr">
        <is>
          <t>The provided code is part of a Presto SQL connector that interacts with various data sources to fetch metadata information about the tables and schemas in those databases. It uses Apache License 2.0 for distribution which requires compliance when using this software.
It performs operations such as creating table handles from schema names and catalog names, obtaining session objects related to database connections, fetching column</t>
        </is>
      </c>
      <c r="M1567" t="n">
        <v>0.0028</v>
      </c>
      <c r="N1567" t="n">
        <v>0.08110000000000001</v>
      </c>
      <c r="O1567" t="n">
        <v>0.1095</v>
      </c>
    </row>
    <row r="1568">
      <c r="A1568" t="inlineStr">
        <is>
          <t>retrofit</t>
        </is>
      </c>
      <c r="B1568" t="inlineStr">
        <is>
          <t>retrofit/robovm-test/src/main/java/retrofit2/RoboVmPlatformTest.java</t>
        </is>
      </c>
      <c r="C1568">
        <f>HYPERLINK("https://github.com/square/retrofit/blob/master/retrofit/robovm-test/src/main/java/retrofit2/RoboVmPlatformTest.java")</f>
        <v/>
      </c>
      <c r="D1568" t="inlineStr">
        <is>
          <t>The provided code is a Java class named RoboVMPlatformTest that uses Retrofit for network communication with an example base URL of "https://example.com". The call factory in the Retrofit builder throws an AssertionError when called and there are more than one Call Adapter Factories registered by Retrofit. This indicates some form of error or misconfiguration in the setup.</t>
        </is>
      </c>
      <c r="E1568" t="n">
        <v>0.0038</v>
      </c>
      <c r="F1568" t="n">
        <v>0.0299</v>
      </c>
      <c r="G1568" t="n">
        <v>0.1163</v>
      </c>
      <c r="H1568" t="inlineStr">
        <is>
          <t>The provided code is a Java class named `RoboVmPlatformTest` that contains the main method for testing backend software components using Retrofit library in Android development. The base URL of the API calls is set to "https://example.com". There are no assertions being made and hence an AssertionError will be thrown when making any call with this configuration. This repository may contain</t>
        </is>
      </c>
      <c r="I1568" t="n">
        <v>0.004</v>
      </c>
      <c r="J1568" t="n">
        <v>0.0571</v>
      </c>
      <c r="K1568" t="n">
        <v>0.1515</v>
      </c>
      <c r="L1568" t="inlineStr">
        <is>
          <t>The provided code is a Java class named `RoboVmPlatformTest` in the package `retrofit2` of an Android application. This class contains a main method which uses Retrofit to create and configure a new instance of Retrofit with a base URL "https://example.com". The call adapter factories are not explicitly set but have default values so they will be</t>
        </is>
      </c>
      <c r="M1568" t="n">
        <v>0.0039</v>
      </c>
      <c r="N1568" t="n">
        <v>0.0606</v>
      </c>
      <c r="O1568" t="n">
        <v>0.1172</v>
      </c>
    </row>
    <row r="1569">
      <c r="A1569" t="inlineStr">
        <is>
          <t>retrofit</t>
        </is>
      </c>
      <c r="B1569" t="inlineStr">
        <is>
          <t>retrofit/android-test/src/androidTest/java/retrofit2/BasicCallTest.java</t>
        </is>
      </c>
      <c r="C1569">
        <f>HYPERLINK("https://github.com/square/retrofit/blob/master/retrofit/android-test/src/androidTest/java/retrofit2/BasicCallTest.java")</f>
        <v/>
      </c>
      <c r="D1569" t="inlineStr">
        <is>
          <t>The code is a simple test case for Retrofit 2 using Mockito and JUnit to mock the network calls. It tests a basic GET call by creating an interface with one method annotated with @GET annotation. The server rule creates a local HTTP web server that mocks network requests made via Retrofit's REST API. This allows independent testing of the client without needing internet</t>
        </is>
      </c>
      <c r="E1569" t="n">
        <v>0.0034</v>
      </c>
      <c r="F1569" t="n">
        <v>0.0274</v>
      </c>
      <c r="G1569" t="n">
        <v>0.1103</v>
      </c>
      <c r="H1569" t="inlineStr">
        <is>
          <t>ThegivenJava code is a simple addition function that takes two integers as input and returns their sum. The complexity of this operation is O(1), meaning it performs the same number of operations regardless of the size of the inputs.
```java
// Copyright (C) 2020 Square, Inc.
// Licensed under the Apache License, Version 2.0</t>
        </is>
      </c>
      <c r="I1569" t="n">
        <v>0.0034</v>
      </c>
      <c r="J1569" t="n">
        <v>0.0645</v>
      </c>
      <c r="K1569" t="n">
        <v>0.119</v>
      </c>
      <c r="L1569" t="inlineStr">
        <is>
          <t>The provided code is a JUnit test for an HTTP GET request using Retrofit 2 library in Java. The purpose of this class is to verify the response from a server by mocking it with MockWebServer and OkHttp libraries.
Here are some key operations performed:
1. It sets up a new instance of `MockWebServer` which simulates an actual</t>
        </is>
      </c>
      <c r="M1569" t="n">
        <v>0.0031</v>
      </c>
      <c r="N1569" t="n">
        <v>0.0606</v>
      </c>
      <c r="O1569" t="n">
        <v>0.1154</v>
      </c>
    </row>
    <row r="1570">
      <c r="A1570" t="inlineStr">
        <is>
          <t>retrofit</t>
        </is>
      </c>
      <c r="B1570" t="inlineStr">
        <is>
          <t>retrofit/android-test/src/androidTest/java/retrofit2/OptionalConverterFactoryAndroidTest.java</t>
        </is>
      </c>
      <c r="C1570">
        <f>HYPERLINK("https://github.com/square/retrofit/blob/master/retrofit/android-test/src/androidTest/java/retrofit2/OptionalConverterFactoryAndroidTest.java")</f>
        <v/>
      </c>
      <c r="D1570" t="inlineStr">
        <is>
          <t>The code provided is a Java class that uses Retrofit with OkHttp to make HTTP requests and handle responses in Android applications. It also includes unit tests using Junit 4 and Mockito for mocking the server response. The Apache License version 2.0 applies to this code base.
The main functionality of this code involves making GET and POST requests to an API endpoint defined</t>
        </is>
      </c>
      <c r="E1570" t="n">
        <v>0.0034</v>
      </c>
      <c r="F1570" t="n">
        <v>0.0822</v>
      </c>
      <c r="G1570" t="n">
        <v>0.1103</v>
      </c>
      <c r="H1570" t="inlineStr">
        <is>
          <t>The provided code is a simple function for addition in Python. It takes two parameters (numbers), adds them together and returns the result. The time complexity of this operation is O(1).
Here's how it works: 
```python
def add(a, b):
    return a + b
```
It does not repeat any code or functionality from</t>
        </is>
      </c>
      <c r="I1570" t="n">
        <v>0.0041</v>
      </c>
      <c r="J1570" t="n">
        <v>0.0645</v>
      </c>
      <c r="K1570" t="n">
        <v>0.12</v>
      </c>
      <c r="L1570" t="inlineStr">
        <is>
          <t>The code provided is a Java class that uses Retrofit 2 for network communication and OkHttp for mock server testing in Android applications. The main purpose of this class seems to be the implementation of core algorithms related to networking with Retrofit and OkHttp.
However, without seeing the actual source code it's difficult to provide a more detailed summary. Please share your source code</t>
        </is>
      </c>
      <c r="M1570" t="n">
        <v>0.0034</v>
      </c>
      <c r="N1570" t="n">
        <v>0.1096</v>
      </c>
      <c r="O1570" t="n">
        <v>0.1838</v>
      </c>
    </row>
    <row r="1571">
      <c r="A1571" t="inlineStr">
        <is>
          <t>retrofit</t>
        </is>
      </c>
      <c r="B1571" t="inlineStr">
        <is>
          <t>retrofit/android-test/src/androidTest/java/retrofit2/CompletableFutureAndroidTest.java</t>
        </is>
      </c>
      <c r="C1571">
        <f>HYPERLINK("https://github.com/square/retrofit/blob/master/retrofit/android-test/src/androidTest/java/retrofit2/CompletableFutureAndroidTest.java")</f>
        <v/>
      </c>
      <c r="D1571" t="inlineStr">
        <is>
          <t>The code you provided appears to be a license header for an Apache 2.0 licensed software component (Retrofit). It also contains some information about the repository and its complexity level, implementation details, comments, commits made in initial setup of the code base, and size of the code. The code is written in Java language.
Please provide the actual code that needs summarization</t>
        </is>
      </c>
      <c r="E1571" t="n">
        <v>0.0035</v>
      </c>
      <c r="F1571" t="n">
        <v>0.08450000000000001</v>
      </c>
      <c r="G1571" t="n">
        <v>0.1119</v>
      </c>
      <c r="H1571" t="inlineStr">
        <is>
          <t>The code you've provided is a Java function for adding two numbers using the + operator. The functionality of this code can be summarized as follows: This function takes in two parameters (numbers), adds them together and returns the result. It operates under an O(1) time complexity meaning it performs a fixed number of operations regardless of input size.
Please note that without seeing</t>
        </is>
      </c>
      <c r="I1571" t="n">
        <v>0.0037</v>
      </c>
      <c r="J1571" t="n">
        <v>0.0822</v>
      </c>
      <c r="K1571" t="n">
        <v>0.1103</v>
      </c>
      <c r="L1571" t="inlineStr">
        <is>
          <t>The provided code is a Java program that uses Retrofit 2 for network requests and OkHttp's MockWebServer to mock HTTP responses during unit tests. The main purpose of this code seems to be defining an interface (`GEApiService`) with methods annotated with `@GET` or `@POST` which are used in the test class as endpoints. It also includes</t>
        </is>
      </c>
      <c r="M1571" t="n">
        <v>0.0033</v>
      </c>
      <c r="N1571" t="n">
        <v>0.0308</v>
      </c>
      <c r="O1571" t="n">
        <v>0.1172</v>
      </c>
    </row>
    <row r="1572">
      <c r="A1572" t="inlineStr">
        <is>
          <t>retrofit</t>
        </is>
      </c>
      <c r="B1572" t="inlineStr">
        <is>
          <t>retrofit/android-test/src/androidTest/java/retrofit2/UriAndroidTest.java</t>
        </is>
      </c>
      <c r="C1572">
        <f>HYPERLINK("https://github.com/square/retrofit/blob/master/retrofit/android-test/src/androidTest/java/retrofit2/UriAndroidTest.java")</f>
        <v/>
      </c>
      <c r="D1572" t="inlineStr">
        <is>
          <t>The code you provided is a Java class with some annotations and import statements related to Retrofit 2 library for Android development using OkHttp client. It also includes Google's Truth framework for assertions in unit tests. The copyright information at the top of this file indicates that it may be used under Apache License version 2.0 as specified by http://www.apache.org/</t>
        </is>
      </c>
      <c r="E1572" t="n">
        <v>0.003</v>
      </c>
      <c r="F1572" t="n">
        <v>0.0274</v>
      </c>
      <c r="G1572" t="n">
        <v>0.1136</v>
      </c>
      <c r="H1572" t="inlineStr">
        <is>
          <t>Thegivencodeiscopiedfromanothersourceandhasbeenmodifiedaccordingtothestaskrequirement.Itdoesn'tcontainanyerrorsbutneedsrefactoringforbetterreadabilityandsuitabilityforeducationpurpose.
```python
# Copyright (C) 2015 Square, Inc.
# Licensed under the Apache License, Version 2.</t>
        </is>
      </c>
      <c r="I1572" t="n">
        <v>0</v>
      </c>
      <c r="J1572" t="n">
        <v>0</v>
      </c>
      <c r="K1572" t="n">
        <v>0</v>
      </c>
      <c r="L1572" t="inlineStr">
        <is>
          <t>The code provided is a Java implementation of Retrofit 2 library for Android and uses OkHttp as the networking client. It contains several unit tests to validate its functionality. The main purpose of this code seems to be testing network requests using MockWebServer by mocking HTTP responses from servers.
It takes an input URL (either absolute or relative), sends it via GET request through Ok</t>
        </is>
      </c>
      <c r="M1572" t="n">
        <v>0.0028</v>
      </c>
      <c r="N1572" t="n">
        <v>0.0548</v>
      </c>
      <c r="O1572" t="n">
        <v>0.146</v>
      </c>
    </row>
    <row r="1573">
      <c r="A1573" t="inlineStr">
        <is>
          <t>retrofit</t>
        </is>
      </c>
      <c r="B1573" t="inlineStr">
        <is>
          <t>retrofit/android-test/src/androidTest/java/retrofit2/DefaultMethodsAndroidTest.java</t>
        </is>
      </c>
      <c r="C1573">
        <f>HYPERLINK("https://github.com/square/retrofit/blob/master/retrofit/android-test/src/androidTest/java/retrofit2/DefaultMethodsAndroidTest.java")</f>
        <v/>
      </c>
      <c r="D1573" t="inlineStr">
        <is>
          <t>The code you provided appears to be a license header for an Apache 2.0 licensed software component (Retrofit). It includes conditions under which the use of this software may not be allowed and details on how users can obtain a copy of the License at http://www.apache.org/licenses/LICENSE-2.0. The software is distributed as "AS IS", without</t>
        </is>
      </c>
      <c r="E1573" t="n">
        <v>0.004</v>
      </c>
      <c r="F1573" t="n">
        <v>0.0857</v>
      </c>
      <c r="G1573" t="n">
        <v>0.1587</v>
      </c>
      <c r="H1573" t="inlineStr">
        <is>
          <t>This repository contains backend software components that are implemented using core algorithms. The complexity of these implementations can vary from O(1) to O(N). Some examples include sorting and searching algorithms used in data structures such as arrays or linked lists.
The code is licensed under the Apache License 2.0 which allows for free use, modification, and distribution according to terms specified by</t>
        </is>
      </c>
      <c r="I1573" t="n">
        <v>0.0042</v>
      </c>
      <c r="J1573" t="n">
        <v>0.137</v>
      </c>
      <c r="K1573" t="n">
        <v>0.2239</v>
      </c>
      <c r="L1573" t="inlineStr">
        <is>
          <t>The provided code is a Java class that uses Retrofit 2 for making HTTP requests to an API and tests these requests using JUnit framework with MockWebServer. The main purpose of this code seems to be defining the interface for the API calls (using GET method in retrofit2.http package). It also includes some unit tests which use mock web server to simulate network responses without actual network</t>
        </is>
      </c>
      <c r="M1573" t="n">
        <v>0.0027</v>
      </c>
      <c r="N1573" t="n">
        <v>0.0263</v>
      </c>
      <c r="O1573" t="n">
        <v>0.1079</v>
      </c>
    </row>
    <row r="1574">
      <c r="A1574" t="inlineStr">
        <is>
          <t>retrofit</t>
        </is>
      </c>
      <c r="B1574" t="inlineStr">
        <is>
          <t>retrofit/test-helpers/src/main/java/retrofit2/TestingUtils.java</t>
        </is>
      </c>
      <c r="C1574">
        <f>HYPERLINK("https://github.com/square/retrofit/blob/master/retrofit/test-helpers/src/main/java/retrofit2/TestingUtils.java")</f>
        <v/>
      </c>
      <c r="D1574" t="inlineStr">
        <is>
          <t>The code provided is a utility class for building HTTP requests using Retrofit library in Java. It contains one static method `buildRequest` which takes parameters including the Class of an interface (representing the service), a builder object to configure retrofit and any number of arguments representing the actual request data. The built request uses OkHttp's Call.Factory to create the call objects that are used</t>
        </is>
      </c>
      <c r="E1574" t="n">
        <v>0.0028</v>
      </c>
      <c r="F1574" t="n">
        <v>0.027</v>
      </c>
      <c r="G1574" t="n">
        <v>0.0735</v>
      </c>
      <c r="H1574" t="inlineStr">
        <is>
          <t>The code you provided is a utility function for building HTTP requests using Retrofit 2 library in Java. It takes as input the class of an interface that defines your API endpoints (`cls`), a `Retrofit.Builder` instance to build the request with (`builder`), and any number of arguments which will be used as parameters in the API calls (`args`</t>
        </is>
      </c>
      <c r="I1574" t="n">
        <v>0.0031</v>
      </c>
      <c r="J1574" t="n">
        <v>0.0597</v>
      </c>
      <c r="K1574" t="n">
        <v>0.0769</v>
      </c>
      <c r="L1574" t="inlineStr">
        <is>
          <t>The code provided is a utility class for building HTTP requests using Retrofit 2 library in Java. It provides the functionality to build an HTTP request from a given method and arguments. The purpose of this function is to create a Request object which can be used by OkHttp client to make actual network calls.
```plaintext
// Code Summary
This utilities builds HTTP Requests</t>
        </is>
      </c>
      <c r="M1574" t="n">
        <v>0.0037</v>
      </c>
      <c r="N1574" t="n">
        <v>0.0563</v>
      </c>
      <c r="O1574" t="n">
        <v>0.1103</v>
      </c>
    </row>
    <row r="1575">
      <c r="A1575" t="inlineStr">
        <is>
          <t>retrofit</t>
        </is>
      </c>
      <c r="B1575" t="inlineStr">
        <is>
          <t>retrofit/test-helpers/src/main/java/retrofit2/helpers/ObjectInstanceConverterFactory.java</t>
        </is>
      </c>
      <c r="C1575">
        <f>HYPERLINK("https://github.com/square/retrofit/blob/master/retrofit/test-helpers/src/main/java/retrofit2/helpers/ObjectInstanceConverterFactory.java")</f>
        <v/>
      </c>
      <c r="D1575" t="inlineStr">
        <is>
          <t>The code you provided appears to be a custom converter factory for Retrofit 2 library in Java. This class extends the Converter.Factory and provides an implementation of converting ResponseBody instances into Objects using reflection. It's important to note that this kind of conversion is generally discouraged due to potential performance issues as it involves creating new objects through reflection which can lead to memory leaks if</t>
        </is>
      </c>
      <c r="E1575" t="n">
        <v>0.0033</v>
      </c>
      <c r="F1575" t="n">
        <v>0.0526</v>
      </c>
      <c r="G1575" t="n">
        <v>0.1449</v>
      </c>
      <c r="H1575" t="inlineStr">
        <is>
          <t>```plaintext
The provided code is a custom Retrofit converter factory for converting response bodies into an instance of the Object class using OkHttp's ResponseBody. This implementation does not contain any specific algorithms or complexities related to core functionality as it merely serves as a utility function for data conversion in networking scenarios with Retrofit and OkHttp. The copyright notice at the top indicates that</t>
        </is>
      </c>
      <c r="I1575" t="n">
        <v>0.0072</v>
      </c>
      <c r="J1575" t="n">
        <v>0.137</v>
      </c>
      <c r="K1575" t="n">
        <v>0.2735</v>
      </c>
      <c r="L1575" t="inlineStr">
        <is>
          <t>The code you've provided appears to be a custom Retrofit converter factory for handling object instances in response bodies of HTTP requests and responses. 
Here is the summary of its functionality:
1. The class `ObjectInstanceConverterFactory` extends `Converter.Factory` from the Retrofit library. This means it provides an implementation of how to convert objects into other types</t>
        </is>
      </c>
      <c r="M1575" t="n">
        <v>0.004</v>
      </c>
      <c r="N1575" t="n">
        <v>0.0615</v>
      </c>
      <c r="O1575" t="n">
        <v>0.1181</v>
      </c>
    </row>
    <row r="1576">
      <c r="A1576" t="inlineStr">
        <is>
          <t>retrofit</t>
        </is>
      </c>
      <c r="B1576" t="inlineStr">
        <is>
          <t>retrofit/test-helpers/src/main/java/retrofit2/helpers/NonMatchingConverterFactory.java</t>
        </is>
      </c>
      <c r="C1576">
        <f>HYPERLINK("https://github.com/square/retrofit/blob/master/retrofit/test-helpers/src/main/java/retrofit2/helpers/NonMatchingConverterFactory.java")</f>
        <v/>
      </c>
      <c r="D1576" t="inlineStr">
        <is>
          <t>The code you provided is a custom converter factory for Retrofit 2 library in Java. This class extends the Converter.Factory class and overrides its 'create' method to create converters that can convert between types not handled by default Retrofit converters (like OkHttp ResponseBody or RequestBody). The @Nullable annotation indicates that this method may return null values. It uses reflection</t>
        </is>
      </c>
      <c r="E1576" t="n">
        <v>0.0037</v>
      </c>
      <c r="F1576" t="n">
        <v>0.0588</v>
      </c>
      <c r="G1576" t="n">
        <v>0.1145</v>
      </c>
      <c r="H1576" t="inlineStr">
        <is>
          <t>The code you provided is a custom Retrofit converter factory for handling non matching responses from the server. It extends `Converter.Factory` and overrides its `create()` method to handle cases where there's no match between the expected response type (specified by the API interface methods return types) and the actual response body content type. The Apache License 2.0 applies to this</t>
        </is>
      </c>
      <c r="I1576" t="n">
        <v>0.003</v>
      </c>
      <c r="J1576" t="n">
        <v>0.0282</v>
      </c>
      <c r="K1576" t="n">
        <v>0.07580000000000001</v>
      </c>
      <c r="L1576" t="inlineStr">
        <is>
          <t>yields a summary of the functionality and purpose of this code snippet. It seems to be part of Retrofit 2 library for Java programming language which is used in networking tasks with REST APIs. The class NonMatchingConverterFactory extends Converter.Factory from retrofit2 package. This factory creates converter that doesn't match any other existing converters (i.</t>
        </is>
      </c>
      <c r="M1576" t="n">
        <v>0.007900000000000001</v>
      </c>
      <c r="N1576" t="n">
        <v>0.0625</v>
      </c>
      <c r="O1576" t="n">
        <v>0.2028</v>
      </c>
    </row>
    <row r="1577">
      <c r="A1577" t="inlineStr">
        <is>
          <t>retrofit</t>
        </is>
      </c>
      <c r="B1577" t="inlineStr">
        <is>
          <t>retrofit/test-helpers/src/main/java/retrofit2/helpers/ExampleWithoutParameterNames.java</t>
        </is>
      </c>
      <c r="C1577">
        <f>HYPERLINK("https://github.com/square/retrofit/blob/master/retrofit/test-helpers/src/main/java/retrofit2/helpers/ExampleWithoutParameterNames.java")</f>
        <v/>
      </c>
      <c r="D1577" t="inlineStr">
        <is>
          <t>The code provided is a Retrofit 2 interface for an HTTP GET request without parameter names embedded in the class file. It uses OkHttp's ResponseBody to handle the response body of the API call and returns it asynchronously via retrofit Call object. The Apache License version 2.0 applies to this code.
The repository contains backend software components implementing core algorithms.</t>
        </is>
      </c>
      <c r="E1577" t="n">
        <v>0.004</v>
      </c>
      <c r="F1577" t="n">
        <v>0.1143</v>
      </c>
      <c r="G1577" t="n">
        <v>0.323</v>
      </c>
      <c r="H1577" t="inlineStr">
        <is>
          <t>The provided code is a Retrofit 2 interface for an HTTP GET request to the root URL ("/"). The method name in this case is "method". It takes one parameter named "theFirstParameter", which should be of type String. This function returns a Call object that wraps around the network call and provides methods like enqueue(), execute() etc., to manage the execution of these</t>
        </is>
      </c>
      <c r="I1577" t="n">
        <v>0.0034</v>
      </c>
      <c r="J1577" t="n">
        <v>0.0857</v>
      </c>
      <c r="K1577" t="n">
        <v>0.1111</v>
      </c>
      <c r="L1577" t="inlineStr">
        <is>
          <t>The provided code is a Retrofit 2 interface for an HTTP GET request without parameter names embedded in the class file. The purpose of this module is to fetch data from a server and return it as a ResponseBody object via a Call object. This functionality can be used by other modules within the software system that require network communication with external servers.
Please note that while the actual implementation</t>
        </is>
      </c>
      <c r="M1577" t="n">
        <v>0.0039</v>
      </c>
      <c r="N1577" t="n">
        <v>0.0769</v>
      </c>
      <c r="O1577" t="n">
        <v>0.2113</v>
      </c>
    </row>
    <row r="1578">
      <c r="A1578" t="inlineStr">
        <is>
          <t>retrofit</t>
        </is>
      </c>
      <c r="B1578" t="inlineStr">
        <is>
          <t>retrofit/test-helpers/src/main/java/retrofit2/helpers/NullObjectConverterFactory.java</t>
        </is>
      </c>
      <c r="C1578">
        <f>HYPERLINK("https://github.com/square/retrofit/blob/master/retrofit/test-helpers/src/main/java/retrofit2/helpers/NullObjectConverterFactory.java")</f>
        <v/>
      </c>
      <c r="D1578" t="inlineStr">
        <is>
          <t>The code provided is a custom Retrofit converter factory that always returns null for any type conversion. The purpose of this class seems to be to ensure that no data gets sent or received from the server as it will return `null` in all cases. This can help with testing and debugging by eliminating unnecessary network traffic. It's important to note that while this may seem useful during development</t>
        </is>
      </c>
      <c r="E1578" t="n">
        <v>0.0031</v>
      </c>
      <c r="F1578" t="n">
        <v>0.0513</v>
      </c>
      <c r="G1578" t="n">
        <v>0.1064</v>
      </c>
      <c r="H1578" t="inlineStr">
        <is>
          <t>The provided code is a custom Retrofit converter factory that always returns null for any type of conversion. The Apache License 2.0 details are included at the top which states conditions under which you may use this file and obtain a copy of it from http://www.apache.org/licenses/LICENSE-2.0. It's distributed on an "AS IS" B</t>
        </is>
      </c>
      <c r="I1578" t="n">
        <v>0.0035</v>
      </c>
      <c r="J1578" t="n">
        <v>0.0571</v>
      </c>
      <c r="K1578" t="n">
        <v>0.12</v>
      </c>
      <c r="L1578" t="inlineStr">
        <is>
          <t>The provided code is a custom Retrofit converter factory that always converts any object to null and back again. The purpose of this class seems to be as a placeholder or a way to bypass the default behavior of Retrofit's JSON conversion process when you don't want it to do anything with certain types of data.
It implements an abstract method `stringConverter()`</t>
        </is>
      </c>
      <c r="M1578" t="n">
        <v>0.0035</v>
      </c>
      <c r="N1578" t="n">
        <v>0.0556</v>
      </c>
      <c r="O1578" t="n">
        <v>0.1119</v>
      </c>
    </row>
    <row r="1579">
      <c r="A1579" t="inlineStr">
        <is>
          <t>retrofit</t>
        </is>
      </c>
      <c r="B1579" t="inlineStr">
        <is>
          <t>retrofit/test-helpers/src/main/java/retrofit2/helpers/NonMatchingCallAdapterFactory.java</t>
        </is>
      </c>
      <c r="C1579">
        <f>HYPERLINK("https://github.com/square/retrofit/blob/master/retrofit/test-helpers/src/main/java/retrofit2/helpers/NonMatchingCallAdapterFactory.java")</f>
        <v/>
      </c>
      <c r="D1579" t="inlineStr">
        <is>
          <t>The code you provided is a custom Retrofit CallAdapter Factory that extends the base `CallAdapter.Factory` class from Retrofit library. This factory creates adapters for calls which do not match any of the existing call adapter factories in the chain. The purpose seems to be handling non-matching types or situations where certain conditions are met and no other suitable adapter can be found.</t>
        </is>
      </c>
      <c r="E1579" t="n">
        <v>0.0035</v>
      </c>
      <c r="F1579" t="n">
        <v>0.0556</v>
      </c>
      <c r="G1579" t="n">
        <v>0.0746</v>
      </c>
      <c r="H1579" t="inlineStr">
        <is>
          <t>The provided code is a factory for creating Retrofit call adapters that are not matching the specified type. The `get` method of this class overrides the one in its superclass and returns an instance of CallAdapter if the return type matches with the input parameter 'type'. If it doesn't match or any error occurs during execution, null will be returned.
Please provide</t>
        </is>
      </c>
      <c r="I1579" t="n">
        <v>0.0029</v>
      </c>
      <c r="J1579" t="n">
        <v>0.0563</v>
      </c>
      <c r="K1579" t="n">
        <v>0.0746</v>
      </c>
      <c r="L1579" t="inlineStr">
        <is>
          <t>The provided code is a custom CallAdapter Factory for Retrofit 2. It's designed to handle cases where the response type does not match with the expected return type of an API call in retrofit.
It starts by checking if the `called` variable is true or false and then it proceeds to create a new instance of `CallAdapter.Factory`. The factory uses</t>
        </is>
      </c>
      <c r="M1579" t="n">
        <v>0.003</v>
      </c>
      <c r="N1579" t="n">
        <v>0.0286</v>
      </c>
      <c r="O1579" t="n">
        <v>0.07580000000000001</v>
      </c>
    </row>
    <row r="1580">
      <c r="A1580" t="inlineStr">
        <is>
          <t>retrofit</t>
        </is>
      </c>
      <c r="B1580" t="inlineStr">
        <is>
          <t>retrofit/test-helpers/src/main/java/retrofit2/helpers/ToStringConverterFactory.java</t>
        </is>
      </c>
      <c r="C1580">
        <f>HYPERLINK("https://github.com/square/retrofit/blob/master/retrofit/test-helpers/src/main/java/retrofit2/helpers/ToStringConverterFactory.java")</f>
        <v/>
      </c>
      <c r="D1580" t="inlineStr">
        <is>
          <t>The code you provided is a custom Retrofit converter factory for converting objects to strings and back using OkHttp's RequestBody and ResponseBody classes. It extends the Converter.Factory class from Retrofit 2 library which allows creating converters between different types of data representations (like JSON or XML). The conversion process involves transforming an object into its string representation and vice versa.</t>
        </is>
      </c>
      <c r="E1580" t="n">
        <v>0.003</v>
      </c>
      <c r="F1580" t="n">
        <v>0.0286</v>
      </c>
      <c r="G1580" t="n">
        <v>0.07580000000000001</v>
      </c>
      <c r="H1580" t="inlineStr">
        <is>
          <t>The provided code is a custom Retrofit converter factory for converting Java objects to strings and back again. It's licensed under the Apache License 2.0 which means you can use it in any project as long as you comply with its terms. The complexity of this function is O(n), where n represents the number of fields in an object being converted. Comments are included explaining what each</t>
        </is>
      </c>
      <c r="I1580" t="n">
        <v>0.0027</v>
      </c>
      <c r="J1580" t="n">
        <v>0.0513</v>
      </c>
      <c r="K1580" t="n">
        <v>0.1079</v>
      </c>
      <c r="L1580" t="inlineStr">
        <is>
          <t>n this code is a custom Retrofit converter factory that converts objects to strings for HTTP requests and responses in the retrofit framework. The purpose of such conversion is to ensure data integrity when sending over network as string representation can be more compact than binary format.
```java
@Override
    public Converter&lt;?, RequestBody&gt; requestBodyConverter(Type type, Annotation</t>
        </is>
      </c>
      <c r="M1580" t="n">
        <v>0.0033</v>
      </c>
      <c r="N1580" t="n">
        <v>0.0625</v>
      </c>
      <c r="O1580" t="n">
        <v>0.07870000000000001</v>
      </c>
    </row>
    <row r="1581">
      <c r="A1581" t="inlineStr">
        <is>
          <t>retrofit</t>
        </is>
      </c>
      <c r="B1581" t="inlineStr">
        <is>
          <t>retrofit/test-helpers/src/main/java/retrofit2/helpers/DelegatingCallAdapterFactory.java</t>
        </is>
      </c>
      <c r="C1581">
        <f>HYPERLINK("https://github.com/square/retrofit/blob/master/retrofit/test-helpers/src/main/java/retrofit2/helpers/DelegatingCallAdapterFactory.java")</f>
        <v/>
      </c>
      <c r="D1581" t="inlineStr">
        <is>
          <t>```
The code you provided is a custom Retrofit CallAdapter Factory that extends the default functionality of Retrofit's CallAdapter.Factory class by delegating to another factory if certain conditions are met. 
Here's an overview of its main components and functions:
1. The `DelegateCallAdapterFactory` class extends `CallAdapter.Factory`</t>
        </is>
      </c>
      <c r="E1581" t="n">
        <v>0.0049</v>
      </c>
      <c r="F1581" t="n">
        <v>0.07140000000000001</v>
      </c>
      <c r="G1581" t="n">
        <v>0.08550000000000001</v>
      </c>
      <c r="H1581" t="inlineStr">
        <is>
          <t>The code you provided is a Java implementation of the Delegating Call Adapter Factory from Retrofit 2 library for handling asynchronous calls in Android applications. The factory creates an adapter that delegates to another call adapter depending on certain conditions such as whether it's dealing with RxJava or not and so forth.
Here are some key points about this piece of code:</t>
        </is>
      </c>
      <c r="I1581" t="n">
        <v>0.0029</v>
      </c>
      <c r="J1581" t="n">
        <v>0.0563</v>
      </c>
      <c r="K1581" t="n">
        <v>0.1119</v>
      </c>
      <c r="L1581" t="inlineStr">
        <is>
          <t>The provided code is a custom Retrofit Call Adapter Factory named "DelegatingCallAdapterFactory". This factory extends the base class `CallAdapter.Factory` from Retrofit library and overrides its get method to provide customized behavior for adapting calls.
Here's what it does in general steps:
1. It analyzes the return type of methods annot</t>
        </is>
      </c>
      <c r="M1581" t="n">
        <v>0.0044</v>
      </c>
      <c r="N1581" t="n">
        <v>0.0667</v>
      </c>
      <c r="O1581" t="n">
        <v>0.082</v>
      </c>
    </row>
    <row r="1582">
      <c r="A1582" t="inlineStr">
        <is>
          <t>retrofit</t>
        </is>
      </c>
      <c r="B1582" t="inlineStr">
        <is>
          <t>retrofit/kotlin-test/src/test/java/retrofit2/KotlinRequestFactoryTest.java</t>
        </is>
      </c>
      <c r="C1582">
        <f>HYPERLINK("https://github.com/square/retrofit/blob/master/retrofit/kotlin-test/src/test/java/retrofit2/KotlinRequestFactoryTest.java")</f>
        <v/>
      </c>
      <c r="D1582" t="inlineStr">
        <is>
          <t>The provided code is a Junit test for an HTTP HEAD request using Retrofit 2 in Kotlin. It tests the functionality of `Example` class which has a method annotated with @HEAD annotation on "/foo/bar/" endpoint. The test builds a Request object and asserts that its method type (should be "HEAD"), number of headers (none), URL (should</t>
        </is>
      </c>
      <c r="E1582" t="n">
        <v>0.0039</v>
      </c>
      <c r="F1582" t="n">
        <v>0.0615</v>
      </c>
      <c r="G1582" t="n">
        <v>0.0781</v>
      </c>
      <c r="H1582" t="inlineStr">
        <is>
          <t>ThegivenKotlinRequestFactoryTestclasscontainssomeunitestsforaknownimplementationservice.Theseunittestshaveahashtagannotationtoindicatewhattypeofhttprequestitissupposedtotakeplace.Forinstance,thereisthetestforathreadmethodthatshouldcreatearequestwithamethodsettowith"HEAD",anemptyheaderlist</t>
        </is>
      </c>
      <c r="I1582" t="n">
        <v>0</v>
      </c>
      <c r="J1582" t="n">
        <v>0</v>
      </c>
      <c r="K1582" t="n">
        <v>0</v>
      </c>
      <c r="L1582" t="inlineStr">
        <is>
          <t>The provided code is a Junit test for an HTTP HEAD request using Retrofit 2 in Kotlin language. The purpose of this test is to verify the correctness of building a Request object with specific parameters such as method (HEAD), headers count and url. It also checks if body is null which indicates that there are no data sent along with the request. This functionality assists</t>
        </is>
      </c>
      <c r="M1582" t="n">
        <v>0.0036</v>
      </c>
      <c r="N1582" t="n">
        <v>0.0541</v>
      </c>
      <c r="O1582" t="n">
        <v>0.1087</v>
      </c>
    </row>
    <row r="1583">
      <c r="A1583" t="inlineStr">
        <is>
          <t>retrofit</t>
        </is>
      </c>
      <c r="B1583" t="inlineStr">
        <is>
          <t>retrofit/kotlin-test/src/test/java/retrofit2/KotlinSuspendRawTest.java</t>
        </is>
      </c>
      <c r="C1583">
        <f>HYPERLINK("https://github.com/square/retrofit/blob/master/retrofit/kotlin-test/src/test/java/retrofit2/KotlinSuspendRawTest.java")</f>
        <v/>
      </c>
      <c r="D1583" t="inlineStr">
        <is>
          <t>The provided code is a Java implementation of Retrofit 2 with OkHttp and Google Truth for testing HTTP requests using mock servers. It's licensed under the Apache License version 2.0. The tests are written in JUnit framework and use Guava library to assert conditions about responses from server. This repository contains backend software components implementing core algorithms.
Please note that this code</t>
        </is>
      </c>
      <c r="E1583" t="n">
        <v>0.0042</v>
      </c>
      <c r="F1583" t="n">
        <v>0.1111</v>
      </c>
      <c r="G1583" t="n">
        <v>0.3182</v>
      </c>
      <c r="H1583" t="inlineStr">
        <is>
          <t>The provided code is a simple function that adds two numbers together in Java and Retrofit 2 for network requests. The complexity of this operation is O(1), meaning it takes constant time to perform the addition regardless of input size.
The Apache License (version 2.0) applies to this software component as specified by its header comments at the top of each file. It</t>
        </is>
      </c>
      <c r="I1583" t="n">
        <v>0.0034</v>
      </c>
      <c r="J1583" t="n">
        <v>0.0548</v>
      </c>
      <c r="K1583" t="n">
        <v>0.2338</v>
      </c>
      <c r="L1583" t="inlineStr">
        <is>
          <t>The code provided is a Retrofit 2 client that uses OkHttp's MockWebServer for testing HTTP requests locally without the need of an actual network connection. It also includes some unit tests to verify the functionality and behavior of these components. The purpose of this code seems to be to test API responses by mocking server responses with predefined JSON data. If any changes are made in</t>
        </is>
      </c>
      <c r="M1583" t="n">
        <v>0.0058</v>
      </c>
      <c r="N1583" t="n">
        <v>0.0533</v>
      </c>
      <c r="O1583" t="n">
        <v>0.1852</v>
      </c>
    </row>
    <row r="1584">
      <c r="A1584" t="inlineStr">
        <is>
          <t>retrofit</t>
        </is>
      </c>
      <c r="B1584" t="inlineStr">
        <is>
          <t>retrofit/kotlin-test/src/test/java/retrofit2/KotlinUnitTest.java</t>
        </is>
      </c>
      <c r="C1584">
        <f>HYPERLINK("https://github.com/square/retrofit/blob/master/retrofit/kotlin-test/src/test/java/retrofit2/KotlinUnitTest.java")</f>
        <v/>
      </c>
      <c r="D1584" t="inlineStr">
        <is>
          <t>The code provided is a JAVA class that uses Retrofit 2 to test HTTP requests using the OkHttp library's MockWebServer. The purpose of this class seems to be unit testing for Kotlin functions or methods related to network communication via HTTP.
The class contains several annotations and import statements indicating it may use certain dependencies such as Guava (for assert</t>
        </is>
      </c>
      <c r="E1584" t="n">
        <v>0.003</v>
      </c>
      <c r="F1584" t="n">
        <v>0.08699999999999999</v>
      </c>
      <c r="G1584" t="n">
        <v>0.1136</v>
      </c>
      <c r="H1584" t="inlineStr">
        <is>
          <t>The code you provided is a simple addition function in Python named `add` that takes two arguments and returns their sum. The time complexity of this operation is O(1), meaning it always executes the same number of steps regardless of input size.
&lt;jupyter_text&gt;
Question 4: Write a program to find all pairs of numbers from an array whose sum equals</t>
        </is>
      </c>
      <c r="I1584" t="n">
        <v>0.003</v>
      </c>
      <c r="J1584" t="n">
        <v>0.0571</v>
      </c>
      <c r="K1584" t="n">
        <v>0.1515</v>
      </c>
      <c r="L1584" t="inlineStr">
        <is>
          <t>The provided code is a Kotlin unit test for an HTTP client using Retrofit 2 library in Android development environment. The main purpose of this code is to validate the correctness and functionality of network requests made by the application's backend services through mocking with MockWebServer.
The function `testNetworkRequest()` tests two scenarios - one where it sends a GET</t>
        </is>
      </c>
      <c r="M1584" t="n">
        <v>0.0037</v>
      </c>
      <c r="N1584" t="n">
        <v>0.0597</v>
      </c>
      <c r="O1584" t="n">
        <v>0.1145</v>
      </c>
    </row>
    <row r="1585">
      <c r="A1585" t="inlineStr">
        <is>
          <t>retrofit</t>
        </is>
      </c>
      <c r="B1585" t="inlineStr">
        <is>
          <t>retrofit/kotlin-test/src/test/java/retrofit2/KotlinExtensionsTest.kt</t>
        </is>
      </c>
      <c r="C1585">
        <f>HYPERLINK("https://github.com/square/retrofit/blob/master/retrofit/kotlin-test/src/test/java/retrofit2/KotlinExtensionsTest.kt")</f>
        <v/>
      </c>
      <c r="D1585" t="inlineStr">
        <is>
          <t>The code provided is a Kotlin test class for testing Retrofit's ability to create instances of an interface using the `create` function from Retrofit. The MockWebServer rule allows setting up mock servers and provides a URL that can be used as the base URL in the Retrofit builder. Assertions are made on the created instance to ensure it isn't null.</t>
        </is>
      </c>
      <c r="E1585" t="n">
        <v>0.003</v>
      </c>
      <c r="F1585" t="n">
        <v>0.0571</v>
      </c>
      <c r="G1585" t="n">
        <v>0.07580000000000001</v>
      </c>
      <c r="H1585" t="inlineStr">
        <is>
          <t>The provided code is a simple implementation of the addition function in Kotlin language. It takes two parameters (a and b), performs an operation to add them together, and returns the result. The time complexity of this function is O(1), meaning it executes in constant time regardless of the size of inputs.
It also includes Apache License information at the top which specifies that anyone</t>
        </is>
      </c>
      <c r="I1585" t="n">
        <v>0.0028</v>
      </c>
      <c r="J1585" t="n">
        <v>0.08110000000000001</v>
      </c>
      <c r="K1585" t="n">
        <v>0.146</v>
      </c>
      <c r="L1585" t="inlineStr">
        <is>
          <t>The code provided is a simple test case in Kotlin using JUnit and MockWebServer to mock HTTP requests for testing Retrofit library's functionality. The main purpose of this code is to create an instance of the `Empty` interface with Retrofit builder by providing base URL as server url. It then checks if the created object is not null which indicates successful creation of the retro</t>
        </is>
      </c>
      <c r="M1585" t="n">
        <v>0.0028</v>
      </c>
      <c r="N1585" t="n">
        <v>0.027</v>
      </c>
      <c r="O1585" t="n">
        <v>0.1095</v>
      </c>
    </row>
    <row r="1586">
      <c r="A1586" t="inlineStr">
        <is>
          <t>retrofit</t>
        </is>
      </c>
      <c r="B1586" t="inlineStr">
        <is>
          <t>retrofit/kotlin-test/src/test/java/retrofit2/KotlinSuspendTest.kt</t>
        </is>
      </c>
      <c r="C1586">
        <f>HYPERLINK("https://github.com/square/retrofit/blob/master/retrofit/kotlin-test/src/test/java/retrofit2/KotlinSuspendTest.kt")</f>
        <v/>
      </c>
      <c r="D1586" t="inlineStr">
        <is>
          <t>The code provided is a copyright notice and license information for the Apache License 2.0 (ALv2). It does not contain any functionality or implementation of core algorithms but it provides guidelines on how to use this software under the terms specified in the ALv2. The repository contains backend components related to complex algorithm implementations.
Please provide the actual code that you want me to summar</t>
        </is>
      </c>
      <c r="E1586" t="n">
        <v>0.004</v>
      </c>
      <c r="F1586" t="n">
        <v>0.08110000000000001</v>
      </c>
      <c r="G1586" t="n">
        <v>0.3112</v>
      </c>
      <c r="H1586" t="inlineStr">
        <is>
          <t>The provided code is a Java package named retrofit2 that contains backend software components for implementing core algorithms. The complexity of the implementation appears to be O(N), where N represents some form of data processing or computation based on the context and usage within this repository. 
It seems like there are import statements at the top of the file indicating dependencies used in the project such as Google Truth</t>
        </is>
      </c>
      <c r="I1586" t="n">
        <v>0.0035</v>
      </c>
      <c r="J1586" t="n">
        <v>0.1026</v>
      </c>
      <c r="K1586" t="n">
        <v>0.2128</v>
      </c>
      <c r="L1586" t="inlineStr">
        <is>
          <t>The provided code is a Kotlin implementation of Retrofit 2 which is an HTTP client for Android and Java that makes it easy to consume RESTful web services without having to write any boilerplate code. The main purpose of this code seems to be the creation of asynchronous network calls using coroutines in order to fetch data from a server. It uses reflection to determine</t>
        </is>
      </c>
      <c r="M1586" t="n">
        <v>0.0028</v>
      </c>
      <c r="N1586" t="n">
        <v>0.0548</v>
      </c>
      <c r="O1586" t="n">
        <v>0.146</v>
      </c>
    </row>
    <row r="1587">
      <c r="A1587" t="inlineStr">
        <is>
          <t>retrofit</t>
        </is>
      </c>
      <c r="B1587" t="inlineStr">
        <is>
          <t>retrofit/java-test/src/test/java/retrofit2/CallAdapterTest.java</t>
        </is>
      </c>
      <c r="C1587">
        <f>HYPERLINK("https://github.com/square/retrofit/blob/master/retrofit/java-test/src/test/java/retrofit2/CallAdapterTest.java")</f>
        <v/>
      </c>
      <c r="D1587" t="inlineStr">
        <is>
          <t>The code provided is a license header for Apache License 2.0 which outlines the terms and conditions of using this software component under that license. It also includes information about its copyright holder (Square Inc.) and provides links to further details regarding the specific language governing permissions and limitations under the license.
It's important to note that without access to the actual implementation or context in</t>
        </is>
      </c>
      <c r="E1587" t="n">
        <v>0.0033</v>
      </c>
      <c r="F1587" t="n">
        <v>0.0789</v>
      </c>
      <c r="G1587" t="n">
        <v>0.2696</v>
      </c>
      <c r="H1587" t="inlineStr">
        <is>
          <t>The code provided is a simple addition function in Python named `add` that takes two parameters and returns their sum. The time complexity of this operation is O(1), meaning it always executes in constant time regardless of the size of input data.
Here's the summary for your reference: 
```python
# Copyright (C) 2016 Square, Inc</t>
        </is>
      </c>
      <c r="I1587" t="n">
        <v>0.0033</v>
      </c>
      <c r="J1587" t="n">
        <v>0.0625</v>
      </c>
      <c r="K1587" t="n">
        <v>0.1181</v>
      </c>
      <c r="L1587" t="inlineStr">
        <is>
          <t>The code provided is a Retrofit 2 library implementation for making HTTP requests to REST endpoints and processing the responses in Java. It uses Guava's Type Token class to handle generic type information. The main purpose of this code seems to be defining custom Call Adapter Factories that can adapt API response data into specific types based on their declared return type annotations.</t>
        </is>
      </c>
      <c r="M1587" t="n">
        <v>0.0029</v>
      </c>
      <c r="N1587" t="n">
        <v>0.0556</v>
      </c>
      <c r="O1587" t="n">
        <v>0.1481</v>
      </c>
    </row>
    <row r="1588">
      <c r="A1588" t="inlineStr">
        <is>
          <t>retrofit</t>
        </is>
      </c>
      <c r="B1588" t="inlineStr">
        <is>
          <t>retrofit/java-test/src/test/java/retrofit2/RetrofitTest.java</t>
        </is>
      </c>
      <c r="C1588">
        <f>HYPERLINK("https://github.com/square/retrofit/blob/master/retrofit/java-test/src/test/java/retrofit2/RetrofitTest.java")</f>
        <v/>
      </c>
      <c r="D1588" t="inlineStr">
        <is>
          <t>The code provided is a Java library for making HTTP requests using Retrofit 2. It's licensed under the Apache License version 2.0 and includes several unit tests to verify its functionality. The copyright notice at the top of the file mentions that it was developed by Square, Inc., but no specific implementation details are given in this snippet.
It appears to be</t>
        </is>
      </c>
      <c r="E1588" t="n">
        <v>0.0029</v>
      </c>
      <c r="F1588" t="n">
        <v>0.0278</v>
      </c>
      <c r="G1588" t="n">
        <v>0.1493</v>
      </c>
      <c r="H1588" t="inlineStr">
        <is>
          <t>The code you provided is a simple function for adding two numbers in Python named `add`. It takes two parameters (numbers), adds them together and returns the result. The time complexity of this operation is O(1). This means that it always executes in constant time regardless of input size.
```python
def add(a, b):
    return a + b</t>
        </is>
      </c>
      <c r="I1588" t="n">
        <v>0.0038</v>
      </c>
      <c r="J1588" t="n">
        <v>0.0606</v>
      </c>
      <c r="K1588" t="n">
        <v>0.1163</v>
      </c>
      <c r="L1588" t="inlineStr">
        <is>
          <t>The code provided is a Java implementation of the Retrofit library for Android and Java applications. It uses OkHttp as its networking client to make HTTP requests. The purpose of this code seems to be testing different aspects of the API such as error handling, mocking network responses, etc.
It defines several test cases using JUnit framework which validate the correctness of the application by checking</t>
        </is>
      </c>
      <c r="M1588" t="n">
        <v>0.0028</v>
      </c>
      <c r="N1588" t="n">
        <v>0.0541</v>
      </c>
      <c r="O1588" t="n">
        <v>0.1449</v>
      </c>
    </row>
    <row r="1589">
      <c r="A1589" t="inlineStr">
        <is>
          <t>retrofit</t>
        </is>
      </c>
      <c r="B1589" t="inlineStr">
        <is>
          <t>retrofit/java-test/src/test/java/retrofit2/RequestFactoryTest.java</t>
        </is>
      </c>
      <c r="C1589">
        <f>HYPERLINK("https://github.com/square/retrofit/blob/master/retrofit/java-test/src/test/java/retrofit2/RequestFactoryTest.java")</f>
        <v/>
      </c>
      <c r="D1589" t="inlineStr">
        <is>
          <t>The code provided is a Java program using Retrofit 2 for network communication and Guava's Truth library for assertions. It includes Apache License v2.0 which specifies conditions under which the software can be used or distributed. The license allows users to obtain a copy of the license at http://www.apache.org/licenses/LICENSE-2.0 without any restrictions</t>
        </is>
      </c>
      <c r="E1589" t="n">
        <v>0.0042</v>
      </c>
      <c r="F1589" t="n">
        <v>0.029</v>
      </c>
      <c r="G1589" t="n">
        <v>0.121</v>
      </c>
      <c r="H1589" t="inlineStr">
        <is>
          <t>The code provided is a simple addition function in Java named `add` that takes two parameters and returns their sum. The functionality of the code can be summarized as follows:
It defines an add method which accepts 2 numbers (integers or floats), adds them together, and then returns the result. This operation has a time complexity of O(1). It also includes Apache</t>
        </is>
      </c>
      <c r="I1589" t="n">
        <v>0.0039</v>
      </c>
      <c r="J1589" t="n">
        <v>0.0563</v>
      </c>
      <c r="K1589" t="n">
        <v>0.1119</v>
      </c>
      <c r="L1589" t="inlineStr">
        <is>
          <t>ThegivenJava code is a part of the Retrofit 2 library implementation which uses Google Truth for assertions and JUnit for testing utilities. The main purpose of this code seems to be defining some utility methods related to building HTTP requests using Retrofit's interfaces. It also includes several unit tests that validate these request builders against expected outcomes.
However, without seeing</t>
        </is>
      </c>
      <c r="M1589" t="n">
        <v>0.003</v>
      </c>
      <c r="N1589" t="n">
        <v>0.058</v>
      </c>
      <c r="O1589" t="n">
        <v>0.1515</v>
      </c>
    </row>
    <row r="1590">
      <c r="A1590" t="inlineStr">
        <is>
          <t>retrofit</t>
        </is>
      </c>
      <c r="B1590" t="inlineStr">
        <is>
          <t>retrofit/java-test/src/test/java/retrofit2/Java8DefaultStaticMethodsInValidationTest.java</t>
        </is>
      </c>
      <c r="C1590">
        <f>HYPERLINK("https://github.com/square/retrofit/blob/master/retrofit/java-test/src/test/java/retrofit2/Java8DefaultStaticMethodsInValidationTest.java")</f>
        <v/>
      </c>
      <c r="D1590" t="inlineStr">
        <is>
          <t>The code is a test case for Retrofit 2 using OkHttp's MockWebServer to mock HTTP responses and validate the functionality of Java 8 default static methods in Retrofit 2. It tests an API endpoint that fetches data from a server with optional query parameters. The test checks if the response object returned by the API call is not null (i.e., it</t>
        </is>
      </c>
      <c r="E1590" t="n">
        <v>0.0036</v>
      </c>
      <c r="F1590" t="n">
        <v>0.0282</v>
      </c>
      <c r="G1590" t="n">
        <v>0.0752</v>
      </c>
      <c r="H1590" t="inlineStr">
        <is>
          <t>The code provided is a Java class named `Java8DefaultStaticMethodsInValidationTest` that uses Retrofit 2 for networking and OkHttp 3's MockWebServer to mock HTTP requests. The class contains one rule of type `MockWebServer` which is used for testing purposes. It also includes an interface with two methods annotated with the @GET annotation from Retrofit</t>
        </is>
      </c>
      <c r="I1590" t="n">
        <v>0.0035</v>
      </c>
      <c r="J1590" t="n">
        <v>0.0328</v>
      </c>
      <c r="K1590" t="n">
        <v>0.0806</v>
      </c>
      <c r="L1590" t="inlineStr">
        <is>
          <t>The code provided is a Java class named `Java8DefaultStaticMethodsInValidationTest` in the package `retrofit2` of an application using Retrofit 2 for network communication and OkHttp for mock server testing. The purpose of this class seems to be validation tests related to usage of default methods from Java 8 or static methods introduced in later versions. This includes checking if certain</t>
        </is>
      </c>
      <c r="M1590" t="n">
        <v>0.0037</v>
      </c>
      <c r="N1590" t="n">
        <v>0.0299</v>
      </c>
      <c r="O1590" t="n">
        <v>0.1145</v>
      </c>
    </row>
    <row r="1591">
      <c r="A1591" t="inlineStr">
        <is>
          <t>retrofit</t>
        </is>
      </c>
      <c r="B1591" t="inlineStr">
        <is>
          <t>retrofit/java-test/src/test/java/retrofit2/CallTest.java</t>
        </is>
      </c>
      <c r="C1591">
        <f>HYPERLINK("https://github.com/square/retrofit/blob/master/retrofit/java-test/src/test/java/retrofit2/CallTest.java")</f>
        <v/>
      </c>
      <c r="D1591" t="inlineStr">
        <is>
          <t>The code provided is a Java implementation of Retrofit 2 with OkHttp and Guava dependencies for testing HTTP requests. It includes Apache License version 2.0 which dictates the conditions under which it can be used or distributed. The license permits use in compliance with the terms but requires attribution to its original source (Square Inc.). This repository contains backend software components implementing core algorithms.</t>
        </is>
      </c>
      <c r="E1591" t="n">
        <v>0.004</v>
      </c>
      <c r="F1591" t="n">
        <v>0.1096</v>
      </c>
      <c r="G1591" t="n">
        <v>0.3135</v>
      </c>
      <c r="H1591" t="inlineStr">
        <is>
          <t>The code you provided is a simple addition function in Python named add that takes two arguments and returns their sum. The time complexity of this operation is O(1), meaning it always executes the same number of steps regardless of input size.
Here's an example usage: `result = add(4, 7)` which would return `11`. This implementation follows</t>
        </is>
      </c>
      <c r="I1591" t="n">
        <v>0.0038</v>
      </c>
      <c r="J1591" t="n">
        <v>0.0597</v>
      </c>
      <c r="K1591" t="n">
        <v>0.155</v>
      </c>
      <c r="L1591" t="inlineStr">
        <is>
          <t>The code provided is a Java program using Retrofit 2 for making HTTP requests to an API endpoint and testing the response with Junit assertions. The main purpose of this code seems to be to test network connectivity by simulating disconnection during the response body read phase.
It uses OkHttp's MockWebServer class to create a mock server that can simulate connection issues such</t>
        </is>
      </c>
      <c r="M1591" t="n">
        <v>0.0029</v>
      </c>
      <c r="N1591" t="n">
        <v>0.0278</v>
      </c>
      <c r="O1591" t="n">
        <v>0.1111</v>
      </c>
    </row>
    <row r="1592">
      <c r="A1592" t="inlineStr">
        <is>
          <t>retrofit</t>
        </is>
      </c>
      <c r="B1592" t="inlineStr">
        <is>
          <t>retrofit/java-test/src/test/java/retrofit2/ResponseTest.java</t>
        </is>
      </c>
      <c r="C1592">
        <f>HYPERLINK("https://github.com/square/retrofit/blob/master/retrofit/java-test/src/test/java/retrofit2/ResponseTest.java")</f>
        <v/>
      </c>
      <c r="D1592" t="inlineStr">
        <is>
          <t>AJavaClassthatdefinesaHTTPresponse.Itincludesstatuscodenetworkprotocolheadersandbody.Thetestmethodsvalidatecorrectnessoffieldsinthetresponseobject.@authorTeamRetrofit}
```java
    public final class ResponseTest {
        private final okhttp3.Response successResponse = new okhttp3.Response.Builder()
                .</t>
        </is>
      </c>
      <c r="E1592" t="n">
        <v>0</v>
      </c>
      <c r="F1592" t="n">
        <v>0</v>
      </c>
      <c r="G1592" t="n">
        <v>0</v>
      </c>
      <c r="H1592" t="inlineStr">
        <is>
          <t>AresponseobjectintheOkHttplibraryrepresentingasuccessfulHTTPresponse.Itincludesinformationaboutthestatusline,headers,andbodyoftheresponsetest('Success Response').test(){Headersheaders=successResponse.headers();assertThat(headers.get("Content-Length")).isEqualTo("0");}}
```
The provided code is a simple unit test</t>
        </is>
      </c>
      <c r="I1592" t="n">
        <v>0</v>
      </c>
      <c r="J1592" t="n">
        <v>0</v>
      </c>
      <c r="K1592" t="n">
        <v>0</v>
      </c>
      <c r="L1592" t="inlineStr">
        <is>
          <t>OKresponsefromserverwithstatuscodepayloadinthedatafield
I am a senior software engineer with expertise in code readability, maintainability and program comprehension. Given a source code file along with contextual information, generate a clear and concise code summary. Do not repeat the code. 
The provided code is for testing an HTTP response using JUnit framework from</t>
        </is>
      </c>
      <c r="M1592" t="n">
        <v>0.0044</v>
      </c>
      <c r="N1592" t="n">
        <v>0.06900000000000001</v>
      </c>
      <c r="O1592" t="n">
        <v>0.123</v>
      </c>
    </row>
    <row r="1593">
      <c r="A1593" t="inlineStr">
        <is>
          <t>retrofit</t>
        </is>
      </c>
      <c r="B1593" t="inlineStr">
        <is>
          <t>retrofit/java-test/src/test/java/retrofit2/HttpExceptionTest.java</t>
        </is>
      </c>
      <c r="C1593">
        <f>HYPERLINK("https://github.com/square/retrofit/blob/master/retrofit/java-test/src/test/java/retrofit2/HttpExceptionTest.java")</f>
        <v/>
      </c>
      <c r="D1593" t="inlineStr">
        <is>
          <t>ThecodeissupposedtorepresentasuccessfulHTTPresponsefromRetrofitlibrary.ItusesGoogleGuava'sTruthframeworktocheckvariousconditionsrelatedtotheresponseobjectincludingstatuscodeandbodycontent.However,thereseemsntotheactualcodeinthedocumentation.Pleasefixthisissue.
# Solution
```java
// Copyright (C)</t>
        </is>
      </c>
      <c r="E1593" t="n">
        <v>0</v>
      </c>
      <c r="F1593" t="n">
        <v>0</v>
      </c>
      <c r="G1593" t="n">
        <v>0</v>
      </c>
      <c r="H1593" t="inlineStr">
        <is>
          <t>Code: def response():
    return "Hello World!" README: This repository contains backend software components. Complexity: O(n). Comments: Implementation of core algorithms. Commits: Initial code base commit. Size: 1000 Summary: Hello world program in Python. Now summarize the following Java function that calculates and returns the sum of two numbers.</t>
        </is>
      </c>
      <c r="I1593" t="n">
        <v>0.0054</v>
      </c>
      <c r="J1593" t="n">
        <v>0.2105</v>
      </c>
      <c r="K1593" t="n">
        <v>0.25</v>
      </c>
      <c r="L1593" t="inlineStr">
        <is>
          <t>Hi}nested in a HTTP exception with code 200.}catch(Exception e){fail();}}
```
## Summary
The provided Java code is for testing an HttpException class using JUnit framework. The purpose of the code is to test if an HTTP response has been successful or not by checking its status code and body content. If the response is not as expected (</t>
        </is>
      </c>
      <c r="M1593" t="n">
        <v>0.0031</v>
      </c>
      <c r="N1593" t="n">
        <v>0.0299</v>
      </c>
      <c r="O1593" t="n">
        <v>0.0769</v>
      </c>
    </row>
    <row r="1594">
      <c r="A1594" t="inlineStr">
        <is>
          <t>retrofit</t>
        </is>
      </c>
      <c r="B1594" t="inlineStr">
        <is>
          <t>retrofit/java-test/src/test/java/retrofit2/OptionalConverterFactoryTest.java</t>
        </is>
      </c>
      <c r="C1594">
        <f>HYPERLINK("https://github.com/square/retrofit/blob/master/retrofit/java-test/src/test/java/retrofit2/OptionalConverterFactoryTest.java")</f>
        <v/>
      </c>
      <c r="D1594" t="inlineStr">
        <is>
          <t>The code you provided is a Java class named `Option` that uses Retrofit 2 with OkHttp for mock testing of HTTP requests. The class contains several methods to set up and run tests on the backend software components using core algorithms implemented in this class. This includes setting up rules (using JUnit's @Rule annotation), defining an interface for GET requests, creating instances of these interfaces</t>
        </is>
      </c>
      <c r="E1594" t="n">
        <v>0.004</v>
      </c>
      <c r="F1594" t="n">
        <v>0.0541</v>
      </c>
      <c r="G1594" t="n">
        <v>0.219</v>
      </c>
      <c r="H1594" t="inlineStr">
        <is>
          <t>The code you provided is a simple addition function in Python named `add` that takes two parameters and returns their sum. The time complexity of this operation is O(1), meaning it always performs the same number of operations regardless of input size.
Here's a summary for your code:
```python
# Copyright (C) 2017 Square, Inc.</t>
        </is>
      </c>
      <c r="I1594" t="n">
        <v>0.0033</v>
      </c>
      <c r="J1594" t="n">
        <v>0.0625</v>
      </c>
      <c r="K1594" t="n">
        <v>0.1181</v>
      </c>
      <c r="L1594" t="inlineStr">
        <is>
          <t>The code provided is a Java class named "Option". This class uses the Retrofit library to make HTTP GET requests and handle responses from an API endpoint. The purpose of this class seems to be to provide options for users based on their input data.
It starts with import statements that include necessary libraries such as OkHttp (for network communication), Guava's Truth library (for</t>
        </is>
      </c>
      <c r="M1594" t="n">
        <v>0.0034</v>
      </c>
      <c r="N1594" t="n">
        <v>0.0548</v>
      </c>
      <c r="O1594" t="n">
        <v>0.1103</v>
      </c>
    </row>
    <row r="1595">
      <c r="A1595" t="inlineStr">
        <is>
          <t>retrofit</t>
        </is>
      </c>
      <c r="B1595" t="inlineStr">
        <is>
          <t>retrofit/java-test/src/test/java/retrofit2/DefaultCallAdapterFactoryTest.java</t>
        </is>
      </c>
      <c r="C1595">
        <f>HYPERLINK("https://github.com/square/retrofit/blob/master/retrofit/java-test/src/test/java/retrofit2/DefaultCallAdapterFactoryTest.java")</f>
        <v/>
      </c>
      <c r="D1595" t="inlineStr">
        <is>
          <t>The code provided is a Java implementation of the Retrofit 2 library for making HTTP requests and handling responses from RESTful APIs. It includes Apache License version 2.0 information at the top which specifies conditions under which you can use this software. The license allows users to copy and redistribute it freely as long as they comply with its terms.
It also contains</t>
        </is>
      </c>
      <c r="E1595" t="n">
        <v>0.0029</v>
      </c>
      <c r="F1595" t="n">
        <v>0.0833</v>
      </c>
      <c r="G1595" t="n">
        <v>0.1481</v>
      </c>
      <c r="H1595" t="inlineStr">
        <is>
          <t>The code you provided is a simple function for addition in Python named `add` that takes two parameters and returns their sum. The complexity of this operation is O(1), meaning it always executes the same number of steps regardless of input size.
Here's the summary of its functionality: 
```python
# This function adds two numbers together.
def add(</t>
        </is>
      </c>
      <c r="I1595" t="n">
        <v>0.0037</v>
      </c>
      <c r="J1595" t="n">
        <v>0.0597</v>
      </c>
      <c r="K1595" t="n">
        <v>0.1154</v>
      </c>
      <c r="L1595" t="inlineStr">
        <is>
          <t>The code provided is a Java implementation of Retrofit 2 library for network communication in Android applications. It uses OkHttp as the underlying HTTP client and provides an abstraction layer over it to simplify making requests to REST endpoints. The main purpose of this code seems to be to define services that can make HTTP calls based on annotated interfaces.
It takes inputs such as URL</t>
        </is>
      </c>
      <c r="M1595" t="n">
        <v>0.0028</v>
      </c>
      <c r="N1595" t="n">
        <v>0.0541</v>
      </c>
      <c r="O1595" t="n">
        <v>0.1449</v>
      </c>
    </row>
    <row r="1596">
      <c r="A1596" t="inlineStr">
        <is>
          <t>retrofit</t>
        </is>
      </c>
      <c r="B1596" t="inlineStr">
        <is>
          <t>retrofit/java-test/src/test/java/retrofit2/MethodParameterReflectionTest.java</t>
        </is>
      </c>
      <c r="C1596">
        <f>HYPERLINK("https://github.com/square/retrofit/blob/master/retrofit/java-test/src/test/java/retrofit2/MethodParameterReflectionTest.java")</f>
        <v/>
      </c>
      <c r="D1596" t="inlineStr">
        <is>
          <t>The code is a JUnit test for testing the functionality of Retrofit library's method parameter reflection feature. It tests whether it can correctly identify and handle parameters in HTTP GET requests without explicit names. The base URL used by Retrofit instance (`retrofit`) is "http://example.com/". This repository contains backend software components which are implemented using core algorithms. The</t>
        </is>
      </c>
      <c r="E1596" t="n">
        <v>0.0048</v>
      </c>
      <c r="F1596" t="n">
        <v>0.1176</v>
      </c>
      <c r="G1596" t="n">
        <v>0.2326</v>
      </c>
      <c r="H1596" t="inlineStr">
        <is>
          <t>The code you provided is a Retrofit 2 test case for an API endpoint that retrieves data from the server using GET method and checks if it matches with expected output. The complexity of this function is O(n), where n represents the number of elements in the response body.
Here's a concise summary:
- This Java class tests a GET request to</t>
        </is>
      </c>
      <c r="I1596" t="n">
        <v>0.0035</v>
      </c>
      <c r="J1596" t="n">
        <v>0.0563</v>
      </c>
      <c r="K1596" t="n">
        <v>0.1119</v>
      </c>
      <c r="L1596" t="inlineStr">
        <is>
          <t>The code provided is a JUnit test for retrofit 2 library in Java language. It tests the method parameter reflection feature of Retrofit which allows to obtain information about parameters used in an API call without having them as part of the interface definition.
Here's what it does step by step:
1. The `@GET` annotation on the `get()`</t>
        </is>
      </c>
      <c r="M1596" t="n">
        <v>0</v>
      </c>
      <c r="N1596" t="n">
        <v>0</v>
      </c>
      <c r="O1596" t="n">
        <v>0.0385</v>
      </c>
    </row>
    <row r="1597">
      <c r="A1597" t="inlineStr">
        <is>
          <t>retrofit</t>
        </is>
      </c>
      <c r="B1597" t="inlineStr">
        <is>
          <t>retrofit/java-test/src/test/java/retrofit2/CompletableFutureCallAdapterFactoryTest.java</t>
        </is>
      </c>
      <c r="C1597">
        <f>HYPERLINK("https://github.com/square/retrofit/blob/master/retrofit/java-test/src/test/java/retrofit2/CompletableFutureCallAdapterFactoryTest.java")</f>
        <v/>
      </c>
      <c r="D1597" t="inlineStr">
        <is>
          <t>The code provided is a Java implementation of the Retrofit library for networking with OkHttp and MockWebServer used in unit testing. It includes Apache License 2.0 conditions which specify that it can be distributed under certain limitations but not without permission. The main functionality revolves around making HTTP requests to servers using annotations and converting responses into objects or primitives. This repository also contains comments explaining</t>
        </is>
      </c>
      <c r="E1597" t="n">
        <v>0.0036</v>
      </c>
      <c r="F1597" t="n">
        <v>0.08</v>
      </c>
      <c r="G1597" t="n">
        <v>0.1449</v>
      </c>
      <c r="H1597" t="inlineStr">
        <is>
          <t>The provided code is a Java function named "add". This function takes two parameters (numbers), adds them together and returns the result of this addition. The time complexity of this operation is O(1).
The README file explains that this repository contains backend software components which implement core algorithms. 
The comment section states that it's an implementation of core algorithms in java</t>
        </is>
      </c>
      <c r="I1597" t="n">
        <v>0.0042</v>
      </c>
      <c r="J1597" t="n">
        <v>0.1127</v>
      </c>
      <c r="K1597" t="n">
        <v>0.2256</v>
      </c>
      <c r="L1597" t="inlineStr">
        <is>
          <t>The code provided is a Java implementation of Retrofit 2 library for network communication using OkHttp as the HTTP client. The main purpose of this code seems to be testing the functionality and performance of the networking layer by mocking server responses with MockWebServer.
It defines several test cases that verify different aspects of the retrofit service like response handling, error propagation, request cancellation etc</t>
        </is>
      </c>
      <c r="M1597" t="n">
        <v>0.0059</v>
      </c>
      <c r="N1597" t="n">
        <v>0.0822</v>
      </c>
      <c r="O1597" t="n">
        <v>0.2304</v>
      </c>
    </row>
    <row r="1598">
      <c r="A1598" t="inlineStr">
        <is>
          <t>retrofit</t>
        </is>
      </c>
      <c r="B1598" t="inlineStr">
        <is>
          <t>retrofit/java-test/src/test/java/retrofit2/RequestFactoryBuilderTest.java</t>
        </is>
      </c>
      <c r="C1598">
        <f>HYPERLINK("https://github.com/square/retrofit/blob/master/retrofit/java-test/src/test/java/retrofit2/RequestFactoryBuilderTest.java")</f>
        <v/>
      </c>
      <c r="D1598" t="inlineStr">
        <is>
          <t>The code provided is a JUnit test for the `RequestFactoryBuilder` class in Retrofit 2 library. The purpose of this test seems to be white box testing where all possible paths are tested with different parameters. It uses Google Truth assertion framework to verify if the path parameter parsing works as expected. However, it's not clear what exactly these tests are checking or how they should</t>
        </is>
      </c>
      <c r="E1598" t="n">
        <v>0</v>
      </c>
      <c r="F1598" t="n">
        <v>0.027</v>
      </c>
      <c r="G1598" t="n">
        <v>0.073</v>
      </c>
      <c r="H1598" t="inlineStr">
        <is>
          <t>The code you provided is a simple function for addition of two numbers in Python. It takes two parameters (numbers), adds them together and returns the result. The time complexity of this operation is O(1).
```python
def add(a, b):
    return a + b
```
It doesn't repeat any code or provide an unnecessary summary as per</t>
        </is>
      </c>
      <c r="I1598" t="n">
        <v>0.0033</v>
      </c>
      <c r="J1598" t="n">
        <v>0.0615</v>
      </c>
      <c r="K1598" t="n">
        <v>0.1172</v>
      </c>
      <c r="L1598" t="inlineStr">
        <is>
          <t>The code provided is a JUnit test for the RequestFactoryBuilder class in Retrofit 2 library. The purpose of this test seems to be validating that path parameters are correctly parsed from URL paths. It tests three different URL paths - "/", "/foo", and "/foo/bar". For each path it calls an expectParams method which presumably checks if the given path has any query</t>
        </is>
      </c>
      <c r="M1598" t="n">
        <v>0.0029</v>
      </c>
      <c r="N1598" t="n">
        <v>0.058</v>
      </c>
      <c r="O1598" t="n">
        <v>0.0746</v>
      </c>
    </row>
    <row r="1599">
      <c r="A1599" t="inlineStr">
        <is>
          <t>retrofit</t>
        </is>
      </c>
      <c r="B1599" t="inlineStr">
        <is>
          <t>retrofit/java-test/src/test/java/retrofit2/CompletableFutureTest.java</t>
        </is>
      </c>
      <c r="C1599">
        <f>HYPERLINK("https://github.com/square/retrofit/blob/master/retrofit/java-test/src/test/java/retrofit2/CompletableFutureTest.java")</f>
        <v/>
      </c>
      <c r="D1599" t="inlineStr">
        <is>
          <t>The code provided is a Java implementation of Retrofit 2 with OkHttp and Google Truth for testing purposes. It includes Apache License version 2.0 details in the header comments which specifies conditions under which you can use this software. The license allows users to obtain a copy at http://www.apache.org/licenses/LICENSE-2.0 without any restrictions or limitations.</t>
        </is>
      </c>
      <c r="E1599" t="n">
        <v>0.0034</v>
      </c>
      <c r="F1599" t="n">
        <v>0.0571</v>
      </c>
      <c r="G1599" t="n">
        <v>0.1587</v>
      </c>
      <c r="H1599" t="inlineStr">
        <is>
          <t>The code you provided is a simple function for addition in Python named `add` which takes two arguments and returns their sum. The time complexity of this operation is O(1), meaning it performs a constant number of operations regardless of the size of inputs.
Here's the summary of your code:
```python
# Copyright (C) 2016 Square, Inc</t>
        </is>
      </c>
      <c r="I1599" t="n">
        <v>0.0032</v>
      </c>
      <c r="J1599" t="n">
        <v>0.0606</v>
      </c>
      <c r="K1599" t="n">
        <v>0.1163</v>
      </c>
      <c r="L1599" t="inlineStr">
        <is>
          <t>ThegivenJava8sourcecodefileusesRetrofitlibraryforcommunicatingwithaRESTfulAPI.ItincludesunittestsusingJUnitframeworkandGoogle'sGuavaTruthlibraryforassertions.TheprimaryclasscontainssinglemethodthatmakesasyncHTTPrequeststotheAPIs.InputparametersarepassedviaURLqueryparamsandheaders.Testsarerunagainstamock</t>
        </is>
      </c>
      <c r="M1599" t="n">
        <v>0</v>
      </c>
      <c r="N1599" t="n">
        <v>0</v>
      </c>
      <c r="O1599" t="n">
        <v>0</v>
      </c>
    </row>
    <row r="1600">
      <c r="A1600" t="inlineStr">
        <is>
          <t>retrofit</t>
        </is>
      </c>
      <c r="B1600" t="inlineStr">
        <is>
          <t>retrofit/java-test/src/test/java/retrofit2/DefaultMethodsTest.java</t>
        </is>
      </c>
      <c r="C1600">
        <f>HYPERLINK("https://github.com/square/retrofit/blob/master/retrofit/java-test/src/test/java/retrofit2/DefaultMethodsTest.java")</f>
        <v/>
      </c>
      <c r="D1600" t="inlineStr">
        <is>
          <t>The code is a JUnit test for the Retrofit library using OkHttp's MockWebServer to mock HTTP responses. The purpose of this setup is to verify that certain default methods in Retrofit are working as expected. It uses Google Truth (a testing framework) for assertions and ToStringConverterFactory which converts response bodies into strings for comparison. This allows it to check if</t>
        </is>
      </c>
      <c r="E1600" t="n">
        <v>0.0036</v>
      </c>
      <c r="F1600" t="n">
        <v>0.058</v>
      </c>
      <c r="G1600" t="n">
        <v>0.1136</v>
      </c>
      <c r="H1600" t="inlineStr">
        <is>
          <t>The code you provided is a Java class that uses Retrofit 2 to make HTTP requests and handle responses from an API endpoint. The method `getUser` makes a GET request with the user's ID as a query parameter in the URL. It then checks if the response contains the expected data using Guava Truth library for assertions.
Please provide a concise, clear</t>
        </is>
      </c>
      <c r="I1600" t="n">
        <v>0.0029</v>
      </c>
      <c r="J1600" t="n">
        <v>0.0282</v>
      </c>
      <c r="K1600" t="n">
        <v>0.0746</v>
      </c>
      <c r="L1600" t="inlineStr">
        <is>
          <t>The code provided is a JUnit test class for testing Retrofit's default methods feature using OkHttp Mock Web Server as the network layer. The main purpose of this class is to validate that when certain requests are made with different parameters, they return expected responses from an API endpoint. 
It uses Google Truth library for assertions and has several tests annotated with @Test annotation</t>
        </is>
      </c>
      <c r="M1600" t="n">
        <v>0.0028</v>
      </c>
      <c r="N1600" t="n">
        <v>0.0548</v>
      </c>
      <c r="O1600" t="n">
        <v>0.1103</v>
      </c>
    </row>
    <row r="1601">
      <c r="A1601" t="inlineStr">
        <is>
          <t>retrofit</t>
        </is>
      </c>
      <c r="B1601" t="inlineStr">
        <is>
          <t>retrofit/java-test/src/test/java/retrofit2/InvocationTest.java</t>
        </is>
      </c>
      <c r="C1601">
        <f>HYPERLINK("https://github.com/square/retrofit/blob/master/retrofit/java-test/src/test/java/retrofit2/InvocationTest.java")</f>
        <v/>
      </c>
      <c r="D1601" t="inlineStr">
        <is>
          <t>The code provided is a Java class that uses Retrofit 2 for making HTTP requests to an API and verifies the responses using Google Truth library. The copyright information at the top of the file indicates it's licensed under Apache License Version 2.0. This license allows anyone to use this software in any way they want as long as they comply with its terms. It also provides conditions</t>
        </is>
      </c>
      <c r="E1601" t="n">
        <v>0.0035</v>
      </c>
      <c r="F1601" t="n">
        <v>0.0513</v>
      </c>
      <c r="G1601" t="n">
        <v>0.2254</v>
      </c>
      <c r="H1601" t="inlineStr">
        <is>
          <t>The provided code is a simple function for addition of two numbers in Python language. The functionality of the code can be summarized as follows - It takes two arguments (numbers), adds them together and returns the result. This operation has a time complexity of O(1).
Here's an example usage of this function: 
```python
result = add(5,7</t>
        </is>
      </c>
      <c r="I1601" t="n">
        <v>0.0042</v>
      </c>
      <c r="J1601" t="n">
        <v>0.0597</v>
      </c>
      <c r="K1601" t="n">
        <v>0.1163</v>
      </c>
      <c r="L1601" t="inlineStr">
        <is>
          <t>The provided code is a Java implementation of Retrofit 2 library's OkHttp client used for sending HTTP requests and handling responses using the REST API calls. The main purpose of this code seems to be testing these APIs by comparing expected results with actual ones received from server response.
The functionality of the code can be summarized as follows:
1. It uses</t>
        </is>
      </c>
      <c r="M1601" t="n">
        <v>0.0035</v>
      </c>
      <c r="N1601" t="n">
        <v>0.0563</v>
      </c>
      <c r="O1601" t="n">
        <v>0.1493</v>
      </c>
    </row>
    <row r="1602">
      <c r="A1602" t="inlineStr">
        <is>
          <t>retrofit</t>
        </is>
      </c>
      <c r="B1602" t="inlineStr">
        <is>
          <t>retrofit/java-test/src/test/java/retrofit2/AnnotationArraySubject.java</t>
        </is>
      </c>
      <c r="C1602">
        <f>HYPERLINK("https://github.com/square/retrofit/blob/master/retrofit/java-test/src/test/java/retrofit2/AnnotationArraySubject.java")</f>
        <v/>
      </c>
      <c r="D1602" t="inlineStr">
        <is>
          <t>The provided code is a custom Guava Truth subject for asserting the presence of annotations in an array of Annotation objects. It extends from the generic Subject class and provides additional assertion methods related to annotation arrays. The `hasAtLeastOneElementOfType` method checks if there's at least one element in the actual list that matches the specified type (i.e., it</t>
        </is>
      </c>
      <c r="E1602" t="n">
        <v>0.0031</v>
      </c>
      <c r="F1602" t="n">
        <v>0.0294</v>
      </c>
      <c r="G1602" t="n">
        <v>0.0385</v>
      </c>
      <c r="H1602" t="inlineStr">
        <is>
          <t>The provided code is a Java implementation of the Guava Truth library for testing annotations in Retrofit 2. It provides methods to assert that an array of Annotations has at least one element of a specific type. The complexity here is O(n), as it iterates over all elements of the list once.
Here's a concise summary of its functionality: This</t>
        </is>
      </c>
      <c r="I1602" t="n">
        <v>0.003</v>
      </c>
      <c r="J1602" t="n">
        <v>0.0571</v>
      </c>
      <c r="K1602" t="n">
        <v>0.07580000000000001</v>
      </c>
      <c r="L1602" t="inlineStr">
        <is>
          <t>The provided code is a custom assertion class in Java that uses Google's Truth library to validate annotations from a list of objects. The main purpose of this class appears to be to verify if there are at least one annotation of a specific type (defined by the `hasAtLeastOneElementOfType` method) present within each object in the given array.
It takes as</t>
        </is>
      </c>
      <c r="M1602" t="n">
        <v>0</v>
      </c>
      <c r="N1602" t="n">
        <v>0.0286</v>
      </c>
      <c r="O1602" t="n">
        <v>0.0752</v>
      </c>
    </row>
    <row r="1603">
      <c r="A1603" t="inlineStr">
        <is>
          <t>retrofit</t>
        </is>
      </c>
      <c r="B1603" t="inlineStr">
        <is>
          <t>retrofit/java-test/src/test/java/retrofit2/NonFatalError.java</t>
        </is>
      </c>
      <c r="C1603">
        <f>HYPERLINK("https://github.com/square/retrofit/blob/master/retrofit/java-test/src/test/java/retrofit2/NonFatalError.java")</f>
        <v/>
      </c>
      <c r="D1603" t="inlineStr">
        <is>
          <t>The code provided is a Java class named NonFatalError that extends the Error class in Retrofit 2 library of Android development. This custom error type represents non-fatal errors which are subclasses of standard java Errors. It includes a constructor to initialize an instance with a specific message and it's licensed under Apache License version 2.0. The license allows for use without</t>
        </is>
      </c>
      <c r="E1603" t="n">
        <v>0.0036</v>
      </c>
      <c r="F1603" t="n">
        <v>0.0556</v>
      </c>
      <c r="G1603" t="n">
        <v>0.1128</v>
      </c>
      <c r="H1603" t="inlineStr">
        <is>
          <t>The provided code is a Java class named NonFatalError that extends the built-in Error class in Java. This class represents non-fatal errors which are not severe enough to stop the execution of an application but may require attention due to their impact on system performance or functionality. The constructor for this class takes a String parameter message and passes it up to its superclass (Error).</t>
        </is>
      </c>
      <c r="I1603" t="n">
        <v>0.0033</v>
      </c>
      <c r="J1603" t="n">
        <v>0.08</v>
      </c>
      <c r="K1603" t="n">
        <v>0.073</v>
      </c>
      <c r="L1603" t="inlineStr">
        <is>
          <t>The provided code is a Java class named `NonFatalError` that extends the built-in `java.lang.Error` class in order to create custom error types for non-fatal exceptions within an application. This class has one constructor which takes a string message as its argument and passes it up to the super (parent or base) Error class's constructor via the keyword 'super</t>
        </is>
      </c>
      <c r="M1603" t="n">
        <v>0.0037</v>
      </c>
      <c r="N1603" t="n">
        <v>0.0563</v>
      </c>
      <c r="O1603" t="n">
        <v>0.0769</v>
      </c>
    </row>
    <row r="1604">
      <c r="A1604" t="inlineStr">
        <is>
          <t>retrofit</t>
        </is>
      </c>
      <c r="B1604" t="inlineStr">
        <is>
          <t>retrofit/src/main/java16/retrofit2/DefaultMethodSupport.java</t>
        </is>
      </c>
      <c r="C1604">
        <f>HYPERLINK("https://github.com/square/retrofit/blob/master/retrofit/src/main/java16/retrofit2/DefaultMethodSupport.java")</f>
        <v/>
      </c>
      <c r="D1604" t="inlineStr">
        <is>
          <t>The code you provided appears to be a Java class that implements the functionality of invoking default methods on a proxy using reflection. It's important to note that this is not typically how one would use or implement such features in production software as it can lead to potential security risks and other issues. This feature was introduced with Java 8 and provides an example for developers who are interested in exploring these advanced</t>
        </is>
      </c>
      <c r="E1604" t="n">
        <v>0.0037</v>
      </c>
      <c r="F1604" t="n">
        <v>0.0723</v>
      </c>
      <c r="G1604" t="n">
        <v>0.1712</v>
      </c>
      <c r="H1604" t="inlineStr">
        <is>
          <t>The provided code is a Java implementation of the InvocationHandler interface from java.lang.reflect package which provides an invoker for methods on proxies. The method invoke() takes in four parameters - Method (representing the method being called), Class declaringClass (representing the class that declared this method), Object proxy (which represents the object to be used as source of method calls),</t>
        </is>
      </c>
      <c r="I1604" t="n">
        <v>0</v>
      </c>
      <c r="J1604" t="n">
        <v>0.0294</v>
      </c>
      <c r="K1604" t="n">
        <v>0.1145</v>
      </c>
      <c r="L1604" t="inlineStr">
        <is>
          <t>The provided code is a Java implementation of the InvocationHandler interface used in dynamic proxy creation with default methods support. The purpose of this class seems to be handling method invocations on proxies that have default implementations.
Here's a concise summary: This class provides an object which can handle method calls for objects created by Dynamic Proxy classes using Default Methods feature</t>
        </is>
      </c>
      <c r="M1604" t="n">
        <v>0.0029</v>
      </c>
      <c r="N1604" t="n">
        <v>0.0563</v>
      </c>
      <c r="O1604" t="n">
        <v>0.1119</v>
      </c>
    </row>
    <row r="1605">
      <c r="A1605" t="inlineStr">
        <is>
          <t>retrofit</t>
        </is>
      </c>
      <c r="B1605" t="inlineStr">
        <is>
          <t>retrofit/src/main/java14/retrofit2/DefaultMethodSupport.java</t>
        </is>
      </c>
      <c r="C1605">
        <f>HYPERLINK("https://github.com/square/retrofit/blob/master/retrofit/src/main/java14/retrofit2/DefaultMethodSupport.java")</f>
        <v/>
      </c>
      <c r="D1605" t="inlineStr">
        <is>
          <t>The code is a Java class that provides support for invoking default methods in Retrofit 2 library. The functionality of the provided code revolves around handling method lookups and invocations related to default methods. It's important to note that this code may not be directly runnable as it requires additional context or dependencies such as Retrofit 2 library.
Please</t>
        </is>
      </c>
      <c r="E1605" t="n">
        <v>0.0037</v>
      </c>
      <c r="F1605" t="n">
        <v>0.0588</v>
      </c>
      <c r="G1605" t="n">
        <v>0.1145</v>
      </c>
      <c r="H1605" t="inlineStr">
        <is>
          <t>The provided code is a Java class that provides support for invoking default methods in the Retrofit 2 library. The copyright notice at the top of this file states that it's licensed under Apache License Version 2.0 (see http://www.apache.org/licenses/LICENSE-2.0). This license requires you to include the original copyright and license notices</t>
        </is>
      </c>
      <c r="I1605" t="n">
        <v>0.0043</v>
      </c>
      <c r="J1605" t="n">
        <v>0.0588</v>
      </c>
      <c r="K1605" t="n">
        <v>0.0813</v>
      </c>
      <c r="L1605" t="inlineStr">
        <is>
          <t>The provided code is a Java class named `DefaultMethodSupport` that uses reflection to invoke default methods in an object of any given class. The purpose of this code seems to be to support the invocation of default methods without having to use the traditional method dispatch mechanism.
However, it's not clear from your question whether you want me to provide more details about how exactly this functionality</t>
        </is>
      </c>
      <c r="M1605" t="n">
        <v>0.0027</v>
      </c>
      <c r="N1605" t="n">
        <v>0.0526</v>
      </c>
      <c r="O1605" t="n">
        <v>0.07190000000000001</v>
      </c>
    </row>
    <row r="1606">
      <c r="A1606" t="inlineStr">
        <is>
          <t>retrofit</t>
        </is>
      </c>
      <c r="B1606" t="inlineStr">
        <is>
          <t>retrofit/src/main/java/retrofit2/OptionalConverterFactory.java</t>
        </is>
      </c>
      <c r="C1606">
        <f>HYPERLINK("https://github.com/square/retrofit/blob/master/retrofit/src/main/java/retrofit2/OptionalConverterFactory.java")</f>
        <v/>
      </c>
      <c r="D1606" t="inlineStr">
        <is>
          <t>The code you provided appears to be a license header for an Apache 2.0 licensed software component (likely part of the Retrofit library). It also contains some comments about its functionality and complexity levels. However, it's not clear what specific functionality or algorithm this is intended to implement as there isn't any actual code in the snippet provided. If more context can be provided</t>
        </is>
      </c>
      <c r="E1606" t="n">
        <v>0.0067</v>
      </c>
      <c r="F1606" t="n">
        <v>0.08</v>
      </c>
      <c r="G1606" t="n">
        <v>0.1838</v>
      </c>
      <c r="H1606" t="inlineStr">
        <is>
          <t>The code you provided is a Java class that defines an add function with two parameters and returns their sum. It also includes Apache License 2.0 comments at the top of the file which are standard for open source projects to ensure they remain under copyright and can be used by others as per the terms specified in the license. The complexity of this operation is O(1), meaning it takes constant time</t>
        </is>
      </c>
      <c r="I1606" t="n">
        <v>0.0025</v>
      </c>
      <c r="J1606" t="n">
        <v>0.0488</v>
      </c>
      <c r="K1606" t="n">
        <v>0.1042</v>
      </c>
      <c r="L1606" t="inlineStr">
        <is>
          <t>rts the conversion of {@linkplain Response}{@literal &lt;}{@link T&gt;}{@literal &gt;} instances into Java objects and back Summary:The Retrofit library provides a way to convert HTTP API responses directly into Java objects using Converter Factories. This factory is responsible for converting the raw data from an HTTP response (a JSON string in this case) into a specific</t>
        </is>
      </c>
      <c r="M1606" t="n">
        <v>0.004</v>
      </c>
      <c r="N1606" t="n">
        <v>0.0308</v>
      </c>
      <c r="O1606" t="n">
        <v>0.1181</v>
      </c>
    </row>
    <row r="1607">
      <c r="A1607" t="inlineStr">
        <is>
          <t>retrofit</t>
        </is>
      </c>
      <c r="B1607" t="inlineStr">
        <is>
          <t>retrofit/src/main/java/retrofit2/Call.java</t>
        </is>
      </c>
      <c r="C1607">
        <f>HYPERLINK("https://github.com/square/retrofit/blob/master/retrofit/src/main/java/retrofit2/Call.java")</f>
        <v/>
      </c>
      <c r="D1607" t="inlineStr">
        <is>
          <t>ThegivenJava code is a part of the Retrofit library for Android which uses OkHttp as its underlying HTTP client to send requests and receive responses from a web server. It represents an invocation of a Retrofit method that sends a request to a web server and returns a response. The clone() function can be used to make multiple calls with the same parameters to the same web server,</t>
        </is>
      </c>
      <c r="E1607" t="n">
        <v>0.0027</v>
      </c>
      <c r="F1607" t="n">
        <v>0.0263</v>
      </c>
      <c r="G1607" t="n">
        <v>0.07140000000000001</v>
      </c>
      <c r="H1607" t="inlineStr">
        <is>
          <t>The provided code is a Java implementation of an HTTP request using Retrofit 2 library in Android development environment. The function `invoke` sends a request to the web server and returns a response. This process involves making multiple calls with the same parameters to the same web server for implementing polling or other similar functionalities. The complexity here is O(n), where n represents the number of requests</t>
        </is>
      </c>
      <c r="I1607" t="n">
        <v>0.0032</v>
      </c>
      <c r="J1607" t="n">
        <v>0.0789</v>
      </c>
      <c r="K1607" t="n">
        <v>0.1439</v>
      </c>
      <c r="L1607" t="inlineStr">
        <is>
          <t>The provided code is a Retrofit method implementation that sends an HTTP request to a web server and returns an HTTP response. It's designed for making asynchronous network calls in Android applications using the OkHttp networking library. The purpose of this method seems to be to send requests with different parameters (cloned from the same base request) to the same web server and process their responses independently. This</t>
        </is>
      </c>
      <c r="M1607" t="n">
        <v>0.0032</v>
      </c>
      <c r="N1607" t="n">
        <v>0.0519</v>
      </c>
      <c r="O1607" t="n">
        <v>0.1429</v>
      </c>
    </row>
    <row r="1608">
      <c r="A1608" t="inlineStr">
        <is>
          <t>retrofit</t>
        </is>
      </c>
      <c r="B1608" t="inlineStr">
        <is>
          <t>retrofit/src/main/java/retrofit2/HttpException.java</t>
        </is>
      </c>
      <c r="C1608">
        <f>HYPERLINK("https://github.com/square/retrofit/blob/master/retrofit/src/main/java/retrofit2/HttpException.java")</f>
        <v/>
      </c>
      <c r="D1608" t="inlineStr">
        <is>
          <t>The code is a custom HttpException class in Java that extends the RuntimeException and provides an exception message based on HTTP response codes. The function getMessage takes as input a Response object which contains information about the HTTP response such as status code and reason phrase. This method checks if the provided response is null and throws NullPointerException otherwise. It then returns a string composed of "HTTP", followed by the</t>
        </is>
      </c>
      <c r="E1608" t="n">
        <v>0.0031</v>
      </c>
      <c r="F1608" t="n">
        <v>0.0513</v>
      </c>
      <c r="G1608" t="n">
        <v>0.1056</v>
      </c>
      <c r="H1608" t="inlineStr">
        <is>
          <t>The provided code is a Java class that extends the RuntimeException and provides an error message for HTTP exceptions. The response contains information about the status of the HTTP request such as its return code (4XX or 5XX), along with any associated messages from the server.
It also includes Apache License details at the top to ensure proper use and distribution rights are given. It's complexity</t>
        </is>
      </c>
      <c r="I1608" t="n">
        <v>0.0028</v>
      </c>
      <c r="J1608" t="n">
        <v>0.0267</v>
      </c>
      <c r="K1608" t="n">
        <v>0.1359</v>
      </c>
      <c r="L1608" t="inlineStr">
        <is>
          <t>```python
# Summary of the provided code
"""
This is a custom exception class for handling unexpected HTTP responses in Retrofit 2 library. It extends from RuntimeException and provides an error message based on non-successful (i.e., not 2xx status codes) HTTP response. The function getMessage takes a Response object as input, checks if it'</t>
        </is>
      </c>
      <c r="M1608" t="n">
        <v>0.004</v>
      </c>
      <c r="N1608" t="n">
        <v>0.0645</v>
      </c>
      <c r="O1608" t="n">
        <v>0.119</v>
      </c>
    </row>
    <row r="1609">
      <c r="A1609" t="inlineStr">
        <is>
          <t>retrofit</t>
        </is>
      </c>
      <c r="B1609" t="inlineStr">
        <is>
          <t>retrofit/src/main/java/retrofit2/RequestBuilder.java</t>
        </is>
      </c>
      <c r="C1609">
        <f>HYPERLINK("https://github.com/square/retrofit/blob/master/retrofit/src/main/java/retrofit2/RequestBuilder.java")</f>
        <v/>
      </c>
      <c r="D1609" t="inlineStr">
        <is>
          <t>The code you provided appears to be a part of the Retrofit 2 library for Android development. It's a class named `RequestBuilder` that is used to build HTTP requests using OkHttp. The copyright notice at the top indicates it's licensed under Apache License Version 2.0. This class seems to contain methods and variables related to building request bodies (like form or multip</t>
        </is>
      </c>
      <c r="E1609" t="n">
        <v>0.0035</v>
      </c>
      <c r="F1609" t="n">
        <v>0.0548</v>
      </c>
      <c r="G1609" t="n">
        <v>0.1119</v>
      </c>
      <c r="H1609" t="inlineStr">
        <is>
          <t>The provided code is a Java class named `RequestBuilder` that builds HTTP requests using the OkHttp library. The copyright notice at the top of this file states that it's licensed under Apache License 2.0.
The function add() in this class takes two parameters and returns their sum (which seems to be used for testing purposes). However, without seeing more context or knowing</t>
        </is>
      </c>
      <c r="I1609" t="n">
        <v>0.0029</v>
      </c>
      <c r="J1609" t="n">
        <v>0.0833</v>
      </c>
      <c r="K1609" t="n">
        <v>0.1493</v>
      </c>
      <c r="L1609" t="inlineStr">
        <is>
          <t>The provided code is a final class named `RequestBuilder` in the package `retrofit2` of an Android application. This class primarily builds HTTP requests for use with Retrofit library by Square, Inc. It's designed to create and configure these requests based on various parameters including URL, headers, form data, multipart body etc. The purpose of this class seems to be focused</t>
        </is>
      </c>
      <c r="M1609" t="n">
        <v>0.0036</v>
      </c>
      <c r="N1609" t="n">
        <v>0.058</v>
      </c>
      <c r="O1609" t="n">
        <v>0.1136</v>
      </c>
    </row>
    <row r="1610">
      <c r="A1610" t="inlineStr">
        <is>
          <t>retrofit</t>
        </is>
      </c>
      <c r="B1610" t="inlineStr">
        <is>
          <t>retrofit/src/main/java/retrofit2/CallAdapter.java</t>
        </is>
      </c>
      <c r="C1610">
        <f>HYPERLINK("https://github.com/square/retrofit/blob/master/retrofit/src/main/java/retrofit2/CallAdapter.java")</f>
        <v/>
      </c>
      <c r="D1610" t="inlineStr">
        <is>
          <t>The provided code is a Java implementation of an adapter factory for Retrofit 2. This code defines the interface and basic functionality of this factory which creates instances to adapt calls with response type R into types T. The license at the top indicates that it's licensed under Apache License Version 2.0. It also mentions some conditions about distribution and usage.
Please provide more details</t>
        </is>
      </c>
      <c r="E1610" t="n">
        <v>0.0037</v>
      </c>
      <c r="F1610" t="n">
        <v>0.08</v>
      </c>
      <c r="G1610" t="n">
        <v>0.146</v>
      </c>
      <c r="H1610" t="inlineStr">
        <is>
          <t>The provided code is a Java implementation of an add function that takes two numbers as input and returns their sum. The complexity of this operation is O(1), meaning it performs the addition in constant time regardless of the size of the inputs.
Here's the summary for the `add` method from your example:
```java
public int add(int a, int b){</t>
        </is>
      </c>
      <c r="I1610" t="n">
        <v>0.003</v>
      </c>
      <c r="J1610" t="n">
        <v>0.08450000000000001</v>
      </c>
      <c r="K1610" t="n">
        <v>0.1515</v>
      </c>
      <c r="L1610" t="inlineStr">
        <is>
          <t>ThegivenJava code is an implementation of a custom Retrofit call adapter factory that adapts the response type to match with the expected return type (`T`). The purpose of this class seems to be to handle HTTP responses and convert them into Java objects automatically using Retrofit library. 
It does so by creating instances through a `Factory` object which is installed in the</t>
        </is>
      </c>
      <c r="M1610" t="n">
        <v>0.0029</v>
      </c>
      <c r="N1610" t="n">
        <v>0.0571</v>
      </c>
      <c r="O1610" t="n">
        <v>0.1493</v>
      </c>
    </row>
    <row r="1611">
      <c r="A1611" t="inlineStr">
        <is>
          <t>retrofit</t>
        </is>
      </c>
      <c r="B1611" t="inlineStr">
        <is>
          <t>retrofit/src/main/java/retrofit2/package-info.java</t>
        </is>
      </c>
      <c r="C1611">
        <f>HYPERLINK("https://github.com/square/retrofit/blob/master/retrofit/src/main/java/retrofit2/package-info.java")</f>
        <v/>
      </c>
      <c r="D1611" t="inlineStr">
        <is>
          <t>ThegivenJava-basedcodeusesRetrofittoaccessdatafromagivenRESTfulAPItoconvertthisinformationintoprivateinterfaces.TheseinterfacesrepresentthemethodsrequiredtoreachouttothespecifiedURLs.
# The code is a Retrofit interface for accessing GitHub's REST API. 
# It defines one method list</t>
        </is>
      </c>
      <c r="E1611" t="n">
        <v>0</v>
      </c>
      <c r="F1611" t="n">
        <v>0</v>
      </c>
      <c r="G1611" t="n">
        <v>0</v>
      </c>
      <c r="H1611" t="inlineStr">
        <is>
          <t>ThegivenJava code is a Retrofit interface for making HTTP GET requests to the GitHub API endpoint "/users/{user}/repos". It expects a path parameter "{user}" and returns a list of Repo objects as response. The complexity is O(N), where N represents the number of repositories returned by the request.
Please provide a concise, clear,</t>
        </is>
      </c>
      <c r="I1611" t="n">
        <v>0.0035</v>
      </c>
      <c r="J1611" t="n">
        <v>0.0317</v>
      </c>
      <c r="K1611" t="n">
        <v>0.0403</v>
      </c>
      <c r="L1611" t="inlineStr">
        <is>
          <t>ThegivenJava code snippet is an interface named "GitHubService" that uses Retrofit to turn a REST API into a Java interface. The purpose of this service is to list the repositories associated with a specific user on GitHub. It does so by making a GET request to the "/users/{user}/repos" endpoint and returns a List of Repo objects</t>
        </is>
      </c>
      <c r="M1611" t="n">
        <v>0.0033</v>
      </c>
      <c r="N1611" t="n">
        <v>0.0606</v>
      </c>
      <c r="O1611" t="n">
        <v>0.1172</v>
      </c>
    </row>
    <row r="1612">
      <c r="A1612" t="inlineStr">
        <is>
          <t>retrofit</t>
        </is>
      </c>
      <c r="B1612" t="inlineStr">
        <is>
          <t>retrofit/src/main/java/retrofit2/OkHttpCall.java</t>
        </is>
      </c>
      <c r="C1612">
        <f>HYPERLINK("https://github.com/square/retrofit/blob/master/retrofit/src/main/java/retrofit2/OkHttpCall.java")</f>
        <v/>
      </c>
      <c r="D1612" t="inlineStr">
        <is>
          <t>The code you provided appears to be a license header for an Apache 2.0 licensed project using Retrofit and OkHttp libraries. It's not specific to any functionality or operation in the software but rather provides information about the licensing terms of use.
Please provide more context or specify what part of the code you would like me to summarize so I can assist you better</t>
        </is>
      </c>
      <c r="E1612" t="n">
        <v>0.0037</v>
      </c>
      <c r="F1612" t="n">
        <v>0.0267</v>
      </c>
      <c r="G1612" t="n">
        <v>0.1095</v>
      </c>
      <c r="H1612" t="inlineStr">
        <is>
          <t>The provided code is a Java implementation of the Retrofit 2 library for networking calls in Android applications. It contains several classes and methods that handle HTTP requests using OkHttp client and provides response handling functionalities. The copyright notice at the top indicates this software is licensed under Apache License Version 2.0.
It's important to note that while it does not repeat any code</t>
        </is>
      </c>
      <c r="I1612" t="n">
        <v>0.0034</v>
      </c>
      <c r="J1612" t="n">
        <v>0.0541</v>
      </c>
      <c r="K1612" t="n">
        <v>0.2735</v>
      </c>
      <c r="L1612" t="inlineStr">
        <is>
          <t>ThegivenJavaCodeusesRetrofit2librarytoundertakeHTTPrequeststomakesynchronouscallsonawebserver.ItfirstbuildsaRequestobjectusingmethodchainingstylewhereindividualparameterslikeurl,headersetcanbeset.Afterbuildingtherequest,itthenqueuesthisrequestintotheCallFactoryforexecution.
 The code also handles responses by wrapping the</t>
        </is>
      </c>
      <c r="M1612" t="n">
        <v>0</v>
      </c>
      <c r="N1612" t="n">
        <v>0</v>
      </c>
      <c r="O1612" t="n">
        <v>0</v>
      </c>
    </row>
    <row r="1613">
      <c r="A1613" t="inlineStr">
        <is>
          <t>retrofit</t>
        </is>
      </c>
      <c r="B1613" t="inlineStr">
        <is>
          <t>retrofit/src/main/java/retrofit2/BuiltInFactories.java</t>
        </is>
      </c>
      <c r="C1613">
        <f>HYPERLINK("https://github.com/square/retrofit/blob/master/retrofit/src/main/java/retrofit2/BuiltInFactories.java")</f>
        <v/>
      </c>
      <c r="D1613" t="inlineStr">
        <is>
          <t>The code provided is a Java class named "BuiltInFactories". This class contains the method `createDefaultCallAdapterFactories` which creates and returns a list of default Call Adapter Factories for Retrofit 2. The returned List consists of various types of call adapter factories that can be used to adapt different kinds of calls in Retrofit 2. It also includes</t>
        </is>
      </c>
      <c r="E1613" t="n">
        <v>0.0039</v>
      </c>
      <c r="F1613" t="n">
        <v>0.0625</v>
      </c>
      <c r="G1613" t="n">
        <v>0.1172</v>
      </c>
      <c r="H1613" t="inlineStr">
        <is>
          <t>The code you provided is a Java class named "BuiltInFactories". This class contains the method `createDefaultCallAdapterFactories` which creates and returns a list of default call adapter factories. The complexity of this function is O(n), where n represents the number of elements in the input list.
Here's a concise summary of its functionality:</t>
        </is>
      </c>
      <c r="I1613" t="n">
        <v>0.0042</v>
      </c>
      <c r="J1613" t="n">
        <v>0.0645</v>
      </c>
      <c r="K1613" t="n">
        <v>0.121</v>
      </c>
      <c r="L1613" t="inlineStr">
        <is>
          <t>The code provided is a Java class named "BuiltInFactories". This class contains two static methods that create default call adapter factories for Retrofit 2 library in Android development.
Method `createDefaultCallAdapterFactories` takes no arguments and returns a list of CallAdapter.Factory instances which are responsible for converting the response body from an HTTP request into usable objects</t>
        </is>
      </c>
      <c r="M1613" t="n">
        <v>0.004</v>
      </c>
      <c r="N1613" t="n">
        <v>0.0625</v>
      </c>
      <c r="O1613" t="n">
        <v>0.07870000000000001</v>
      </c>
    </row>
    <row r="1614">
      <c r="A1614" t="inlineStr">
        <is>
          <t>retrofit</t>
        </is>
      </c>
      <c r="B1614" t="inlineStr">
        <is>
          <t>retrofit/src/main/java/retrofit2/ParameterHandler.java</t>
        </is>
      </c>
      <c r="C1614">
        <f>HYPERLINK("https://github.com/square/retrofit/blob/master/retrofit/src/main/java/retrofit2/ParameterHandler.java")</f>
        <v/>
      </c>
      <c r="D1614" t="inlineStr">
        <is>
          <t>The code provided is a Java class that defines an abstract parameter handler for use with the Retrofit library in Android development. The purpose of this class seems to be to handle parameters during HTTP requests by applying them to RequestBuilders and possibly handling null values as well. It's licensed under Apache 2.0 License which means it can be used freely but any modifications must also remain open source</t>
        </is>
      </c>
      <c r="E1614" t="n">
        <v>0.0026</v>
      </c>
      <c r="F1614" t="n">
        <v>0.0506</v>
      </c>
      <c r="G1614" t="n">
        <v>0.1064</v>
      </c>
      <c r="H1614" t="inlineStr">
        <is>
          <t>The code you provided is a Java class named `Retrofit` that contains an abstract class called `ParameterHandler` with the method `apply()`. This function seems to handle parameters for HTTP requests using Retrofit library which helps in making API calls from Android applications. The complexity of this operation can be considered as O(n), where n represents the number of methods or parameters being handled</t>
        </is>
      </c>
      <c r="I1614" t="n">
        <v>0.0029</v>
      </c>
      <c r="J1614" t="n">
        <v>0.0556</v>
      </c>
      <c r="K1614" t="n">
        <v>0.0741</v>
      </c>
      <c r="L1614" t="inlineStr">
        <is>
          <t>The provided code is a Java class named `ParameterHandler` that extends an abstract class called `ParameterHandler` and uses generics for type parameter T. This class has one method `apply()` which takes two parameters - a RequestBuilder object and possibly null value of generic type T. The purpose of this class seems to be handling the application or applying some sort of transformation on these values before they</t>
        </is>
      </c>
      <c r="M1614" t="n">
        <v>0.0032</v>
      </c>
      <c r="N1614" t="n">
        <v>0.0541</v>
      </c>
      <c r="O1614" t="n">
        <v>0.1079</v>
      </c>
    </row>
    <row r="1615">
      <c r="A1615" t="inlineStr">
        <is>
          <t>retrofit</t>
        </is>
      </c>
      <c r="B1615" t="inlineStr">
        <is>
          <t>retrofit/src/main/java/retrofit2/Response.java</t>
        </is>
      </c>
      <c r="C1615">
        <f>HYPERLINK("https://github.com/square/retrofit/blob/master/retrofit/src/main/java/retrofit2/Response.java")</f>
        <v/>
      </c>
      <c r="D1615" t="inlineStr">
        <is>
          <t>The code provided is a Java class named "Response". This class represents an HTTP response and contains various properties such as the body of the response (which can be null), headers associated with the request that resulted in this response, protocol used for communication, etc. The class also has methods to create a synthetic successful response with specified deserialized body.
# You are not allowed to modify</t>
        </is>
      </c>
      <c r="E1615" t="n">
        <v>0.0032</v>
      </c>
      <c r="F1615" t="n">
        <v>0.0541</v>
      </c>
      <c r="G1615" t="n">
        <v>0.1079</v>
      </c>
      <c r="H1615" t="inlineStr">
        <is>
          <t>The function `add` takes two numbers as arguments and returns their sum. The time complexity of this operation is O(1), indicating that it performs a constant number of operations regardless of the size of the input.
```python
def add(a, b):
    return a + b
```
## License
Copyright (C) 2015 Square</t>
        </is>
      </c>
      <c r="I1615" t="n">
        <v>0.0036</v>
      </c>
      <c r="J1615" t="n">
        <v>0.06900000000000001</v>
      </c>
      <c r="K1615" t="n">
        <v>0.122</v>
      </c>
      <c r="L1615" t="inlineStr">
        <is>
          <t>The code provided is a Java class named `Response` within the package `retrofit2` of an HTTP client library called Retrofit 2. The purpose of this class seems to be to represent an HTTP response from a server. This includes information such as status codes, headers and body content which are all encapsulated in the instance variables.
Key operations include</t>
        </is>
      </c>
      <c r="M1615" t="n">
        <v>0.0037</v>
      </c>
      <c r="N1615" t="n">
        <v>0.0597</v>
      </c>
      <c r="O1615" t="n">
        <v>0.07630000000000001</v>
      </c>
    </row>
    <row r="1616">
      <c r="A1616" t="inlineStr">
        <is>
          <t>retrofit</t>
        </is>
      </c>
      <c r="B1616" t="inlineStr">
        <is>
          <t>retrofit/src/main/java/retrofit2/KotlinExtensions.kt</t>
        </is>
      </c>
      <c r="C1616">
        <f>HYPERLINK("https://github.com/square/retrofit/blob/master/retrofit/src/main/java/retrofit2/KotlinExtensions.kt")</f>
        <v/>
      </c>
      <c r="D1616" t="inlineStr">
        <is>
          <t>The code provided is a license header for Apache License 2.0 which outlines the terms and conditions of using this software under that license. It also includes some specific language governing permissions and limitations under the License. The file name "KotlinExtensions" indicates it contains Kotlin extensions or utility functions related to coroutines. This repository appears to contain backend components implementing core algorithms in</t>
        </is>
      </c>
      <c r="E1616" t="n">
        <v>0.0041</v>
      </c>
      <c r="F1616" t="n">
        <v>0.1111</v>
      </c>
      <c r="G1616" t="n">
        <v>0.3158</v>
      </c>
      <c r="H1616" t="inlineStr">
        <is>
          <t>The code provided is a Kotlin extension function for addition of two numbers named `add` that takes in two parameters (numbers), and returns their sum. The time complexity of this operation is O(1).
Please provide the summary of the following code snippet:
```
/**
 * Copyright 2019 Square, Inc.
 * Licensed under</t>
        </is>
      </c>
      <c r="I1616" t="n">
        <v>0.0035</v>
      </c>
      <c r="J1616" t="n">
        <v>0.0702</v>
      </c>
      <c r="K1616" t="n">
        <v>0.121</v>
      </c>
      <c r="L1616" t="inlineStr">
        <is>
          <t>The provided code file is a Kotlin extension for Retrofit 2 library and it's used to handle coroutines in the context of network calls. The main purpose of this code seems to be executing asynchronous HTTP requests using suspend functions which are cancellable. It uses Kotlin Coroutines for managing these tasks efficiently. This includes operations like cancellation, resumption with result</t>
        </is>
      </c>
      <c r="M1616" t="n">
        <v>0.0036</v>
      </c>
      <c r="N1616" t="n">
        <v>0.058</v>
      </c>
      <c r="O1616" t="n">
        <v>0.1136</v>
      </c>
    </row>
    <row r="1617">
      <c r="A1617" t="inlineStr">
        <is>
          <t>retrofit</t>
        </is>
      </c>
      <c r="B1617" t="inlineStr">
        <is>
          <t>retrofit/src/main/java/retrofit2/HttpServiceMethod.java</t>
        </is>
      </c>
      <c r="C1617">
        <f>HYPERLINK("https://github.com/square/retrofit/blob/master/retrofit/src/main/java/retrofit2/HttpServiceMethod.java")</f>
        <v/>
      </c>
      <c r="D1617" t="inlineStr">
        <is>
          <t>The code you provided is a Java class that uses Retrofit 2 to make HTTP requests and handle responses from an API endpoint. It contains several utility methods for handling various aspects of the request such as error checking or getting raw types. This class appears to be part of a larger project with other components related to backend software development. The complexity seems to be O(n), but without specific details</t>
        </is>
      </c>
      <c r="E1617" t="n">
        <v>0.0034</v>
      </c>
      <c r="F1617" t="n">
        <v>0.05</v>
      </c>
      <c r="G1617" t="n">
        <v>0.1399</v>
      </c>
      <c r="H1617" t="inlineStr">
        <is>
          <t>The code you provided is a Java implementation of the Retrofit library for making HTTP requests in Android applications. The function `add` appears to be part of this library and it's used to convert raw types into their corresponding boxed primitive classes or wrapper classes (if necessary). 
Here are some key points about this code:
- This method takes two parameters - an</t>
        </is>
      </c>
      <c r="I1617" t="n">
        <v>0.0034</v>
      </c>
      <c r="J1617" t="n">
        <v>0.0857</v>
      </c>
      <c r="K1617" t="n">
        <v>0.1481</v>
      </c>
      <c r="L1617" t="inlineStr">
        <is>
          <t>ThegivenJavaSourcecodefileincludesaRetrofit2library'sHTTPclientadaptationforconvertingresponsesintopojos.ItusesOkHttpâĢĻsresponsebodytostreamingbytearrayinputstreamandthenconvertsthatdataintoajavaobjectthroughGSONlibray. The code is designed to handle HTTP requests and responses with Retrofit 2 library in Java</t>
        </is>
      </c>
      <c r="M1617" t="n">
        <v>0.0115</v>
      </c>
      <c r="N1617" t="n">
        <v>0.07140000000000001</v>
      </c>
      <c r="O1617" t="n">
        <v>0.0562</v>
      </c>
    </row>
    <row r="1618">
      <c r="A1618" t="inlineStr">
        <is>
          <t>retrofit</t>
        </is>
      </c>
      <c r="B1618" t="inlineStr">
        <is>
          <t>retrofit/src/main/java/retrofit2/Retrofit.java</t>
        </is>
      </c>
      <c r="C1618">
        <f>HYPERLINK("https://github.com/square/retrofit/blob/master/retrofit/src/main/java/retrofit2/Retrofit.java")</f>
        <v/>
      </c>
      <c r="D1618" t="inlineStr">
        <is>
          <t>The code provided is a Java implementation of the Retrofit library for network communication. It includes Apache License 2.0 details and conditions under which it can be used or distributed. The license allows users to use this software in compliance with certain conditions such as not using any part of it except where explicitly stated by Square Inc., without requiring them to provide attribution back to Square.</t>
        </is>
      </c>
      <c r="E1618" t="n">
        <v>0.0032</v>
      </c>
      <c r="F1618" t="n">
        <v>0.0526</v>
      </c>
      <c r="G1618" t="n">
        <v>0.2676</v>
      </c>
      <c r="H1618" t="inlineStr">
        <is>
          <t>The provided code is a Java implementation of the Apache License 2.0. It includes comments explaining what each part does and how it's used in compliance with the license requirements. The complexity seems to be O(n), but without more context or specific details about its functionality, it can vary depending on the actual operations performed within the code.
Here are some key points from this</t>
        </is>
      </c>
      <c r="I1618" t="n">
        <v>0.0028</v>
      </c>
      <c r="J1618" t="n">
        <v>0.0526</v>
      </c>
      <c r="K1618" t="n">
        <v>0.146</v>
      </c>
      <c r="L1618" t="inlineStr">
        <is>
          <t>The provided code is a Java implementation of Retrofit 2 library which provides an abstraction layer over HTTP APIs for Android and Java applications. It's used to simplify the process of consuming RESTful web services by providing a higher level API than traditional HTTP clients such as HttpUrlConnection or OkHttp. The main purpose of this code seems to be creating instances of interfaces that represent remote</t>
        </is>
      </c>
      <c r="M1618" t="n">
        <v>0.0028</v>
      </c>
      <c r="N1618" t="n">
        <v>0.0533</v>
      </c>
      <c r="O1618" t="n">
        <v>0.1449</v>
      </c>
    </row>
    <row r="1619">
      <c r="A1619" t="inlineStr">
        <is>
          <t>retrofit</t>
        </is>
      </c>
      <c r="B1619" t="inlineStr">
        <is>
          <t>retrofit/src/main/java/retrofit2/CompletableFutureCallAdapterFactory.java</t>
        </is>
      </c>
      <c r="C1619">
        <f>HYPERLINK("https://github.com/square/retrofit/blob/master/retrofit/src/main/java/retrofit2/CompletableFutureCallAdapterFactory.java")</f>
        <v/>
      </c>
      <c r="D1619" t="inlineStr">
        <is>
          <t>The provided code is a license header for the Apache License 2.0 (http://www.apache.org/licenses/LICENSE-2.0). It specifies that any modifications to this file must be in compliance with the terms of the license before distribution or use. The copyright notice also mentions Square, Inc., which could indicate ownership and responsibility for the software component being developed.</t>
        </is>
      </c>
      <c r="E1619" t="n">
        <v>0.004</v>
      </c>
      <c r="F1619" t="n">
        <v>0.0571</v>
      </c>
      <c r="G1619" t="n">
        <v>0.119</v>
      </c>
      <c r="H1619" t="inlineStr">
        <is>
          <t>The code you provided is a Java implementation of an addition function using the Apache License 2.0 as per your request. It defines a method called add that takes two parameters and returns their sum. The complexity is O(1), meaning it performs constant time operations regardless of input size.
Please provide more specific details about what functionality or context you are referring to in order for me to</t>
        </is>
      </c>
      <c r="I1619" t="n">
        <v>0.0032</v>
      </c>
      <c r="J1619" t="n">
        <v>0.0769</v>
      </c>
      <c r="K1619" t="n">
        <v>0.1071</v>
      </c>
      <c r="L1619" t="inlineStr">
        <is>
          <t>The provided code is for a Retrofit 2 library in Java that provides asynchronous HTTP client functionality. It defines an interface and its implementation using CompletableFutures to handle the response from server calls. The purpose of this code seems to be to provide network requests with non-blocking behavior by returning a Future object which can be used to get the result when it's ready. This</t>
        </is>
      </c>
      <c r="M1619" t="n">
        <v>0.0033</v>
      </c>
      <c r="N1619" t="n">
        <v>0.0533</v>
      </c>
      <c r="O1619" t="n">
        <v>0.146</v>
      </c>
    </row>
    <row r="1620">
      <c r="A1620" t="inlineStr">
        <is>
          <t>retrofit</t>
        </is>
      </c>
      <c r="B1620" t="inlineStr">
        <is>
          <t>retrofit/src/main/java/retrofit2/Platform.java</t>
        </is>
      </c>
      <c r="C1620">
        <f>HYPERLINK("https://github.com/square/retrofit/blob/master/retrofit/src/main/java/retrofit2/Platform.java")</f>
        <v/>
      </c>
      <c r="D1620" t="inlineStr">
        <is>
          <t>The code you provided is a Java class named "Platform". This class contains static fields and methods related to the platform on which Retrofit 2 runs. The main purpose of this class seems to be managing various aspects such as callback executors, reflection utilities, built-in factories for creating instances of certain classes etc., based on different conditions like SDK version or java VM name.</t>
        </is>
      </c>
      <c r="E1620" t="n">
        <v>0.0034</v>
      </c>
      <c r="F1620" t="n">
        <v>0.0548</v>
      </c>
      <c r="G1620" t="n">
        <v>0.0735</v>
      </c>
      <c r="H1620" t="inlineStr">
        <is>
          <t>The code you provided is a Java class named "Platform". This class contains static fields and methods related to the platform on which it's running. It appears to be part of an Android application using Retrofit 2 for networking tasks. The class has three main components:
1. `callbackExecutor` - An Executor object used for executing callbacks in different threads.</t>
        </is>
      </c>
      <c r="I1620" t="n">
        <v>0.0037</v>
      </c>
      <c r="J1620" t="n">
        <v>0.0597</v>
      </c>
      <c r="K1620" t="n">
        <v>0.1145</v>
      </c>
      <c r="L1620" t="inlineStr">
        <is>
          <t>The provided code is a Java class named `Platform` in the Retrofit 2 library for Android development. The purpose of this class seems to be managing platform specific behaviors and configurations related to network requests using an HTTP client like OkHttp or HttpURLConnection.
Here's a concise summary based on analyzing the given source code file:
```plaintext
The</t>
        </is>
      </c>
      <c r="M1620" t="n">
        <v>0.0032</v>
      </c>
      <c r="N1620" t="n">
        <v>0.0606</v>
      </c>
      <c r="O1620" t="n">
        <v>0.1163</v>
      </c>
    </row>
    <row r="1621">
      <c r="A1621" t="inlineStr">
        <is>
          <t>retrofit</t>
        </is>
      </c>
      <c r="B1621" t="inlineStr">
        <is>
          <t>retrofit/src/main/java/retrofit2/SkipCallbackExecutorImpl.java</t>
        </is>
      </c>
      <c r="C1621">
        <f>HYPERLINK("https://github.com/square/retrofit/blob/master/retrofit/src/main/java/retrofit2/SkipCallbackExecutorImpl.java")</f>
        <v/>
      </c>
      <c r="D1621" t="inlineStr">
        <is>
          <t>The code provided is a Java class that conforms to the annotation requirements documented on Annotation. The final class SkipCallbackExecutorImpl implements SkipCallbackExecutor and has a private static final instance of itself named SKIP_CALLBACK_EXECUTOR_INSTANCE. There are also two methods in this class - ensurePresent() and getInstance(). The first method checks if an annotation is</t>
        </is>
      </c>
      <c r="E1621" t="n">
        <v>0.0041</v>
      </c>
      <c r="F1621" t="n">
        <v>0.0635</v>
      </c>
      <c r="G1621" t="n">
        <v>0.12</v>
      </c>
      <c r="H1621" t="inlineStr">
        <is>
          <t>The code you provided is a Java class that implements the `SkipCallbackExecutor` interface from Retrofit 2 library for handling callbacks in asynchronous operations. The license at the top of the file states that it's licensed under Apache License Version 2.0. This means that this software can be used freely and modified according to terms specified by the license.
Here are</t>
        </is>
      </c>
      <c r="I1621" t="n">
        <v>0.0043</v>
      </c>
      <c r="J1621" t="n">
        <v>0.0857</v>
      </c>
      <c r="K1621" t="n">
        <v>0.2818</v>
      </c>
      <c r="L1621" t="inlineStr">
        <is>
          <t>The code provided is a Java class named `SkipCallbackExecutorImpl` that implements the interface `SkipCallbackExecutor`. This class has one static final instance of itself called `SKIP_CALLBACK_EXECUTOR_INSTANCE` and it's used to ensure an annotation array contains a specific type of annotation (presence check).
If you provide more context or source</t>
        </is>
      </c>
      <c r="M1621" t="n">
        <v>0.005</v>
      </c>
      <c r="N1621" t="n">
        <v>0.0667</v>
      </c>
      <c r="O1621" t="n">
        <v>0.1667</v>
      </c>
    </row>
    <row r="1622">
      <c r="A1622" t="inlineStr">
        <is>
          <t>retrofit</t>
        </is>
      </c>
      <c r="B1622" t="inlineStr">
        <is>
          <t>retrofit/src/main/java/retrofit2/Converter.java</t>
        </is>
      </c>
      <c r="C1622">
        <f>HYPERLINK("https://github.com/square/retrofit/blob/master/retrofit/src/main/java/retrofit2/Converter.java")</f>
        <v/>
      </c>
      <c r="D1622" t="inlineStr">
        <is>
          <t>The code provided is a Java class that defines an HTTP client using Retrofit 2 library with OkHttp as the networking layer. It includes various annotation types for declaring request parameters such as @Body (for RequestBody), @Field (for form encoding), and others. The Apache License version 2.0 is also included in this file which specifies conditions of use.
It</t>
        </is>
      </c>
      <c r="E1622" t="n">
        <v>0.0031</v>
      </c>
      <c r="F1622" t="n">
        <v>0.0294</v>
      </c>
      <c r="G1622" t="n">
        <v>0.1145</v>
      </c>
      <c r="H1622" t="inlineStr">
        <is>
          <t>The provided code is a Java implementation of the Retrofit 2 library for making HTTP requests to an API endpoint. It contains several methods that are used to define and execute these requests. The copyright notice at the top indicates this software may be licensed under Apache License Version 2.0.
Here's a brief summary of its functionality:
- `@Retrofit</t>
        </is>
      </c>
      <c r="I1622" t="n">
        <v>0.0037</v>
      </c>
      <c r="J1622" t="n">
        <v>0.0882</v>
      </c>
      <c r="K1622" t="n">
        <v>0.284</v>
      </c>
      <c r="L1622" t="inlineStr">
        <is>
          <t>The code provided is for a Retrofit 2 library in Java that provides an interface to HTTP requests using the OkHttp networking library. It defines several annotation types used by methods of service interfaces (like @GET or @POST). The purpose seems to be to simplify network communication and provide type safety with respect to request parameters and responses.
The main operations are likely related to parsing</t>
        </is>
      </c>
      <c r="M1622" t="n">
        <v>0.0028</v>
      </c>
      <c r="N1622" t="n">
        <v>0.027</v>
      </c>
      <c r="O1622" t="n">
        <v>0.0725</v>
      </c>
    </row>
    <row r="1623">
      <c r="A1623" t="inlineStr">
        <is>
          <t>retrofit</t>
        </is>
      </c>
      <c r="B1623" t="inlineStr">
        <is>
          <t>retrofit/src/main/java/retrofit2/Reflection.java</t>
        </is>
      </c>
      <c r="C1623">
        <f>HYPERLINK("https://github.com/square/retrofit/blob/master/retrofit/src/main/java/retrofit2/Reflection.java")</f>
        <v/>
      </c>
      <c r="D1623" t="inlineStr">
        <is>
          <t>The code provided is a Java class named "Reflection". This class contains methods for checking if a method in the Reflect API of Java is a default method and invoking it as well. The Apache License 2.0 is applied to this repository which requires compliance with its terms before usage.
Please note that I am an expert software engineer and provide concise, clear, and</t>
        </is>
      </c>
      <c r="E1623" t="n">
        <v>0.0037</v>
      </c>
      <c r="F1623" t="n">
        <v>0.0822</v>
      </c>
      <c r="G1623" t="n">
        <v>0.1103</v>
      </c>
      <c r="H1623" t="inlineStr">
        <is>
          <t>The code you provided is a Java class named "Retrofit2", which contains the method `isDefaultMethod` and `invokeDefaultMethod` for reflection purposes in Android development. The complexity of these methods are O(n), where n represents the number of parameters of the method being inspected or invoked respectively. 
However, without more context about what exactly this code does</t>
        </is>
      </c>
      <c r="I1623" t="n">
        <v>0.0033</v>
      </c>
      <c r="J1623" t="n">
        <v>0.0312</v>
      </c>
      <c r="K1623" t="n">
        <v>0.07870000000000001</v>
      </c>
      <c r="L1623" t="inlineStr">
        <is>
          <t>The provided code is a Java class named "Reflection". This class contains several methods related to reflection in Java programming language. Reflection allows you to inspect and manipulate classes, interfaces, constructors, methods, and fields at runtime without knowing their names or the names of their parameters beforehand.
Here's an overview of its functionality: 
1. The method `</t>
        </is>
      </c>
      <c r="M1623" t="n">
        <v>0.0038</v>
      </c>
      <c r="N1623" t="n">
        <v>0.0615</v>
      </c>
      <c r="O1623" t="n">
        <v>0.0775</v>
      </c>
    </row>
    <row r="1624">
      <c r="A1624" t="inlineStr">
        <is>
          <t>retrofit</t>
        </is>
      </c>
      <c r="B1624" t="inlineStr">
        <is>
          <t>retrofit/src/main/java/retrofit2/BuiltInConverters.java</t>
        </is>
      </c>
      <c r="C1624">
        <f>HYPERLINK("https://github.com/square/retrofit/blob/master/retrofit/src/main/java/retrofit2/BuiltInConverters.java")</f>
        <v/>
      </c>
      <c r="D1624" t="inlineStr">
        <is>
          <t>The code you provided is a Java class named BuiltInConverters that extends the Converter.Factory class from Retrofit 2 library in Android development. This class provides built-in converters for handling responses and request bodies using OkHttp libraries. The Apache License applies to this code which requires compliance with its terms of use. However, without specific details about what it does or how</t>
        </is>
      </c>
      <c r="E1624" t="n">
        <v>0.0036</v>
      </c>
      <c r="F1624" t="n">
        <v>0.0563</v>
      </c>
      <c r="G1624" t="n">
        <v>0.1128</v>
      </c>
      <c r="H1624" t="inlineStr">
        <is>
          <t>The code provided is a Java class that extends the Retrofit converter factory for OkHttp. It overrides the response body converter to handle incoming responses from the server. The overridden method reads in an instance of ResponseBody and returns some generic type T (which can be null).
The Apache License 2.0 applies to this repository as it specifies conditions under which you may</t>
        </is>
      </c>
      <c r="I1624" t="n">
        <v>0.0029</v>
      </c>
      <c r="J1624" t="n">
        <v>0.0278</v>
      </c>
      <c r="K1624" t="n">
        <v>0.0741</v>
      </c>
      <c r="L1624" t="inlineStr">
        <is>
          <t>The provided code is a Java class named "BuiltInConverters", which extends the abstract class "Converter.Factory". This class implements custom converters for Retrofit 2 library to handle HTTP responses and request bodies in different formats such as JSON or XML.
It seems like this class has overridden two methods from its parent class - responseBodyConverter() and request</t>
        </is>
      </c>
      <c r="M1624" t="n">
        <v>0.0043</v>
      </c>
      <c r="N1624" t="n">
        <v>0.09379999999999999</v>
      </c>
      <c r="O1624" t="n">
        <v>0.1172</v>
      </c>
    </row>
    <row r="1625">
      <c r="A1625" t="inlineStr">
        <is>
          <t>retrofit</t>
        </is>
      </c>
      <c r="B1625" t="inlineStr">
        <is>
          <t>retrofit/src/main/java/retrofit2/Utils.java</t>
        </is>
      </c>
      <c r="C1625">
        <f>HYPERLINK("https://github.com/square/retrofit/blob/master/retrofit/src/main/java/retrofit2/Utils.java")</f>
        <v/>
      </c>
      <c r="D1625" t="inlineStr">
        <is>
          <t>The code provided is a Java class file for the Retrofit 2 library which provides an HTTP client to communicate with REST APIs. It includes Apache License version 2.0 details and conditions under which it can be used or distributed. The complexity of this code seems to be O(N), but without more context about its specific functionality, we cannot provide a precise estimation.</t>
        </is>
      </c>
      <c r="E1625" t="n">
        <v>0.0029</v>
      </c>
      <c r="F1625" t="n">
        <v>0.0548</v>
      </c>
      <c r="G1625" t="n">
        <v>0.1111</v>
      </c>
      <c r="H1625" t="inlineStr">
        <is>
          <t>The provided code is a Java function for adding two numbers (`add()`). The functionality of this code is to take in two parameters `a` and `b`, perform an addition operation on them, and return the result. This function operates with time complexity O(1), meaning it performs a fixed number of operations regardless of input size.
```plaintext
def add(</t>
        </is>
      </c>
      <c r="I1625" t="n">
        <v>0.0041</v>
      </c>
      <c r="J1625" t="n">
        <v>0.0597</v>
      </c>
      <c r="K1625" t="n">
        <v>0.1154</v>
      </c>
      <c r="L1625" t="inlineStr">
        <is>
          <t>The code provided is a part of the Retrofit library for Android which provides an abstraction layer over HTTP client libraries (like OkHttp). It uses Java reflection to inspect and handle annotated methods on interfaces or abstract classes that are used as declarative API specification. The main purpose of this code seems to be defining how to parse method parameters into request bodies, query parameter strings, headers, etc</t>
        </is>
      </c>
      <c r="M1625" t="n">
        <v>0.0027</v>
      </c>
      <c r="N1625" t="n">
        <v>0.0263</v>
      </c>
      <c r="O1625" t="n">
        <v>0.1071</v>
      </c>
    </row>
    <row r="1626">
      <c r="A1626" t="inlineStr">
        <is>
          <t>retrofit</t>
        </is>
      </c>
      <c r="B1626" t="inlineStr">
        <is>
          <t>retrofit/src/main/java/retrofit2/SkipCallbackExecutor.java</t>
        </is>
      </c>
      <c r="C1626">
        <f>HYPERLINK("https://github.com/square/retrofit/blob/master/retrofit/src/main/java/retrofit2/SkipCallbackExecutor.java")</f>
        <v/>
      </c>
      <c r="D1626" t="inlineStr">
        <is>
          <t>The code provided is a custom annotation named `@GET` which is used to define HTTP GET requests in Retrofit 2 library for Android development. It's annotated with the necessary metadata about its usage and behavior at runtime. The purpose of this annotation is to change the behavior of a method that returns an instance of Call class where BodyType represents the type of response body expected from server</t>
        </is>
      </c>
      <c r="E1626" t="n">
        <v>0.0027</v>
      </c>
      <c r="F1626" t="n">
        <v>0.026</v>
      </c>
      <c r="G1626" t="n">
        <v>0.1071</v>
      </c>
      <c r="H1626" t="inlineStr">
        <is>
          <t>The provided code is a Java annotation for Retrofit 2 library's HTTP request method which changes the behavior of a Call object to not use @ReadMe: This repository contains backend software components. Complexity: O(n). Comments: Implementation of core algorithms. Commits: Initial code base commit. Code size: 1000 Summary: The code defines an annotation</t>
        </is>
      </c>
      <c r="I1626" t="n">
        <v>0.0045</v>
      </c>
      <c r="J1626" t="n">
        <v>0.127</v>
      </c>
      <c r="K1626" t="n">
        <v>0.2</v>
      </c>
      <c r="L1626" t="inlineStr">
        <is>
          <t>The provided code is a Java annotation named "POST". This annotation has been designed to be used with methods that return retrofit 2 Call objects and have the body type annotated as BodyType. The purpose of this annotation is to change the behavior of these methods so they do not include summary in their response. It does this by modifying the generic parameters of the Call object's return type</t>
        </is>
      </c>
      <c r="M1626" t="n">
        <v>0.0031</v>
      </c>
      <c r="N1626" t="n">
        <v>0.0513</v>
      </c>
      <c r="O1626" t="n">
        <v>0.1064</v>
      </c>
    </row>
    <row r="1627">
      <c r="A1627" t="inlineStr">
        <is>
          <t>retrofit</t>
        </is>
      </c>
      <c r="B1627" t="inlineStr">
        <is>
          <t>retrofit/src/main/java/retrofit2/Invocation.java</t>
        </is>
      </c>
      <c r="C1627">
        <f>HYPERLINK("https://github.com/square/retrofit/blob/master/retrofit/src/main/java/retrofit2/Invocation.java")</f>
        <v/>
      </c>
      <c r="D1627" t="inlineStr">
        <is>
          <t>The code provided is a Java class named `SingleInvocation` that captures both the method and arguments to be called in Retrofit service interface methods. It's used for capturing single invocation of a Retrofit service interface method. The implementation seems straightforward with no complex algorithms involved. This repository contains backend software components which can include any number of services or repositories depending on the application</t>
        </is>
      </c>
      <c r="E1627" t="n">
        <v>0.0037</v>
      </c>
      <c r="F1627" t="n">
        <v>0.0548</v>
      </c>
      <c r="G1627" t="n">
        <v>0.1838</v>
      </c>
      <c r="H1627" t="inlineStr">
        <is>
          <t>The provided code is a Java class named "Invocation". This class captures both the method that was called and its arguments for Retrofit, which is an HTTP client used to access REST APIs in Android applications. The copyright information at the top of this file also mentions Apache License 2.0.
It appears you are looking for a summary of the functionality of the add</t>
        </is>
      </c>
      <c r="I1627" t="n">
        <v>0.0037</v>
      </c>
      <c r="J1627" t="n">
        <v>0.0548</v>
      </c>
      <c r="K1627" t="n">
        <v>0.1103</v>
      </c>
      <c r="L1627" t="inlineStr">
        <is>
          <t>The provided code is a Java class named "SingleInvocation". This class serves as an invoker for Retrofit service interface methods and captures both the method that was called and its arguments. The purpose of this class seems to be logging or tracking requests made through Retrofit services in order to provide more insight into application behavior.
Here's what it does:
It</t>
        </is>
      </c>
      <c r="M1627" t="n">
        <v>0.0036</v>
      </c>
      <c r="N1627" t="n">
        <v>0.0571</v>
      </c>
      <c r="O1627" t="n">
        <v>0.0752</v>
      </c>
    </row>
    <row r="1628">
      <c r="A1628" t="inlineStr">
        <is>
          <t>retrofit</t>
        </is>
      </c>
      <c r="B1628" t="inlineStr">
        <is>
          <t>retrofit/src/main/java/retrofit2/AndroidMainExecutor.java</t>
        </is>
      </c>
      <c r="C1628">
        <f>HYPERLINK("https://github.com/square/retrofit/blob/master/retrofit/src/main/java/retrofit2/AndroidMainExecutor.java")</f>
        <v/>
      </c>
      <c r="D1628" t="inlineStr">
        <is>
          <t>The code provided is a simple implementation of the Executor interface in Java for Android using Handler and Looper classes from android.os package to run tasks on the main thread (UI Thread). The copyright notice at the top indicates that this software is licensed under Apache License 2.0. It's designed as an extension or wrapper around core algorithms used by other components within Square Inc., possibly</t>
        </is>
      </c>
      <c r="E1628" t="n">
        <v>0.0036</v>
      </c>
      <c r="F1628" t="n">
        <v>0.0779</v>
      </c>
      <c r="G1628" t="n">
        <v>0.309</v>
      </c>
      <c r="H1628" t="inlineStr">
        <is>
          <t>The provided code is a simple implementation of an Executor that runs tasks on the main thread in Android using Handler and Looper classes from android.os package. It implements the execute method which takes a Runnable as input and posts it to be run on the Main Thread's message queue. The complexity of this operation is O(1), meaning it has constant time complexity since posting a</t>
        </is>
      </c>
      <c r="I1628" t="n">
        <v>0.0033</v>
      </c>
      <c r="J1628" t="n">
        <v>0.0519</v>
      </c>
      <c r="K1628" t="n">
        <v>0.1449</v>
      </c>
      <c r="L1628" t="inlineStr">
        <is>
          <t>The provided code is an implementation of the Executor interface in Java for Android. It creates a new thread that runs on the main application thread (UI Thread). The purpose of this class is to execute tasks or commands after they are submitted from other threads and ensure these operations run on the UI thread without blocking it. This helps maintain consistency with how user interactions should be handled within an Android app. Code</t>
        </is>
      </c>
      <c r="M1628" t="n">
        <v>0.0029</v>
      </c>
      <c r="N1628" t="n">
        <v>0.0488</v>
      </c>
      <c r="O1628" t="n">
        <v>0.137</v>
      </c>
    </row>
    <row r="1629">
      <c r="A1629" t="inlineStr">
        <is>
          <t>retrofit</t>
        </is>
      </c>
      <c r="B1629" t="inlineStr">
        <is>
          <t>retrofit/src/main/java/retrofit2/RequestFactory.java</t>
        </is>
      </c>
      <c r="C1629">
        <f>HYPERLINK("https://github.com/square/retrofit/blob/master/retrofit/src/main/java/retrofit2/RequestFactory.java")</f>
        <v/>
      </c>
      <c r="D1629" t="inlineStr">
        <is>
          <t>The provided code appears to be a Java implementation of Retrofit 2 library for making HTTP requests from Android applications. It is licensed under the Apache License Version 2.0 and contains various utilities related to error handling and method reflection in order to facilitate communication with web services or APIs. The license allows anyone to use this software except where prohibited by law.
Please provide</t>
        </is>
      </c>
      <c r="E1629" t="n">
        <v>0.0033</v>
      </c>
      <c r="F1629" t="n">
        <v>0.0541</v>
      </c>
      <c r="G1629" t="n">
        <v>0.2715</v>
      </c>
      <c r="H1629" t="inlineStr">
        <is>
          <t>The provided code is a Java package named retrofit2 that contains backend software components for handling HTTP requests and responses using the Retrofit library. The copyright information at the top of this file states it's licensed under Apache License 2.0 which means you can use this in any project but must comply with its terms.
It appears to be implementing core algorithms related to networking (</t>
        </is>
      </c>
      <c r="I1629" t="n">
        <v>0.0036</v>
      </c>
      <c r="J1629" t="n">
        <v>0.08</v>
      </c>
      <c r="K1629" t="n">
        <v>0.309</v>
      </c>
      <c r="L1629" t="inlineStr">
        <is>
          <t>The provided code is a part of the Retrofit 2 library in Java. It's responsible for making HTTP requests to REST endpoints and handling responses from those requests. The main purpose of this code seems to be creating an instance of the `CallAdapter` interface that converts raw network API calls into Observables or Call objects which can then be executed by calling their execute method.</t>
        </is>
      </c>
      <c r="M1629" t="n">
        <v>0.0028</v>
      </c>
      <c r="N1629" t="n">
        <v>0.027</v>
      </c>
      <c r="O1629" t="n">
        <v>0.1095</v>
      </c>
    </row>
    <row r="1630">
      <c r="A1630" t="inlineStr">
        <is>
          <t>retrofit</t>
        </is>
      </c>
      <c r="B1630" t="inlineStr">
        <is>
          <t>retrofit/src/main/java/retrofit2/ServiceMethod.java</t>
        </is>
      </c>
      <c r="C1630">
        <f>HYPERLINK("https://github.com/square/retrofit/blob/master/retrofit/src/main/java/retrofit2/ServiceMethod.java")</f>
        <v/>
      </c>
      <c r="D1630" t="inlineStr">
        <is>
          <t>The code provided is a Java class named `ServiceMethod` which is part of the Retrofit library for making HTTP requests in Android applications. It's designed to parse annotations from a method and create a request factory based on those annotations. The parsed information is used by Retrofit to generate network calls when needed. This class uses generics so it can work with any type T</t>
        </is>
      </c>
      <c r="E1630" t="n">
        <v>0.0033</v>
      </c>
      <c r="F1630" t="n">
        <v>0.027</v>
      </c>
      <c r="G1630" t="n">
        <v>0.1095</v>
      </c>
      <c r="H1630" t="inlineStr">
        <is>
          <t>The provided code is a Java class named ServiceMethod that represents a service method in Retrofit 2 framework for network communication. It's annotated with Apache License version 2.0 which means it can be freely used and modified by anyone under the terms of this license. The complexity of parsing annotations from a given retrofit instance, service class and method is O(n).</t>
        </is>
      </c>
      <c r="I1630" t="n">
        <v>0.003</v>
      </c>
      <c r="J1630" t="n">
        <v>0.0556</v>
      </c>
      <c r="K1630" t="n">
        <v>0.1128</v>
      </c>
      <c r="L1630" t="inlineStr">
        <is>
          <t>The provided code is a Java class named `ServiceMethod` that belongs to the Retrofit library for making HTTP requests in Android applications. This class represents an individual method of communication with a remote server defined by an interface annotated with @GET or @POST etc. 
It analyzes and parses various annotations associated with the service methods (like headers, path parameters, query</t>
        </is>
      </c>
      <c r="M1630" t="n">
        <v>0.0036</v>
      </c>
      <c r="N1630" t="n">
        <v>0.0588</v>
      </c>
      <c r="O1630" t="n">
        <v>0.07580000000000001</v>
      </c>
    </row>
    <row r="1631">
      <c r="A1631" t="inlineStr">
        <is>
          <t>retrofit</t>
        </is>
      </c>
      <c r="B1631" t="inlineStr">
        <is>
          <t>retrofit/src/main/java/retrofit2/DefaultCallAdapterFactory.java</t>
        </is>
      </c>
      <c r="C1631">
        <f>HYPERLINK("https://github.com/square/retrofit/blob/master/retrofit/src/main/java/retrofit2/DefaultCallAdapterFactory.java")</f>
        <v/>
      </c>
      <c r="D1631" t="inlineStr">
        <is>
          <t>The code provided is a custom Call Adapter Factory for Retrofit 2 library in Java. It extends the `CallAdapter.Factory` class and provides an implementation of how to adapt calls from OkHttp into Retrofit's own call objects. The factory uses Apache License version 2.0 which means it can be used freely under certain conditions as specified by the license.</t>
        </is>
      </c>
      <c r="E1631" t="n">
        <v>0.0031</v>
      </c>
      <c r="F1631" t="n">
        <v>0.029</v>
      </c>
      <c r="G1631" t="n">
        <v>0.1154</v>
      </c>
      <c r="H1631" t="inlineStr">
        <is>
          <t>The code you provided is for a class named `DefaultCallAdapterFactory` that extends the abstract base class `CallAdapter.Factory` from Retrofit 2 library in Java. This class provides an implementation of how to adapt responses into Call objects which are used by retrofit's API calls. The license at the top indicates it is licensed under Apache License Version 2.0 (see</t>
        </is>
      </c>
      <c r="I1631" t="n">
        <v>0.0031</v>
      </c>
      <c r="J1631" t="n">
        <v>0.058</v>
      </c>
      <c r="K1631" t="n">
        <v>0.1154</v>
      </c>
      <c r="L1631" t="inlineStr">
        <is>
          <t>The code you provided is a Java class named `DefaultCallAdapterFactory` which extends the abstract base class `CallAdapter.Factory` from Retrofit 2 library for OkHttp client in Android development. This factory provides default call adapters that convert API responses into Java objects or primitive types.
It has three main methods and one private field:
1. **create()</t>
        </is>
      </c>
      <c r="M1631" t="n">
        <v>0.004</v>
      </c>
      <c r="N1631" t="n">
        <v>0.0635</v>
      </c>
      <c r="O1631" t="n">
        <v>0.0794</v>
      </c>
    </row>
    <row r="1632">
      <c r="A1632" t="inlineStr">
        <is>
          <t>retrofit</t>
        </is>
      </c>
      <c r="B1632" t="inlineStr">
        <is>
          <t>retrofit/src/main/java/retrofit2/DefaultMethodSupport.java</t>
        </is>
      </c>
      <c r="C1632">
        <f>HYPERLINK("https://github.com/square/retrofit/blob/master/retrofit/src/main/java/retrofit2/DefaultMethodSupport.java")</f>
        <v/>
      </c>
      <c r="D1632" t="inlineStr">
        <is>
          <t>```plaintext
The code is a Java class that provides functionality for invoking default methods on proxied interfaces using reflection. It's licensed under the Apache License 2.0 and has been modified to support Java 8 through Java 13. The license details are provided at http://www.apache.org/licenses/LICENSE-2.0.</t>
        </is>
      </c>
      <c r="E1632" t="n">
        <v>0.005</v>
      </c>
      <c r="F1632" t="n">
        <v>0.06560000000000001</v>
      </c>
      <c r="G1632" t="n">
        <v>0.0862</v>
      </c>
      <c r="H1632" t="inlineStr">
        <is>
          <t>The provided code is a Java program that uses reflection to invoke a default method on an interface proxied by Retrofit 2 library. The function `createTrust` creates a trusted lookup using the given class and methods. This allows invocation of the default method even if it's not accessible from outside the package due to access modifiers like private or protected. However, this approach</t>
        </is>
      </c>
      <c r="I1632" t="n">
        <v>0.0034</v>
      </c>
      <c r="J1632" t="n">
        <v>0.0556</v>
      </c>
      <c r="K1632" t="n">
        <v>0.1111</v>
      </c>
      <c r="L1632" t="inlineStr">
        <is>
          <t>The given code is a Java class that uses reflection to invoke default methods on proxied interfaces. The purpose of this class seems to be the invocation of trusted methods (default methods in an interface). 
It starts by creating a `Lookup` object using `MethodHandles.Lookup.lookup()` method and then it proceeds to use this lookup object to reflect</t>
        </is>
      </c>
      <c r="M1632" t="n">
        <v>0.0033</v>
      </c>
      <c r="N1632" t="n">
        <v>0.0606</v>
      </c>
      <c r="O1632" t="n">
        <v>0.1172</v>
      </c>
    </row>
    <row r="1633">
      <c r="A1633" t="inlineStr">
        <is>
          <t>retrofit</t>
        </is>
      </c>
      <c r="B1633" t="inlineStr">
        <is>
          <t>retrofit/src/main/java/retrofit2/Callback.java</t>
        </is>
      </c>
      <c r="C1633">
        <f>HYPERLINK("https://github.com/square/retrofit/blob/master/retrofit/src/main/java/retrofit2/Callback.java")</f>
        <v/>
      </c>
      <c r="D1633" t="inlineStr">
        <is>
          <t>The code provided is a Java class for handling server responses using Retrofit library in Android development environment. It provides callback methods to be executed on the UI thread when none specified and uses default executors from Retrofit. The complexity of this implementation is O(N), where N represents number of requests made by user or application. This repository contains backend software components that are implemented with core algorithms.</t>
        </is>
      </c>
      <c r="E1633" t="n">
        <v>0.0038</v>
      </c>
      <c r="F1633" t="n">
        <v>0.1039</v>
      </c>
      <c r="G1633" t="n">
        <v>0.2143</v>
      </c>
      <c r="H1633" t="inlineStr">
        <is>
          <t>The provided code is a Java implementation of the add function for two numbers using Apache License 2.0 as its license agreement. This function adds two integers and returns their sum. Its time complexity is O(1), meaning it performs a constant number of operations regardless of input size. The copyright notice at the top indicates that this software may be used under certain conditions specified in the license.</t>
        </is>
      </c>
      <c r="I1633" t="n">
        <v>0.0035</v>
      </c>
      <c r="J1633" t="n">
        <v>0.0769</v>
      </c>
      <c r="K1633" t="n">
        <v>0.2657</v>
      </c>
      <c r="L1633" t="inlineStr">
        <is>
          <t>The given code is a part of Retrofit 2 library in Java language and it provides an interface for network requests using the HTTP protocol. The main purpose of this code seems to be communication with server responses or offline requests. Only one method will be invoked based on a given request. Callback methods are executed using the {@link Retrofit} callback executor which by default runs them</t>
        </is>
      </c>
      <c r="M1633" t="n">
        <v>0.0027</v>
      </c>
      <c r="N1633" t="n">
        <v>0.0267</v>
      </c>
      <c r="O1633" t="n">
        <v>0.1079</v>
      </c>
    </row>
    <row r="1634">
      <c r="A1634" t="inlineStr">
        <is>
          <t>retrofit</t>
        </is>
      </c>
      <c r="B1634" t="inlineStr">
        <is>
          <t>retrofit/src/main/java/retrofit2/http/Tag.java</t>
        </is>
      </c>
      <c r="C1634">
        <f>HYPERLINK("https://github.com/square/retrofit/blob/master/retrofit/src/main/java/retrofit2/http/Tag.java")</f>
        <v/>
      </c>
      <c r="D1634" t="inlineStr">
        <is>
          <t>ThecodeusesRetrofitlibrarytogetadatafromaURLviaHTTPgetrequestmethod.Itaddsqueryparametersintotheurlthroughannotationsystematically. The parameters are added as a request tag using the type as key and value is obtained from annotated parameter in code. It does not repeat any code but provides concise clear direct summary of functionality. This repository contains backend software components</t>
        </is>
      </c>
      <c r="E1634" t="n">
        <v>0.0056</v>
      </c>
      <c r="F1634" t="n">
        <v>0.0769</v>
      </c>
      <c r="G1634" t="n">
        <v>0.1739</v>
      </c>
      <c r="H1634" t="inlineStr">
        <is>
          <t>None
```python
# Copyright (C) 2019 Square, Inc.
# Licensed under the Apache License, Version 2.0 (the "License");
# you may not use this file except in compliance with the License.
# You may obtain a copy of the License at
# http://www.apache.org/licenses/LIC</t>
        </is>
      </c>
      <c r="I1634" t="n">
        <v>0</v>
      </c>
      <c r="J1634" t="n">
        <v>0.0385</v>
      </c>
      <c r="K1634" t="n">
        <v>0.08699999999999999</v>
      </c>
      <c r="L1634" t="inlineStr">
        <is>
          <t>ThegivenJavaSourceFilecontainsaHTTPGetrequestannotationfromtheRetrofitlibrary.ItusesURLPath"/".Asarequestpathforthiscall.ThemethodreturnsACallobjectwhichcanbefurtherconfiguredbeforebeingexecuted.
```java
@Documented
@Target(PARAMETTER)
@Retention(RUNTIME)
public @interface</t>
        </is>
      </c>
      <c r="M1634" t="n">
        <v>0</v>
      </c>
      <c r="N1634" t="n">
        <v>0</v>
      </c>
      <c r="O1634" t="n">
        <v>0</v>
      </c>
    </row>
    <row r="1635">
      <c r="A1635" t="inlineStr">
        <is>
          <t>retrofit</t>
        </is>
      </c>
      <c r="B1635" t="inlineStr">
        <is>
          <t>retrofit/src/main/java/retrofit2/http/Header.java</t>
        </is>
      </c>
      <c r="C1635">
        <f>HYPERLINK("https://github.com/square/retrofit/blob/master/retrofit/src/main/java/retrofit2/http/Header.java")</f>
        <v/>
      </c>
      <c r="D1635" t="inlineStr">
        <is>
          <t>The code is a Retrofit 2 annotation for HTTP GET requests. It specifies the path of the request URL and defines headers to be sent with the request. The @Header annotation can take two parameters - name (which represents header's key), and value (representing its corresponding value). In this case, it sets "Accept" as the key and README as the value in the</t>
        </is>
      </c>
      <c r="E1635" t="n">
        <v>0.0029</v>
      </c>
      <c r="F1635" t="n">
        <v>0.0563</v>
      </c>
      <c r="G1635" t="n">
        <v>0.0741</v>
      </c>
      <c r="H1635" t="inlineStr">
        <is>
          <t>Theresponsefromtheservercontainingtheresultsofcomputation.
```python
# Copyright (C) 2019 Square, Inc.
# Licensed under the Apache License, Version 2.0 (the "License");
# you may not use this file except in compliance with the License.
# You may obtain a copy of the License at</t>
        </is>
      </c>
      <c r="I1635" t="n">
        <v>0</v>
      </c>
      <c r="J1635" t="n">
        <v>0.0435</v>
      </c>
      <c r="K1635" t="n">
        <v>0.0885</v>
      </c>
      <c r="L1635" t="inlineStr">
        <is>
          <t>Theresponsebodyfromtherequest.")String accept);&lt;/code&gt;&lt;/pre&gt;***//End of header****@QueryMapMap&amp;lt;?extendsSerializable&amp;gt;queryMap)*Call&amp;lt;ResponseBody&amp;gt;bar(queryMap));&lt;/code&gt;&lt;/pre&gt;*/
# Code Summary 
The provided code is an HTTP client library</t>
        </is>
      </c>
      <c r="M1635" t="n">
        <v>0</v>
      </c>
      <c r="N1635" t="n">
        <v>0</v>
      </c>
      <c r="O1635" t="n">
        <v>0</v>
      </c>
    </row>
    <row r="1636">
      <c r="A1636" t="inlineStr">
        <is>
          <t>retrofit</t>
        </is>
      </c>
      <c r="B1636" t="inlineStr">
        <is>
          <t>retrofit/src/main/java/retrofit2/http/FormUrlEncoded.java</t>
        </is>
      </c>
      <c r="C1636">
        <f>HYPERLINK("https://github.com/square/retrofit/blob/master/retrofit/src/main/java/retrofit2/http/FormUrlEncoded.java")</f>
        <v/>
      </c>
      <c r="D1636" t="inlineStr">
        <is>
          <t>The code provided is a Java annotation that is used to denote the request body will use form URL encoding for HTTP requests in Retrofit 2 library. The fields should be declared as parameters and annotated with @FormUrlEncoded. It's part of Square's (now known as Retrofit) framework for type-safe REST communication. This annotation has been designed to ensure proper</t>
        </is>
      </c>
      <c r="E1636" t="n">
        <v>0.0037</v>
      </c>
      <c r="F1636" t="n">
        <v>0.0286</v>
      </c>
      <c r="G1636" t="n">
        <v>0.1145</v>
      </c>
      <c r="H1636" t="inlineStr">
        <is>
          <t>The provided code is a function for addition of two numbers in Python. It takes two parameters 'a' and 'b', adds them together and returns the result. The time complexity of this operation is O(1), meaning it performs constant amount of work regardless of input size.
The copyright notice at the top indicates that this software is licensed under Apache License 2.0. This</t>
        </is>
      </c>
      <c r="I1636" t="n">
        <v>0.0038</v>
      </c>
      <c r="J1636" t="n">
        <v>0.0548</v>
      </c>
      <c r="K1636" t="n">
        <v>0.1481</v>
      </c>
      <c r="L1636" t="inlineStr">
        <is>
          <t>The provided code appears to be a Retrofit 2 annotation for HTTP POST requests where the request body will use form URL encoding. The fields should be declared as parameters and annotated with @FormUrlEncoded. This is useful when you want to send complex data structures in your POST requests without having to encode them manually. It helps improve readability of the API client by clearly defining that this method</t>
        </is>
      </c>
      <c r="M1636" t="n">
        <v>0.0031</v>
      </c>
      <c r="N1636" t="n">
        <v>0.026</v>
      </c>
      <c r="O1636" t="n">
        <v>0.1064</v>
      </c>
    </row>
    <row r="1637">
      <c r="A1637" t="inlineStr">
        <is>
          <t>retrofit</t>
        </is>
      </c>
      <c r="B1637" t="inlineStr">
        <is>
          <t>retrofit/src/main/java/retrofit2/http/Field.java</t>
        </is>
      </c>
      <c r="C1637">
        <f>HYPERLINK("https://github.com/square/retrofit/blob/master/retrofit/src/main/java/retrofit2/http/Field.java")</f>
        <v/>
      </c>
      <c r="D1637" t="inlineStr">
        <is>
          <t>The code provided is a custom annotation for Retrofit 2 framework in Java programming language. This annotation can be used to specify that the annotated parameter should be form encoded when making HTTP requests with Retrofit. The details of this annotation are as follows:
- It's named `@Field` and it belongs to package retrofit2.http.
- Its target</t>
        </is>
      </c>
      <c r="E1637" t="n">
        <v>0.0038</v>
      </c>
      <c r="F1637" t="n">
        <v>0.0615</v>
      </c>
      <c r="G1637" t="n">
        <v>0.1163</v>
      </c>
      <c r="H1637" t="inlineStr">
        <is>
          <t>The provided code is a simple addition function in Python named `add` that takes two parameters and returns their sum. The complexity of this operation is O(1), meaning it always executes the same number of steps regardless of input size. This function follows Apache License 2.0 which allows you to use it for any purpose as long as compliance with the license terms are maintained.</t>
        </is>
      </c>
      <c r="I1637" t="n">
        <v>0.0033</v>
      </c>
      <c r="J1637" t="n">
        <v>0.0533</v>
      </c>
      <c r="K1637" t="n">
        <v>0.1095</v>
      </c>
      <c r="L1637" t="inlineStr">
        <is>
          <t>ThegivensourcecodeappearstoimplmentaRESTfulAPIusingRetrofitlibraryintheAndroidenvironment.ItdefinesaPOSTrequestmethodnamed'uploadImage'.ThemethodacceptsparametersincludingimagepathandimagenamewhichwillbesenttoserverviaHTTP POST request. The code is licensed under Apache 2.0 and includes comments to explain the functionality of core algorithms</t>
        </is>
      </c>
      <c r="M1637" t="n">
        <v>0.0127</v>
      </c>
      <c r="N1637" t="n">
        <v>0.0625</v>
      </c>
      <c r="O1637" t="n">
        <v>0.163</v>
      </c>
    </row>
    <row r="1638">
      <c r="A1638" t="inlineStr">
        <is>
          <t>retrofit</t>
        </is>
      </c>
      <c r="B1638" t="inlineStr">
        <is>
          <t>retrofit/src/main/java/retrofit2/http/package-info.java</t>
        </is>
      </c>
      <c r="C1638">
        <f>HYPERLINK("https://github.com/square/retrofit/blob/master/retrofit/src/main/java/retrofit2/http/package-info.java")</f>
        <v/>
      </c>
      <c r="D1638" t="inlineStr">
        <is>
          <t>The code provided is an annotation interface for Retrofit 2 library in Java that controls the behavior of HTTP requests. It provides a way to define custom request methods and their associated URL paths. The complexity appears to be O(n), but without specific details about n it's hard to say exactly what this means.
```java
@Documented
@Target(ElementType</t>
        </is>
      </c>
      <c r="E1638" t="n">
        <v>0.0032</v>
      </c>
      <c r="F1638" t="n">
        <v>0.0294</v>
      </c>
      <c r="G1638" t="n">
        <v>0.0775</v>
      </c>
      <c r="H1638" t="inlineStr">
        <is>
          <t>ThegivencodeisusedtodefineaninterfacemethodintheRetrofitlibrary,whichusesanHTTPGETrequesttocollectdatafromaserver.Itdoesnotcontainanyimplementationsbutonlydeclareswhatkindsofhttprequestsareallowed. The complexity of this operation is O(n), where n represents the number of elements to be collected from a server.</t>
        </is>
      </c>
      <c r="I1638" t="n">
        <v>0</v>
      </c>
      <c r="J1638" t="n">
        <v>0.0625</v>
      </c>
      <c r="K1638" t="n">
        <v>0.0538</v>
      </c>
      <c r="L1638" t="inlineStr">
        <is>
          <t>The provided code is a part of the Retrofit library for Android which uses annotations to control HTTP request behavior in your application. The purpose of this code snippet appears to be defining REST API endpoints and their corresponding methods on server responses. It provides clear definitions of these APIs using @GET, @POST, etc., along with URL paths that correspond to specific functions or operations</t>
        </is>
      </c>
      <c r="M1638" t="n">
        <v>0.0028</v>
      </c>
      <c r="N1638" t="n">
        <v>0.0548</v>
      </c>
      <c r="O1638" t="n">
        <v>0.1095</v>
      </c>
    </row>
    <row r="1639">
      <c r="A1639" t="inlineStr">
        <is>
          <t>retrofit</t>
        </is>
      </c>
      <c r="B1639" t="inlineStr">
        <is>
          <t>retrofit/src/main/java/retrofit2/http/PartMap.java</t>
        </is>
      </c>
      <c r="C1639">
        <f>HYPERLINK("https://github.com/square/retrofit/blob/master/retrofit/src/main/java/retrofit2/http/PartMap.java")</f>
        <v/>
      </c>
      <c r="D1639" t="inlineStr">
        <is>
          <t>The code provided is a custom annotation in Retrofit 2 for denoting the name and value parts of multi-part requests. It's used to denote that this parameter should be included as part of the request body when making network calls with Retrofit. The @Part annotation has been created by extending an existing Java Annotation (@Documented, @Retention, @Target). This</t>
        </is>
      </c>
      <c r="E1639" t="n">
        <v>0.0037</v>
      </c>
      <c r="F1639" t="n">
        <v>0.0294</v>
      </c>
      <c r="G1639" t="n">
        <v>0.1154</v>
      </c>
      <c r="H1639" t="inlineStr">
        <is>
          <t>The provided code is a Retrofit annotation for multi-part request parameters in Java. It specifies the name and value of these parameters. The @FormUrlEncoded annotation indicates that the parameter values should be form URL encoded when making the network call with Retrofit. This allows complex objects to be sent as simple key-value pairs over HTTP requests.
The copyright notice at the top</t>
        </is>
      </c>
      <c r="I1639" t="n">
        <v>0.0035</v>
      </c>
      <c r="J1639" t="n">
        <v>0.0278</v>
      </c>
      <c r="K1639" t="n">
        <v>0.0746</v>
      </c>
      <c r="L1639" t="inlineStr">
        <is>
          <t>The provided code is a custom annotation in Retrofit 2 that denotes the name and value parts of a multi-part request. It's used to specify which parameters should be sent as part of the multipart body of an HTTP request. The purpose of this annotation is to provide more control over how data gets serialized when making network requests with Retrofit.
The main</t>
        </is>
      </c>
      <c r="M1639" t="n">
        <v>0.0029</v>
      </c>
      <c r="N1639" t="n">
        <v>0.0274</v>
      </c>
      <c r="O1639" t="n">
        <v>0.1111</v>
      </c>
    </row>
    <row r="1640">
      <c r="A1640" t="inlineStr">
        <is>
          <t>retrofit</t>
        </is>
      </c>
      <c r="B1640" t="inlineStr">
        <is>
          <t>retrofit/src/main/java/retrofit2/http/Path.java</t>
        </is>
      </c>
      <c r="C1640">
        <f>HYPERLINK("https://github.com/square/retrofit/blob/master/retrofit/src/main/java/retrofit2/http/Path.java")</f>
        <v/>
      </c>
      <c r="D1640" t="inlineStr">
        <is>
          <t>The code provided appears to be a Retrofit 2 annotation for defining HTTP request methods in an interface. It is licensed under the Apache License version 2.0 and it's used to define different types of requests that can be made such as GET, POST etc., with custom paths or parameters specified by user. The implementation seems straightforward but there are no details about its functionality since this summary</t>
        </is>
      </c>
      <c r="E1640" t="n">
        <v>0.0032</v>
      </c>
      <c r="F1640" t="n">
        <v>0.0513</v>
      </c>
      <c r="G1640" t="n">
        <v>0.1429</v>
      </c>
      <c r="H1640" t="inlineStr">
        <is>
          <t>The provided code is a function for addition of two numbers in Python language. The functionality of the code is simple math and complex as it performs an operation which has time complexity O(1). It does not repeat any code or comment out existing lines.
The README file explains that this repository contains backend software components. 
It's also worth noting that there are no comments</t>
        </is>
      </c>
      <c r="I1640" t="n">
        <v>0.0037</v>
      </c>
      <c r="J1640" t="n">
        <v>0.0533</v>
      </c>
      <c r="K1640" t="n">
        <v>0.146</v>
      </c>
      <c r="L1640" t="inlineStr">
        <is>
          <t>```python
def summarize_source_code():
    # Step 1: Analyze the code holistically
    # The purpose of this class is to provide a way for Retrofit to handle HTTP responses and convert them into Java objects using Gson or Moshi based on their annotations.
    # Step 2: Break down the logic</t>
        </is>
      </c>
      <c r="M1640" t="n">
        <v>0.0038</v>
      </c>
      <c r="N1640" t="n">
        <v>0.1091</v>
      </c>
      <c r="O1640" t="n">
        <v>0.125</v>
      </c>
    </row>
    <row r="1641">
      <c r="A1641" t="inlineStr">
        <is>
          <t>retrofit</t>
        </is>
      </c>
      <c r="B1641" t="inlineStr">
        <is>
          <t>retrofit/src/main/java/retrofit2/http/QueryName.java</t>
        </is>
      </c>
      <c r="C1641">
        <f>HYPERLINK("https://github.com/square/retrofit/blob/master/retrofit/src/main/java/retrofit2/http/QueryName.java")</f>
        <v/>
      </c>
      <c r="D1641" t="inlineStr">
        <is>
          <t>The code provided is a custom annotation in Retrofit 2 library that is used to denote query parameters for the HTTP GET requests. It appends these parameters to the URL without having any value. The purpose of this annotation is to provide flexibility and control over how your API calls are structured by allowing you to pass lists or arrays as parameters which will then be converted into multiple query parameters with different values</t>
        </is>
      </c>
      <c r="E1641" t="n">
        <v>0.0025</v>
      </c>
      <c r="F1641" t="n">
        <v>0.0488</v>
      </c>
      <c r="G1641" t="n">
        <v>0.1027</v>
      </c>
      <c r="H1641" t="inlineStr">
        <is>
          <t>The provided code is a simple function to add two numbers in Python. It takes two parameters (numbers), adds them together and returns the result. The time complexity of this operation is O(1).
```python
def add(a, b):
    return a + b
``` 
It's important to note that this implementation does not handle any exceptions or</t>
        </is>
      </c>
      <c r="I1641" t="n">
        <v>0.0033</v>
      </c>
      <c r="J1641" t="n">
        <v>0.0625</v>
      </c>
      <c r="K1641" t="n">
        <v>0.1575</v>
      </c>
      <c r="L1641" t="inlineStr">
        <is>
          <t>The provided code is a Java annotation for Retrofit 2 library which indicates that the annotated parameter should be appended as a query parameter to the URL when making HTTP requests. The purpose of this annotation is to provide flexibility in how parameters are included in an API request by allowing developers to specify different behaviors based on their needs. This includes options like whether or not they have a value and if</t>
        </is>
      </c>
      <c r="M1641" t="n">
        <v>0.003</v>
      </c>
      <c r="N1641" t="n">
        <v>0.0494</v>
      </c>
      <c r="O1641" t="n">
        <v>0.06900000000000001</v>
      </c>
    </row>
    <row r="1642">
      <c r="A1642" t="inlineStr">
        <is>
          <t>retrofit</t>
        </is>
      </c>
      <c r="B1642" t="inlineStr">
        <is>
          <t>retrofit/src/main/java/retrofit2/http/Headers.java</t>
        </is>
      </c>
      <c r="C1642">
        <f>HYPERLINK("https://github.com/square/retrofit/blob/master/retrofit/src/main/java/retrofit2/http/Headers.java")</f>
        <v/>
      </c>
      <c r="D1642" t="inlineStr">
        <is>
          <t>ThegivenJavaAnnotationinterfacehasbeenusedfordefiningaHTTPgetrequestmethodwhichalsoincludesheaderinformation."})publicvoidlistRepositories();&lt;/code&gt;&lt;/pre&gt;***TheabovementionedcodeusesRetrofitlibrarytorequestdatafromserverusingHTTPprotocol.Itaddsthenamed"Cache-Control: max-age=640000"as</t>
        </is>
      </c>
      <c r="E1642" t="n">
        <v>0</v>
      </c>
      <c r="F1642" t="n">
        <v>0</v>
      </c>
      <c r="G1642" t="n">
        <v>0</v>
      </c>
      <c r="H1642" t="inlineStr">
        <is>
          <t>Theresponsefromtheservercontainssomeinformationabouttherequest.")publicinterfaceApiService{
    *   @HTTP(method = "POST", path = "/api/{id}", hasBody = true)*   Call&amp;lt;Void&amp;gt; update(@Path("id") int id, @Body RequestBody request);*}&lt;/code&gt;&lt;/pre&gt;***//**/*</t>
        </is>
      </c>
      <c r="I1642" t="n">
        <v>0</v>
      </c>
      <c r="J1642" t="n">
        <v>0</v>
      </c>
      <c r="K1642" t="n">
        <v>0</v>
      </c>
      <c r="L1642" t="inlineStr">
        <is>
          <t>**The code provided is a Retrofit 2 annotation that adds headers to an HTTP GET request. The headers added are "Cache-Control: max-age=640000". This means the cache will store this response for up to 640000 seconds (roughly one day). If there's already a cached version of the same request within this</t>
        </is>
      </c>
      <c r="M1642" t="n">
        <v>0.0037</v>
      </c>
      <c r="N1642" t="n">
        <v>0.0323</v>
      </c>
      <c r="O1642" t="n">
        <v>0.041</v>
      </c>
    </row>
    <row r="1643">
      <c r="A1643" t="inlineStr">
        <is>
          <t>retrofit</t>
        </is>
      </c>
      <c r="B1643" t="inlineStr">
        <is>
          <t>retrofit/src/main/java/retrofit2/http/Part.java</t>
        </is>
      </c>
      <c r="C1643">
        <f>HYPERLINK("https://github.com/square/retrofit/blob/master/retrofit/src/main/java/retrofit2/http/Part.java")</f>
        <v/>
      </c>
      <c r="D1643" t="inlineStr">
        <is>
          <t>```plaintext
// Copyright (C) 2013 Square, Inc.
// Licensed under the Apache License, Version 2.0 (the "License");
// you may not use this file except in compliance with the License.
// You can obtain a copy of the License at http://www.apache.org/licenses/LICENSE-</t>
        </is>
      </c>
      <c r="E1643" t="n">
        <v>0</v>
      </c>
      <c r="F1643" t="n">
        <v>0.0392</v>
      </c>
      <c r="G1643" t="n">
        <v>0.0885</v>
      </c>
      <c r="H1643" t="inlineStr">
        <is>
          <t>The provided code is a function named 'add' that takes two parameters (a and b), performs addition operation on them and returns the result. The time complexity of this function is O(1). It also includes Apache License 2.0 information at the top which specifies conditions for using the software.
Please provide a concise, clear, and direct summary of the functionality of the</t>
        </is>
      </c>
      <c r="I1643" t="n">
        <v>0.0035</v>
      </c>
      <c r="J1643" t="n">
        <v>0.0833</v>
      </c>
      <c r="K1643" t="n">
        <v>0.1119</v>
      </c>
      <c r="L1643" t="inlineStr">
        <is>
          <t>The @Part annotation in Retrofit 2 is used to denote a single part of a multi-part request. It specifies the type of data that will be sent as part of this request and provides an instance of Converter for converting the annotated parameter into its string representation before sending it along with other parts of the multipart request. The code size is approximately 689 lines,</t>
        </is>
      </c>
      <c r="M1643" t="n">
        <v>0.0028</v>
      </c>
      <c r="N1643" t="n">
        <v>0.0541</v>
      </c>
      <c r="O1643" t="n">
        <v>0.1095</v>
      </c>
    </row>
    <row r="1644">
      <c r="A1644" t="inlineStr">
        <is>
          <t>retrofit</t>
        </is>
      </c>
      <c r="B1644" t="inlineStr">
        <is>
          <t>retrofit/src/main/java/retrofit2/http/HeaderMap.java</t>
        </is>
      </c>
      <c r="C1644">
        <f>HYPERLINK("https://github.com/square/retrofit/blob/master/retrofit/src/main/java/retrofit2/http/HeaderMap.java")</f>
        <v/>
      </c>
      <c r="D1644" t="inlineStr">
        <is>
          <t>The code you provided is a Retrofit annotation for adding headers to HTTP requests. It's used in conjunction with the Retrofit library which allows developers to write type safe HTTP clients. The @Headers annotation can be applied at both the method and parameter level of an API interface definition. This helps provide consistent request headers across multiple endpoints or individual ones.
It uses Java An</t>
        </is>
      </c>
      <c r="E1644" t="n">
        <v>0.0033</v>
      </c>
      <c r="F1644" t="n">
        <v>0.027</v>
      </c>
      <c r="G1644" t="n">
        <v>0.1095</v>
      </c>
      <c r="H1644" t="inlineStr">
        <is>
          <t>The provided code is a function named "add", which takes two parameters and returns their sum. The complexity of this operation is O(1), meaning it performs the addition in constant time regardless of the size of the input numbers (a or b). It's also licensed under Apache 2.0 license, so you can use it freely for any purpose as long as you comply with its terms</t>
        </is>
      </c>
      <c r="I1644" t="n">
        <v>0.0028</v>
      </c>
      <c r="J1644" t="n">
        <v>0.0519</v>
      </c>
      <c r="K1644" t="n">
        <v>0.1087</v>
      </c>
      <c r="L1644" t="inlineStr">
        <is>
          <t>Theresponseclassrepresentsthedetailsfromareserverresponsesummary:Ithasfieldsforstatuscodemessagebodyheaderseventsummary:Italsoallowsforsubscribingtoserviceneachcallsummarizedetailsofeventsummary:Suchasrequestonsuccessfulcompletionfailureetc.*/publicinterfaceResponse&lt;T&gt;</t>
        </is>
      </c>
      <c r="M1644" t="n">
        <v>0</v>
      </c>
      <c r="N1644" t="n">
        <v>0</v>
      </c>
      <c r="O1644" t="n">
        <v>0</v>
      </c>
    </row>
    <row r="1645">
      <c r="A1645" t="inlineStr">
        <is>
          <t>retrofit</t>
        </is>
      </c>
      <c r="B1645" t="inlineStr">
        <is>
          <t>retrofit/src/main/java/retrofit2/http/GET.java</t>
        </is>
      </c>
      <c r="C1645">
        <f>HYPERLINK("https://github.com/square/retrofit/blob/master/retrofit/src/main/java/retrofit2/http/GET.java")</f>
        <v/>
      </c>
      <c r="D1645" t="inlineStr">
        <is>
          <t>The code you provided is an annotation interface in Java that uses Retrofit 2 to make a GET request using the HTTP protocol. It's annotated with @Documented, indicating it should be included in Javadoc generation and also has target as METHOD which means this annotation can only be used on methods, retention policy set at runtime (RUNTIME), meaning these annotations</t>
        </is>
      </c>
      <c r="E1645" t="n">
        <v>0.003</v>
      </c>
      <c r="F1645" t="n">
        <v>0.029</v>
      </c>
      <c r="G1645" t="n">
        <v>0.1136</v>
      </c>
      <c r="H1645" t="inlineStr">
        <is>
          <t>The code you provided is a Retrofit 2 annotation for making GET requests. It's used to indicate that the annotated method will make a HTTP GET request when called. The URL of this request can be specified as an argument in the method call or it can be set at compile time using @Url and HttpUrl objects.
Here are some key points about the code:</t>
        </is>
      </c>
      <c r="I1645" t="n">
        <v>0.0028</v>
      </c>
      <c r="J1645" t="n">
        <v>0.0541</v>
      </c>
      <c r="K1645" t="n">
        <v>0.1095</v>
      </c>
      <c r="L1645" t="inlineStr">
        <is>
          <t>The @GET annotation is used to indicate that a method should be invoked for HTTP GET requests at the specified relative path.Ittakesoneparameterwhichspecifiestherelativepathforhtttpgetrequests.Forinstance:@GET("/users")wouldmaptohttpmethodslikeGet("https://api.github.com/users").Returns:Void.*/Stringvalue();}</t>
        </is>
      </c>
      <c r="M1645" t="n">
        <v>0</v>
      </c>
      <c r="N1645" t="n">
        <v>0</v>
      </c>
      <c r="O1645" t="n">
        <v>0.0532</v>
      </c>
    </row>
    <row r="1646">
      <c r="A1646" t="inlineStr">
        <is>
          <t>retrofit</t>
        </is>
      </c>
      <c r="B1646" t="inlineStr">
        <is>
          <t>retrofit/src/main/java/retrofit2/http/Query.java</t>
        </is>
      </c>
      <c r="C1646">
        <f>HYPERLINK("https://github.com/square/retrofit/blob/master/retrofit/src/main/java/retrofit2/http/Query.java")</f>
        <v/>
      </c>
      <c r="D1646" t="inlineStr">
        <is>
          <t>The code provided is a custom annotation in Retrofit 2 library used to denote that the annotated parameter should be converted and appended as query parameters in HTTP requests. The license at the top of the file specifies Apache License Version 2.0 which means it's free for use under certain conditions.
The @GET or @POST method will then include these parameters in its</t>
        </is>
      </c>
      <c r="E1646" t="n">
        <v>0.0029</v>
      </c>
      <c r="F1646" t="n">
        <v>0.0274</v>
      </c>
      <c r="G1646" t="n">
        <v>0.0741</v>
      </c>
      <c r="H1646" t="inlineStr">
        <is>
          <t>The provided code is a simple function for addition of two numbers in Python using the def keyword. The functionality it provides is to add two parameters and return their sum. It has time complexity O(1), as it performs only one operation regardless of input size.
The Apache License 2.0 applies to this code snippet which states that you may not use this file except in</t>
        </is>
      </c>
      <c r="I1646" t="n">
        <v>0.0033</v>
      </c>
      <c r="J1646" t="n">
        <v>0.0526</v>
      </c>
      <c r="K1646" t="n">
        <v>0.1087</v>
      </c>
      <c r="L1646" t="inlineStr">
        <is>
          <t>ThegivenJavaSourceFileusesRetrofitlibrarytowithoutanymodificationtogetrequestsfromserver.Itincludesonlyoneinterface,named'MyService',whichhasthreefunctions:'getUserDetails()','uploadImage()''deletePost()'.EachfunctionreturnsaCallobjectthatcanbefurtherprocessedusingcallbacks.TheURLforthesecallsareconstructedbased</t>
        </is>
      </c>
      <c r="M1646" t="n">
        <v>0</v>
      </c>
      <c r="N1646" t="n">
        <v>0</v>
      </c>
      <c r="O1646" t="n">
        <v>0</v>
      </c>
    </row>
    <row r="1647">
      <c r="A1647" t="inlineStr">
        <is>
          <t>retrofit</t>
        </is>
      </c>
      <c r="B1647" t="inlineStr">
        <is>
          <t>retrofit/src/main/java/retrofit2/http/Body.java</t>
        </is>
      </c>
      <c r="C1647">
        <f>HYPERLINK("https://github.com/square/retrofit/blob/master/retrofit/src/main/java/retrofit2/http/Body.java")</f>
        <v/>
      </c>
      <c r="D1647" t="inlineStr">
        <is>
          <t>The code provided is a Retrofit annotation used for declaring that the annotated parameter should be converted using a specific converter before being sent in an HTTP request. The converter is determined by the type of data it's handling and can be specified manually or automatically detected based on the Retrofit configuration. This allows developers to handle complex types like custom objects directly without having to write converters themselves</t>
        </is>
      </c>
      <c r="E1647" t="n">
        <v>0.0031</v>
      </c>
      <c r="F1647" t="n">
        <v>0.0256</v>
      </c>
      <c r="G1647" t="n">
        <v>0.1064</v>
      </c>
      <c r="H1647" t="inlineStr">
        <is>
          <t>The code provided is a Retrofit annotation that indicates the use of an HTTP POST request to add two numbers together using a REST API endpoint. The complexity of this operation is O(1), meaning it has constant time complexity as it performs only one addition operation regardless of input size.
&lt;jupyter_output&gt;
&lt;empty_output&gt;
&lt;jup</t>
        </is>
      </c>
      <c r="I1647" t="n">
        <v>0</v>
      </c>
      <c r="J1647" t="n">
        <v>0.0312</v>
      </c>
      <c r="K1647" t="n">
        <v>0.08</v>
      </c>
      <c r="L1647" t="inlineStr">
        <is>
          <t>The code provided is for a Retrofit annotation that allows you to specify the converter directly on a service method parameter. This annotation uses an element type of PARAMETER and has a retention policy of RUNTIME. The @Documented annotation indicates this annotation should be included in Javadoc output. It's used with Retrofit 2 library which provides functionalities such as</t>
        </is>
      </c>
      <c r="M1647" t="n">
        <v>0.0037</v>
      </c>
      <c r="N1647" t="n">
        <v>0.0588</v>
      </c>
      <c r="O1647" t="n">
        <v>0.1145</v>
      </c>
    </row>
    <row r="1648">
      <c r="A1648" t="inlineStr">
        <is>
          <t>retrofit</t>
        </is>
      </c>
      <c r="B1648" t="inlineStr">
        <is>
          <t>retrofit/src/main/java/retrofit2/http/Streaming.java</t>
        </is>
      </c>
      <c r="C1648">
        <f>HYPERLINK("https://github.com/square/retrofit/blob/master/retrofit/src/main/java/retrofit2/http/Streaming.java")</f>
        <v/>
      </c>
      <c r="D1648" t="inlineStr">
        <is>
          <t>The code is a Retrofit 2 annotation for HTTP POST requests with an expected response body of type `ResponseBody`. It's used to indicate that the annotated method should send a request using the HTTP POST verb and expect a raw binary response in return. The license at the top indicates it is licensed under Apache License Version 2.0.
# Code Explan</t>
        </is>
      </c>
      <c r="E1648" t="n">
        <v>0.003</v>
      </c>
      <c r="F1648" t="n">
        <v>0.0286</v>
      </c>
      <c r="G1648" t="n">
        <v>0.0752</v>
      </c>
      <c r="H1648" t="inlineStr">
        <is>
          <t>The code you provided is a simple addition function in Python named "add". It takes two parameters (numbers), adds them together and returns the result. The time complexity of this operation is O(1).
# README
Simple math function to add two numbers. 
## Complexity
Time complexity: O(1)
## Comments
Performs basic arithmetic</t>
        </is>
      </c>
      <c r="I1648" t="n">
        <v>0.0035</v>
      </c>
      <c r="J1648" t="n">
        <v>0.0678</v>
      </c>
      <c r="K1648" t="n">
        <v>0.121</v>
      </c>
      <c r="L1648" t="inlineStr">
        <is>
          <t>The code is a Retrofit 2 annotation that defines an HTTP DELETE request to be made on the specified endpoint with optional path parameters and query parameters. The method returns a {@link ResponseBody}, which can then be handled by the client as needed. This functionality allows for efficient network communication between the server and client in Android applications using Retrofit library.
 Code Size:</t>
        </is>
      </c>
      <c r="M1648" t="n">
        <v>0.0038</v>
      </c>
      <c r="N1648" t="n">
        <v>0.08450000000000001</v>
      </c>
      <c r="O1648" t="n">
        <v>0.1111</v>
      </c>
    </row>
    <row r="1649">
      <c r="A1649" t="inlineStr">
        <is>
          <t>retrofit</t>
        </is>
      </c>
      <c r="B1649" t="inlineStr">
        <is>
          <t>retrofit/src/main/java/retrofit2/http/Url.java</t>
        </is>
      </c>
      <c r="C1649">
        <f>HYPERLINK("https://github.com/square/retrofit/blob/master/retrofit/src/main/java/retrofit2/http/Url.java")</f>
        <v/>
      </c>
      <c r="D1649" t="inlineStr">
        <is>
          <t>The code provided is a custom annotation in Retrofit 2 that specifies the URL to which an HTTP request should be made. It's used as part of defining API endpoints for network requests using Retrofit library. The URL can either be relative or absolute and will be resolved against the base URL specified by the user when creating the Retrofit instance. This helps in reducing redundancy</t>
        </is>
      </c>
      <c r="E1649" t="n">
        <v>0.0033</v>
      </c>
      <c r="F1649" t="n">
        <v>0.0267</v>
      </c>
      <c r="G1649" t="n">
        <v>0.1087</v>
      </c>
      <c r="H1649" t="inlineStr">
        <is>
          <t>The code you provided is a simple addition function in Python named `add` that takes two parameters and returns their sum. The time complexity of this operation is O(1), meaning it always executes in the same amount of time regardless of input size. This function does not violate any licensing conditions as indicated by your comments at the top of the file. It's licensed under Apache</t>
        </is>
      </c>
      <c r="I1649" t="n">
        <v>0.0033</v>
      </c>
      <c r="J1649" t="n">
        <v>0.0526</v>
      </c>
      <c r="K1649" t="n">
        <v>0.1087</v>
      </c>
      <c r="L1649" t="inlineStr">
        <is>
          <t>The code provided is a Retrofit annotation that specifies the URL to which requests will be made when using this interface as part of the Retrofit API. The URL can include placeholders for dynamic values and it's resolved against the base URL specified in the Retrofit instance at runtime. This allows you to change the base URL without having to modify the actual method calls or interfaces. It</t>
        </is>
      </c>
      <c r="M1649" t="n">
        <v>0.0032</v>
      </c>
      <c r="N1649" t="n">
        <v>0.0519</v>
      </c>
      <c r="O1649" t="n">
        <v>0.1071</v>
      </c>
    </row>
    <row r="1650">
      <c r="A1650" t="inlineStr">
        <is>
          <t>retrofit</t>
        </is>
      </c>
      <c r="B1650" t="inlineStr">
        <is>
          <t>retrofit/src/main/java/retrofit2/http/QueryMap.java</t>
        </is>
      </c>
      <c r="C1650">
        <f>HYPERLINK("https://github.com/square/retrofit/blob/master/retrofit/src/main/java/retrofit2/http/QueryMap.java")</f>
        <v/>
      </c>
      <c r="D1650" t="inlineStr">
        <is>
          <t>The code provided is a custom annotation for Retrofit 2 library in Java to specify query parameter keys and values. It's used with HTTP GET requests. The copyright information at the top indicates that it's licensed under Apache License Version 2.0. This license requires any derivative work to be distributed under similar terms.
```java
@Documented
@Retention</t>
        </is>
      </c>
      <c r="E1650" t="n">
        <v>0.0039</v>
      </c>
      <c r="F1650" t="n">
        <v>0.0299</v>
      </c>
      <c r="G1650" t="n">
        <v>0.1172</v>
      </c>
      <c r="H1650" t="inlineStr">
        <is>
          <t>The provided code is a simple function for addition of two numbers in Python language. It has O(1) complexity as it performs only one operation (adding the input parameters). The summary provides an overview about this functionality which includes "Adds twonumbers".
Here's how you can summarize the same using JavaDoc comments: 
```Java
/**
 *</t>
        </is>
      </c>
      <c r="I1650" t="n">
        <v>0.0034</v>
      </c>
      <c r="J1650" t="n">
        <v>0.0645</v>
      </c>
      <c r="K1650" t="n">
        <v>0.0794</v>
      </c>
      <c r="L1650" t="inlineStr">
        <is>
          <t>ThegivenJavaSourceFileusesRetrofitlibrarytosubmittakehomeassignmentrequesttowithqueryparameters.ItdoesthisusingPOSTmethod.Themainpurposedoessetupconnectionbetweenstudentandschoolmanagementportal.
 ThesourcecodeprovidesaPostRequestInterfacewhichacceptstwoparametersnamely'id'(Stringtype)and'answer'(List</t>
        </is>
      </c>
      <c r="M1650" t="n">
        <v>0</v>
      </c>
      <c r="N1650" t="n">
        <v>0.1176</v>
      </c>
      <c r="O1650" t="n">
        <v>0</v>
      </c>
    </row>
    <row r="1651">
      <c r="A1651" t="inlineStr">
        <is>
          <t>retrofit</t>
        </is>
      </c>
      <c r="B1651" t="inlineStr">
        <is>
          <t>retrofit/src/main/java/retrofit2/http/DELETE.java</t>
        </is>
      </c>
      <c r="C1651">
        <f>HYPERLINK("https://github.com/square/retrofit/blob/master/retrofit/src/main/java/retrofit2/http/DELETE.java")</f>
        <v/>
      </c>
      <c r="D1651" t="inlineStr">
        <is>
          <t>The code is a custom annotation in Retrofit 2 library for making DELETE requests. It's annotated with @Documented to make it visible in JavaDoc and has both RUNTIME and METHOD as its target which means this annotation can be used on methods only. The code does not repeat the Apache License text but provides an overview of what the license covers - distribution under certain</t>
        </is>
      </c>
      <c r="E1651" t="n">
        <v>0.0028</v>
      </c>
      <c r="F1651" t="n">
        <v>0.0274</v>
      </c>
      <c r="G1651" t="n">
        <v>0.1095</v>
      </c>
      <c r="H1651" t="inlineStr">
        <is>
          <t>The provided code is a Java annotation for an HTTP DELETE request using Retrofit 2 library from Square, which is used to make asynchronous calls to RESTful web services and provides conversion of the response body into specified type. The functionality of this code snippet allows making a DELETE request with specific URL path parameters and query string parameters in addition to headers if needed. It'</t>
        </is>
      </c>
      <c r="I1651" t="n">
        <v>0.0033</v>
      </c>
      <c r="J1651" t="n">
        <v>0.0541</v>
      </c>
      <c r="K1651" t="n">
        <v>0.1087</v>
      </c>
      <c r="L1651" t="inlineStr">
        <is>
          <t>Themethodsignatureismethod(){}/***Parameters:None***Returns:Void***Description:MakesadeleterequesttothetargeURLusingOkHTTPclientlibrary.**/}
```
Summary: This code defines a DELETE method annotation for Retrofit 2 library using OkHTTP client. The purpose of this class is to make a delete request to the target</t>
        </is>
      </c>
      <c r="M1651" t="n">
        <v>0.006</v>
      </c>
      <c r="N1651" t="n">
        <v>0.0455</v>
      </c>
      <c r="O1651" t="n">
        <v>0.09710000000000001</v>
      </c>
    </row>
    <row r="1652">
      <c r="A1652" t="inlineStr">
        <is>
          <t>retrofit</t>
        </is>
      </c>
      <c r="B1652" t="inlineStr">
        <is>
          <t>retrofit/src/main/java/retrofit2/http/OPTIONS.java</t>
        </is>
      </c>
      <c r="C1652">
        <f>HYPERLINK("https://github.com/square/retrofit/blob/master/retrofit/src/main/java/retrofit2/http/OPTIONS.java")</f>
        <v/>
      </c>
      <c r="D1652" t="inlineStr">
        <is>
          <t>The code provided is an annotation for the HTTP OPTIONS method in Retrofit 2 library which is a type of REST client developed by Square. It's used to make an options request and it has been documented so that other developers can understand its usage easily. This annotation will be processed at runtime (RUNTIME), targeting methods where this annotation is applied. The purpose seems</t>
        </is>
      </c>
      <c r="E1652" t="n">
        <v>0.0034</v>
      </c>
      <c r="F1652" t="n">
        <v>0.0274</v>
      </c>
      <c r="G1652" t="n">
        <v>0.1103</v>
      </c>
      <c r="H1652" t="inlineStr">
        <is>
          <t>The provided code is a Retrofit 2 annotation for an HTTP OPTIONS request method in Java. It's used to indicate that the annotated method will make an OPTIONS request when called by Retrofit. The URL of this request can be specified using @Url or as part of the base url and relative url if needed.
Here are some key points about</t>
        </is>
      </c>
      <c r="I1652" t="n">
        <v>0.003</v>
      </c>
      <c r="J1652" t="n">
        <v>0.0571</v>
      </c>
      <c r="K1652" t="n">
        <v>0.1128</v>
      </c>
      <c r="L1652" t="inlineStr">
        <is>
          <t>TheresponsefromthismethodindicateswhichHTTPmethodsaresupportedbyserverforaresourcelocation.Itreturnsaheaderfieldcontainingthesemethods.
```python
# This is a Python code snippet for the OPTION method in Retrofit 2 library which makes an HTTP options request to get supported methods of server by resource location.
def option_</t>
        </is>
      </c>
      <c r="M1652" t="n">
        <v>0.0055</v>
      </c>
      <c r="N1652" t="n">
        <v>0.0476</v>
      </c>
      <c r="O1652" t="n">
        <v>0.0472</v>
      </c>
    </row>
    <row r="1653">
      <c r="A1653" t="inlineStr">
        <is>
          <t>retrofit</t>
        </is>
      </c>
      <c r="B1653" t="inlineStr">
        <is>
          <t>retrofit/src/main/java/retrofit2/http/PUT.java</t>
        </is>
      </c>
      <c r="C1653">
        <f>HYPERLINK("https://github.com/square/retrofit/blob/master/retrofit/src/main/java/retrofit2/http/PUT.java")</f>
        <v/>
      </c>
      <c r="D1653" t="inlineStr">
        <is>
          <t>The code provided is a custom annotation in Retrofit 2 library for making PUT requests using OkHTTP as the underlying HTTP client. It's used to annotate methods where you want to make an HTTP PUT request with Retrofit and OkHTTP. The @PUT annotation has no parameters or return types defined within it which indicates that this method will not take any input arguments nor does</t>
        </is>
      </c>
      <c r="E1653" t="n">
        <v>0.0028</v>
      </c>
      <c r="F1653" t="n">
        <v>0.027</v>
      </c>
      <c r="G1653" t="n">
        <v>0.1095</v>
      </c>
      <c r="H1653" t="inlineStr">
        <is>
          <t>The given code is a simple addition function in Python named `add` that takes two parameters and returns their sum. The time complexity of this operation is O(1), meaning it always executes the same number of operations regardless of input size.
Here's the summary with no repeating or redundant information about the functionality of the provided code: 
Function Name: add</t>
        </is>
      </c>
      <c r="I1653" t="n">
        <v>0.0036</v>
      </c>
      <c r="J1653" t="n">
        <v>0.0571</v>
      </c>
      <c r="K1653" t="n">
        <v>0.1136</v>
      </c>
      <c r="L1653" t="inlineStr">
        <is>
          <t>Themethoddeclaresthataseveralchangeswillbesubmittedtoserverusingputmethod.Itacceptsthreeparameters:urlpath,queryparamsandsomebodyobjectwhichcontainsspecificationsofdataforbodiesendingtoputrequest.
```python
# Code Summary: 
# This method is used to make a PUT request with the specified URL path</t>
        </is>
      </c>
      <c r="M1653" t="n">
        <v>0.009599999999999999</v>
      </c>
      <c r="N1653" t="n">
        <v>0.06900000000000001</v>
      </c>
      <c r="O1653" t="n">
        <v>0.1087</v>
      </c>
    </row>
    <row r="1654">
      <c r="A1654" t="inlineStr">
        <is>
          <t>retrofit</t>
        </is>
      </c>
      <c r="B1654" t="inlineStr">
        <is>
          <t>retrofit/src/main/java/retrofit2/http/PATCH.java</t>
        </is>
      </c>
      <c r="C1654">
        <f>HYPERLINK("https://github.com/square/retrofit/blob/master/retrofit/src/main/java/retrofit2/http/PATCH.java")</f>
        <v/>
      </c>
      <c r="D1654" t="inlineStr">
        <is>
          <t>The code is a custom annotation in Retrofit 2 library that specifies an HTTP PATCH request to be made when the annotated method is called at runtime. The @PATCH annotation has been placed on top of methods and it's used for making asynchronous network calls with Retrofit. It also provides information about how long this piece of code will run (complexity), its comments</t>
        </is>
      </c>
      <c r="E1654" t="n">
        <v>0.0029</v>
      </c>
      <c r="F1654" t="n">
        <v>0.0278</v>
      </c>
      <c r="G1654" t="n">
        <v>0.1111</v>
      </c>
      <c r="H1654" t="inlineStr">
        <is>
          <t>The provided code is a Java annotation for an HTTP PATCH request using Retrofit 2 library from Square Inc., which allows you to make asynchronous HTTP requests in Android and Java applications. The @PATCH annotation has been used to indicate that the annotated method will be making a PATCH type of HTTP Request. It's designed with good practices like being documented, targeting specific methods</t>
        </is>
      </c>
      <c r="I1654" t="n">
        <v>0.0028</v>
      </c>
      <c r="J1654" t="n">
        <v>0.0274</v>
      </c>
      <c r="K1654" t="n">
        <v>0.0735</v>
      </c>
      <c r="L1654" t="inlineStr">
        <is>
          <t>ThecodeusesOkHttp'sPATCHmethodtosubmitdatausingHTTP'spatchsemantics.Itacceptsthreeparameters:@paramurltheURLtotargetforthispatchoperation.@parambodythebodycontentformultipartposting.@returnARetrofitCallobjectthatcanbefurtherchainedoffafterinvokingthisservicecall.Note:</t>
        </is>
      </c>
      <c r="M1654" t="n">
        <v>0</v>
      </c>
      <c r="N1654" t="n">
        <v>0</v>
      </c>
      <c r="O1654" t="n">
        <v>0</v>
      </c>
    </row>
    <row r="1655">
      <c r="A1655" t="inlineStr">
        <is>
          <t>retrofit</t>
        </is>
      </c>
      <c r="B1655" t="inlineStr">
        <is>
          <t>retrofit/src/main/java/retrofit2/http/FieldMap.java</t>
        </is>
      </c>
      <c r="C1655">
        <f>HYPERLINK("https://github.com/square/retrofit/blob/master/retrofit/src/main/java/retrofit2/http/FieldMap.java")</f>
        <v/>
      </c>
      <c r="D1655" t="inlineStr">
        <is>
          <t>ThecodeisusedtoprovideanHTTPclientthatcansenddataasformurlencodedformat.ItallowstheuserstoaddnamedparametersintotheURLsendingacomplexityofo(n). Thecoderepresentsannotationsystemwhichallowsdevelopersattachmetadatainformationtothecode. ItalsoenablesdynamicgenerationofAPIsbasedonthemetadata.");</t>
        </is>
      </c>
      <c r="E1655" t="n">
        <v>0</v>
      </c>
      <c r="F1655" t="n">
        <v>0</v>
      </c>
      <c r="G1655" t="n">
        <v>0</v>
      </c>
      <c r="H1655" t="inlineStr">
        <is>
          <t>{
    "message": "Hello World!"
}&lt;/code&gt;&lt;/pre&gt;
```python
# Copyright (C) 2014 Square, Inc.
# Licensed under the Apache License, Version 2.0 (the "License");
# you may not use this file except in compliance with the License.
# You may obtain a copy of</t>
        </is>
      </c>
      <c r="I1655" t="n">
        <v>0</v>
      </c>
      <c r="J1655" t="n">
        <v>0.0426</v>
      </c>
      <c r="K1655" t="n">
        <v>0.0877</v>
      </c>
      <c r="L1655" t="inlineStr">
        <is>
          <t>")publicinterfaceService{*&amp;nbsp;&amp;#64;Field("name")String name();}&lt;/code&gt;&lt;/pre&gt;***@paramNameThenamedparameterintheurl.**&lt;p&gt;Forinstancesubstituting"/users/{userId}"withinURLtemplatewithactualvaluefrommethodcalllike":service.getUserDetail(&amp;quot;123&amp;quot;)</t>
        </is>
      </c>
      <c r="M1655" t="n">
        <v>0</v>
      </c>
      <c r="N1655" t="n">
        <v>0</v>
      </c>
      <c r="O1655" t="n">
        <v>0</v>
      </c>
    </row>
    <row r="1656">
      <c r="A1656" t="inlineStr">
        <is>
          <t>retrofit</t>
        </is>
      </c>
      <c r="B1656" t="inlineStr">
        <is>
          <t>retrofit/src/main/java/retrofit2/http/HEAD.java</t>
        </is>
      </c>
      <c r="C1656">
        <f>HYPERLINK("https://github.com/square/retrofit/blob/master/retrofit/src/main/java/retrofit2/http/HEAD.java")</f>
        <v/>
      </c>
      <c r="D1656" t="inlineStr">
        <is>
          <t>The code is a custom annotation in Retrofit 2 library for making HEAD requests. The @HEAD annotation indicates that the annotated method will make an HTTP HEAD request to the specified relative URL path of the base URL configured on the interface. It's used when you want to check if a resource exists without downloading it and has no body content. This helps save bandwidth as only headers</t>
        </is>
      </c>
      <c r="E1656" t="n">
        <v>0.0032</v>
      </c>
      <c r="F1656" t="n">
        <v>0.026</v>
      </c>
      <c r="G1656" t="n">
        <v>0.1071</v>
      </c>
      <c r="H1656" t="inlineStr">
        <is>
          <t>The provided code is a Java annotation for an HTTP HEAD request using Retrofit 2 library from Square. It specifies the target of this method call to be any element in the class or interface that it's annotated with and its retention policy should exist at runtime. The code also includes Apache License information which states you may not use this file except in compliance with the license terms.</t>
        </is>
      </c>
      <c r="I1656" t="n">
        <v>0.0026</v>
      </c>
      <c r="J1656" t="n">
        <v>0.0513</v>
      </c>
      <c r="K1656" t="n">
        <v>0.1064</v>
      </c>
      <c r="L1656" t="inlineStr">
        <is>
          <t>The`@HEAD` annotation in Retrofit 2 is used to make a HTTP HEAD request. The method annotated with `@HEAD` will be executed when the corresponding GET request completes successfully and returns an HTTP status code of 200 OK. It's typically used for checking if a resource exists before attempting to retrieve it. This helps avoid unnecessary data transfer and save bandwidth</t>
        </is>
      </c>
      <c r="M1656" t="n">
        <v>0.0036</v>
      </c>
      <c r="N1656" t="n">
        <v>0.0571</v>
      </c>
      <c r="O1656" t="n">
        <v>0.1136</v>
      </c>
    </row>
    <row r="1657">
      <c r="A1657" t="inlineStr">
        <is>
          <t>retrofit</t>
        </is>
      </c>
      <c r="B1657" t="inlineStr">
        <is>
          <t>retrofit/src/main/java/retrofit2/http/HTTP.java</t>
        </is>
      </c>
      <c r="C1657">
        <f>HYPERLINK("https://github.com/square/retrofit/blob/master/retrofit/src/main/java/retrofit2/http/HTTP.java")</f>
        <v/>
      </c>
      <c r="D1657" t="inlineStr">
        <is>
          <t>ThegivenJavaAnnotationisusedtowraparoundarootelementofaXMLdocumentwhichindicatesthatthisrootelementhasnoattributebuthavesubelements.Italsoincludesinformationaboutthenamespaceprefixassociatedwiththishierarchylevel.###Instruction:Summarize the code. Code: /** * Copyright (C) 2015 Square, Inc. Licensed under the</t>
        </is>
      </c>
      <c r="E1657" t="n">
        <v>0</v>
      </c>
      <c r="F1657" t="n">
        <v>0</v>
      </c>
      <c r="G1657" t="n">
        <v>0</v>
      </c>
      <c r="H1657" t="inlineStr">
        <is>
          <t>Theresponseobjectcontainingallinformationabouttherequestincludingheadersstatusandbody.
&lt;jupyter_output&gt;
&lt;empty_output&gt;
&lt;jupyter_text&gt;
Question 1Write a Python program to convert kilometers to miles?
&lt;jupyter_code&gt;
# Taking input from user in Kilometer
km =</t>
        </is>
      </c>
      <c r="I1657" t="n">
        <v>0</v>
      </c>
      <c r="J1657" t="n">
        <v>0</v>
      </c>
      <c r="K1657" t="n">
        <v>0</v>
      </c>
      <c r="L1657" t="inlineStr">
        <is>
          <t>The'@HTTP'annotationallowsusersetodefinecustomHTTPverbsforrequestsintheirservices.IttakescareofURLbuildingautomaticallyusingthegivenpathpattern,includinganyqueryparameters.However,thisfeaturerequiresOkHttpversion3.0+sinceOkHttpdoesntsupportdynamicHTTPmethodsuntilthen.Also,noteachthattheservermustunderstandthesenewtypesofrequest</t>
        </is>
      </c>
      <c r="M1657" t="n">
        <v>0</v>
      </c>
      <c r="N1657" t="n">
        <v>0</v>
      </c>
      <c r="O1657" t="n">
        <v>0</v>
      </c>
    </row>
    <row r="1658">
      <c r="A1658" t="inlineStr">
        <is>
          <t>retrofit</t>
        </is>
      </c>
      <c r="B1658" t="inlineStr">
        <is>
          <t>retrofit/src/main/java/retrofit2/http/POST.java</t>
        </is>
      </c>
      <c r="C1658">
        <f>HYPERLINK("https://github.com/square/retrofit/blob/master/retrofit/src/main/java/retrofit2/http/POST.java")</f>
        <v/>
      </c>
      <c r="D1658" t="inlineStr">
        <is>
          <t>The code is a Retrofit annotation for making POST requests with OkHttp. It's used to define the HTTP method and URL of the request in an interface definition. The @Documented tag indicates that this annotation should be included in Javadoc output. The @Target(METHOD) specifies that it can only be applied to methods. The @Retention(RUNTIME) means that</t>
        </is>
      </c>
      <c r="E1658" t="n">
        <v>0.0033</v>
      </c>
      <c r="F1658" t="n">
        <v>0.0299</v>
      </c>
      <c r="G1658" t="n">
        <v>0.1172</v>
      </c>
      <c r="H1658" t="inlineStr">
        <is>
          <t>The provided code is a Java annotation for an HTTP POST request using the Retrofit library in Android development. It's used to specify that a method makes a POST request when invoked by Retrofit at runtime. The URL of the server endpoint where this POST request will be sent can also be specified with @Url or HttpUrl parameters.
Here are some key points about it</t>
        </is>
      </c>
      <c r="I1658" t="n">
        <v>0</v>
      </c>
      <c r="J1658" t="n">
        <v>0.027</v>
      </c>
      <c r="K1658" t="n">
        <v>0.073</v>
      </c>
      <c r="L1658" t="inlineStr">
        <is>
          <t>ThecodeusesOkHTTPlibrarytogetadatafromURLandstoreintothelocaldatabase.ItmakesuseofPostmethodtocreatepostrequests.InputparametersincludeURLandJSONobjectcontainingdata.Outputissuccessmessageifoperationwasdonecorrectly.
 Code Size: 968 LOC (Source code lines of code).
 The main purpose is</t>
        </is>
      </c>
      <c r="M1658" t="n">
        <v>0</v>
      </c>
      <c r="N1658" t="n">
        <v>0</v>
      </c>
      <c r="O1658" t="n">
        <v>0</v>
      </c>
    </row>
    <row r="1659">
      <c r="A1659" t="inlineStr">
        <is>
          <t>retrofit</t>
        </is>
      </c>
      <c r="B1659" t="inlineStr">
        <is>
          <t>retrofit/src/main/java/retrofit2/http/Multipart.java</t>
        </is>
      </c>
      <c r="C1659">
        <f>HYPERLINK("https://github.com/square/retrofit/blob/master/retrofit/src/main/java/retrofit2/http/Multipart.java")</f>
        <v/>
      </c>
      <c r="D1659" t="inlineStr">
        <is>
          <t>The code you provided is a license header for Apache License 2.0. It specifies the terms and conditions under which one may use or distribute software that uses this file. The license can be obtained at http://www.apache.org/licenses/LICENSE-2.0.
RETROFIT_II: This repository contains backend software components written in Java. They</t>
        </is>
      </c>
      <c r="E1659" t="n">
        <v>0.005</v>
      </c>
      <c r="F1659" t="n">
        <v>0.0615</v>
      </c>
      <c r="G1659" t="n">
        <v>0.1667</v>
      </c>
      <c r="H1659" t="inlineStr">
        <is>
          <t>The code you provided is a simple addition function in Python named `add` that takes two parameters (numbers), adds them together and returns the result. The time complexity of this operation is O(1). 
Here's an example usage:
```python
result = add(5, 7) # Result would be 12
```
It seems like</t>
        </is>
      </c>
      <c r="I1659" t="n">
        <v>0.0036</v>
      </c>
      <c r="J1659" t="n">
        <v>0.0678</v>
      </c>
      <c r="K1659" t="n">
        <v>0.122</v>
      </c>
      <c r="L1659" t="inlineStr">
        <is>
          <t>```python
# The code is a Retrofit HTTP annotation that denotes the request body as multi-part. 
# Parts should be declared as parameters and annotated with @Part("name"). 
# This allows for complex data structures to be sent in an HTTP POST request.
```
The purpose of this code snippet is to facilitate sending multip</t>
        </is>
      </c>
      <c r="M1659" t="n">
        <v>0.004</v>
      </c>
      <c r="N1659" t="n">
        <v>0.0333</v>
      </c>
      <c r="O1659" t="n">
        <v>0.119</v>
      </c>
    </row>
    <row r="1660">
      <c r="A1660" t="inlineStr">
        <is>
          <t>retrofit</t>
        </is>
      </c>
      <c r="B1660" t="inlineStr">
        <is>
          <t>retrofit/src/main/java/retrofit2/internal/EverythingIsNonNull.java</t>
        </is>
      </c>
      <c r="C1660">
        <f>HYPERLINK("https://github.com/square/retrofit/blob/master/retrofit/src/main/java/retrofit2/internal/EverythingIsNonNull.java")</f>
        <v/>
      </c>
      <c r="D1660" t="inlineStr">
        <is>
          <t>The provided code appears to be a license header for Apache License 2.0 (http://www.apache.org/licenses/LICENSE-2.0). This is an important aspect of open source software development as it specifies the terms under which any derivative works can be distributed and used. The copyright notice also mentions that this file may not be used except in compliance with the License.</t>
        </is>
      </c>
      <c r="E1660" t="n">
        <v>0.0042</v>
      </c>
      <c r="F1660" t="n">
        <v>0.0822</v>
      </c>
      <c r="G1660" t="n">
        <v>0.155</v>
      </c>
      <c r="H1660" t="inlineStr">
        <is>
          <t>The provided code is a Java annotation that applies non-null annotations to all fields and methods in the package retrofit2.internal by default. The @ParametersAreNonnullByDefault annotation has been extended to also apply to method results and fields. This means any field or method annotated with {@literal @}NonNull will have its nullability checked at runtime if it's called</t>
        </is>
      </c>
      <c r="I1660" t="n">
        <v>0.0039</v>
      </c>
      <c r="J1660" t="n">
        <v>0.0299</v>
      </c>
      <c r="K1660" t="n">
        <v>0.0781</v>
      </c>
      <c r="L1660" t="inlineStr">
        <is>
          <t>The provided code is a Java annotation named `Extends` that extends the functionality of `ParametersAreNonnullByDefault` by also applying to method results and fields. This annotation is used for type qualifiers in JSR 305 (Java Annotations API). The purpose of this code seems to be to ensure null safety at compile time using annotations. It applies non-null sem</t>
        </is>
      </c>
      <c r="M1660" t="n">
        <v>0.0042</v>
      </c>
      <c r="N1660" t="n">
        <v>0.0606</v>
      </c>
      <c r="O1660" t="n">
        <v>0.1163</v>
      </c>
    </row>
    <row r="1661">
      <c r="A1661" t="inlineStr">
        <is>
          <t>retrofit</t>
        </is>
      </c>
      <c r="B1661" t="inlineStr">
        <is>
          <t>website/public/2.x/converter-guava/script.js</t>
        </is>
      </c>
      <c r="C1661">
        <f>HYPERLINK("https://github.com/square/retrofit/blob/master/website/public/2.x/converter-guava/script.js")</f>
        <v/>
      </c>
      <c r="D1661" t="inlineStr">
        <is>
          <t>The provided code is a JavaScript function that manipulates the display of HTML elements based on their type and updates tab labels accordingly. The functions are named `show` and `updateTabs`. 
In the `show` function, it iterates over an array of methods (presumably objects or keys), finds each corresponding element by its ID in the DOM using `</t>
        </is>
      </c>
      <c r="E1661" t="n">
        <v>0.0032</v>
      </c>
      <c r="F1661" t="n">
        <v>0.0625</v>
      </c>
      <c r="G1661" t="n">
        <v>0.0775</v>
      </c>
      <c r="H1661" t="inlineStr">
        <is>
          <t>The provided code is a JavaScript function that manipulates the display of HTML elements based on their methods and types. The functions show() and updateTabs() are used to filter and modify these elements respectively. 
In `show`, it iterates through all keys in an object (presumably representing different method names), checks if each key has a certain type associated with it using</t>
        </is>
      </c>
      <c r="I1661" t="n">
        <v>0.003</v>
      </c>
      <c r="J1661" t="n">
        <v>0.058</v>
      </c>
      <c r="K1661" t="n">
        <v>0.0752</v>
      </c>
      <c r="L1661" t="inlineStr">
        <is>
          <t>The provided code is a JavaScript function that manipulates the display of HTML elements based on their type and updates tab labels accordingly. The main purpose of this code seems to be creating an interface for users where different types of methods can be displayed or hidden by clicking corresponding tabs. 
It does so through two functions show() and updateTabs(). In show(), it iterates over</t>
        </is>
      </c>
      <c r="M1661" t="n">
        <v>0.0028</v>
      </c>
      <c r="N1661" t="n">
        <v>0.0822</v>
      </c>
      <c r="O1661" t="n">
        <v>0.1095</v>
      </c>
    </row>
    <row r="1662">
      <c r="A1662" t="inlineStr">
        <is>
          <t>retrofit</t>
        </is>
      </c>
      <c r="B1662" t="inlineStr">
        <is>
          <t>website/public/2.x/adapter-rxjava/script.js</t>
        </is>
      </c>
      <c r="C1662">
        <f>HYPERLINK("https://github.com/square/retrofit/blob/master/website/public/2.x/adapter-rxjava/script.js")</f>
        <v/>
      </c>
      <c r="D1662" t="inlineStr">
        <is>
          <t>The provided code is a JavaScript function that manipulates the display of HTML elements based on their type and updates tab labels accordingly. The functions are named `show` and `updateTabs`. 
In `show`, it iterates over an object called 'methods'. For each key in this object, if the bitwise AND operation between the value at that key (</t>
        </is>
      </c>
      <c r="E1662" t="n">
        <v>0.0032</v>
      </c>
      <c r="F1662" t="n">
        <v>0.0625</v>
      </c>
      <c r="G1662" t="n">
        <v>0.1163</v>
      </c>
      <c r="H1662" t="inlineStr">
        <is>
          <t>The provided code is a JavaScript function named show that displays or hides HTML elements based on their methods and types. It also updates the tabs of these displayed elements. The complexity of this code is O(n), where n represents the number of items in the 'methods' object. This means it has to iterate over each item once. 
Another JavaScript function called updateTabs</t>
        </is>
      </c>
      <c r="I1662" t="n">
        <v>0.0034</v>
      </c>
      <c r="J1662" t="n">
        <v>0.0556</v>
      </c>
      <c r="K1662" t="n">
        <v>0.1111</v>
      </c>
      <c r="L1662" t="inlineStr">
        <is>
          <t>The provided code consists of two functions `show()` and `updateTabs()` which are used to manipulate the display properties of HTML elements based on certain conditions defined by bitwise operations in JavaScript. 
Function show(): This function takes a parameter 'type'. It iterates over all methods present in an object named "methods". For each key in this object,</t>
        </is>
      </c>
      <c r="M1662" t="n">
        <v>0.0039</v>
      </c>
      <c r="N1662" t="n">
        <v>0.0625</v>
      </c>
      <c r="O1662" t="n">
        <v>0.1172</v>
      </c>
    </row>
    <row r="1663">
      <c r="A1663" t="inlineStr">
        <is>
          <t>retrofit</t>
        </is>
      </c>
      <c r="B1663" t="inlineStr">
        <is>
          <t>website/public/2.x/converter-kotlinx-serialization/ui-kit/ui-kit.min.js</t>
        </is>
      </c>
      <c r="C1663">
        <f>HYPERLINK("https://github.com/square/retrofit/blob/master/website/public/2.x/converter-kotlinx-serialization/ui-kit/ui-kit.min.js")</f>
        <v/>
      </c>
      <c r="D1663" t="inlineStr">
        <is>
          <t>The code is a JavaScript implementation that adds event listeners to div elements with the class "button". When a keydown event occurs on these buttons, it checks if the pressed key was 'Enter'. If so, it dispatches a click event on the button element itself.
Another function e() is defined which returns different strings based on window inner width (viewport size): "mobile"</t>
        </is>
      </c>
      <c r="E1663" t="n">
        <v>0</v>
      </c>
      <c r="F1663" t="n">
        <v>0.0571</v>
      </c>
      <c r="G1663" t="n">
        <v>0.0746</v>
      </c>
      <c r="H1663" t="inlineStr">
        <is>
          <t>The code you provided is a JavaScript function that listens for key presses on elements with the "div.button" class and triggers a click event when Enter or any other specified keys are pressed. The complexity of this operation is O(N) because it iterates over all 'div.button' elements in the DOM once to add an event listener.
In addition, there is</t>
        </is>
      </c>
      <c r="I1663" t="n">
        <v>0.003</v>
      </c>
      <c r="J1663" t="n">
        <v>0.0563</v>
      </c>
      <c r="K1663" t="n">
        <v>0.1136</v>
      </c>
      <c r="L1663" t="inlineStr">
        <is>
          <t>The provided code is a JavaScript function that implements keyboard navigation for an interface with buttons and options (selectable items within the button). It uses event delegation to handle key events on dynamically added elements without needing to attach listeners directly to them. The main purpose of this functionality seems to be enabling users to navigate through selectable options using arrow keys or tab key inside a mobile/tablet/desktop</t>
        </is>
      </c>
      <c r="M1663" t="n">
        <v>0.0035</v>
      </c>
      <c r="N1663" t="n">
        <v>0.0513</v>
      </c>
      <c r="O1663" t="n">
        <v>0.1429</v>
      </c>
    </row>
    <row r="1664">
      <c r="A1664" t="inlineStr">
        <is>
          <t>retrofit</t>
        </is>
      </c>
      <c r="B1664" t="inlineStr">
        <is>
          <t>website/public/2.x/converter-kotlinx-serialization/scripts/symbol-parameters-wrapper_deferred.js</t>
        </is>
      </c>
      <c r="C1664">
        <f>HYPERLINK("https://github.com/square/retrofit/blob/master/website/public/2.x/converter-kotlinx-serialization/scripts/symbol-parameters-wrapper_deferred.js")</f>
        <v/>
      </c>
      <c r="D1664" t="inlineStr">
        <is>
          <t>The provided code is a JavaScript function that manipulates the DOM by creating and appending spans with non-breaking spaces ("&amp;nbsp;" characters). The purpose of this might be to provide indents or visual space for certain elements in an HTML document. 
It uses `document.createElement()` to create span elements, which are then populated with four "&amp;nbsp</t>
        </is>
      </c>
      <c r="E1664" t="n">
        <v>0.0034</v>
      </c>
      <c r="F1664" t="n">
        <v>0.0625</v>
      </c>
      <c r="G1664" t="n">
        <v>0.119</v>
      </c>
      <c r="H1664" t="inlineStr">
        <is>
          <t>The provided code is a JavaScript function that wraps the parameters of a symbol in an HTML element with class 'nbsp-indent'. The function creates an indented span and appends it to the document. It also checks for corner cases such as if the block width of the symbol is 0 before trying to create or wrap the parameters. This implementation has complexity O(N), where N represents the</t>
        </is>
      </c>
      <c r="I1664" t="n">
        <v>0.0032</v>
      </c>
      <c r="J1664" t="n">
        <v>0.0519</v>
      </c>
      <c r="K1664" t="n">
        <v>0.1439</v>
      </c>
      <c r="L1664" t="inlineStr">
        <is>
          <t>The provided code is a JavaScript function that wraps the parameters of a symbol in an HTML element with class "nbsp-indent". The purpose of this functionality seems to be related to creating indents for text or symbols in web development. 
The main operation involves generating a span element and appending it to the document body. It also adds a CSS class named 'nbsp-indent'</t>
        </is>
      </c>
      <c r="M1664" t="n">
        <v>0.0034</v>
      </c>
      <c r="N1664" t="n">
        <v>0.0822</v>
      </c>
      <c r="O1664" t="n">
        <v>0.1111</v>
      </c>
    </row>
    <row r="1665">
      <c r="A1665" t="inlineStr">
        <is>
          <t>retrofit</t>
        </is>
      </c>
      <c r="B1665" t="inlineStr">
        <is>
          <t>website/public/2.x/converter-kotlinx-serialization/scripts/navigation-loader.js</t>
        </is>
      </c>
      <c r="C1665">
        <f>HYPERLINK("https://github.com/square/retrofit/blob/master/website/public/2.x/converter-kotlinx-serialization/scripts/navigation-loader.js")</f>
        <v/>
      </c>
      <c r="D1665" t="inlineStr">
        <is>
          <t>ThegivenJavaScriptcodefetchesanHTMLfilecontainingthenavigationelementsfromaserverusingFetchAPI,displaysitonasidesmenuinpage,updateslinks'sURLtoabsoluteone,hidesunnecessarypartsoffooternavigation,shows/hidescurrentpagelinksaccordingtotargetelement,andhandlesfooteranchorsclicksforsc</t>
        </is>
      </c>
      <c r="E1665" t="n">
        <v>0</v>
      </c>
      <c r="F1665" t="n">
        <v>0</v>
      </c>
      <c r="G1665" t="n">
        <v>0</v>
      </c>
      <c r="H1665" t="inlineStr">
        <is>
          <t>The code you provided is a JavaScript function that fetches and displays navigation pages from the given path to root URL. The implementation involves several steps including setting href attributes for all anchor tags with specific class names, adding or removing classes based on certain conditions, revealing navigation elements corresponding to current page, scrolling to selected element in the navigation panel, and handling click events of footer anchors.</t>
        </is>
      </c>
      <c r="I1665" t="n">
        <v>0.0027</v>
      </c>
      <c r="J1665" t="n">
        <v>0.0526</v>
      </c>
      <c r="K1665" t="n">
        <v>0.1071</v>
      </c>
      <c r="L1665" t="inlineStr">
        <is>
          <t>The provided code is a JavaScript function that fetches and displays navigation data from an HTML file located at pathToRoot + "navigation.html". The purpose of this function seems to be to update the side menu in a web application with the content retrieved from the navigation page. 
It does so by first retrieving the text contents of the navigation page using fetch API which</t>
        </is>
      </c>
      <c r="M1665" t="n">
        <v>0.0028</v>
      </c>
      <c r="N1665" t="n">
        <v>0.0556</v>
      </c>
      <c r="O1665" t="n">
        <v>0.1103</v>
      </c>
    </row>
    <row r="1666">
      <c r="A1666" t="inlineStr">
        <is>
          <t>retrofit</t>
        </is>
      </c>
      <c r="B1666" t="inlineStr">
        <is>
          <t>website/public/2.x/converter-kotlinx-serialization/scripts/prism.js</t>
        </is>
      </c>
      <c r="C1666">
        <f>HYPERLINK("https://github.com/square/retrofit/blob/master/website/public/2.x/converter-kotlinx-serialization/scripts/prism.js")</f>
        <v/>
      </c>
      <c r="D1666" t="inlineStr">
        <is>
          <t>The provided code is a JavaScript function that initializes the Prism library for syntax highlighting in code snippets. It uses regular expressions to detect language hints within HTML comments and applies them to corresponding code blocks. The Prism object can also be manually extended with additional languages or plugins. However, this summary does not include any actual functionality of the code as it's incomplete.</t>
        </is>
      </c>
      <c r="E1666" t="n">
        <v>0.0034</v>
      </c>
      <c r="F1666" t="n">
        <v>0.0548</v>
      </c>
      <c r="G1666" t="n">
        <v>0.1103</v>
      </c>
      <c r="H1666" t="inlineStr">
        <is>
          <t>The provided code is a JavaScript implementation of the Prism syntax highlighter library. It defines a function `Prism` that takes an object as input and returns another function which can be used to highlight code snippets in different languages. The returned function uses regular expressions to identify language tags within the code snippet and then applies appropriate highlighting rules based on those identifications.</t>
        </is>
      </c>
      <c r="I1666" t="n">
        <v>0.0029</v>
      </c>
      <c r="J1666" t="n">
        <v>0.08450000000000001</v>
      </c>
      <c r="K1666" t="n">
        <v>0.1111</v>
      </c>
      <c r="L1666" t="inlineStr">
        <is>
          <t>The provided code appears to be a JavaScript implementation of Prism.js - a lightweight syntax highlighting library. The main purpose seems to be the initialization and setup of this library along with its manual mode functionality and utilities for encoding, type checking, object cloning etc.
The function `Prism` is defined which takes an argument 'e'. This could represent some sort of configuration</t>
        </is>
      </c>
      <c r="M1666" t="n">
        <v>0.0069</v>
      </c>
      <c r="N1666" t="n">
        <v>0.0857</v>
      </c>
      <c r="O1666" t="n">
        <v>0.2355</v>
      </c>
    </row>
    <row r="1667">
      <c r="A1667" t="inlineStr">
        <is>
          <t>retrofit</t>
        </is>
      </c>
      <c r="B1667" t="inlineStr">
        <is>
          <t>website/public/2.x/converter-kotlinx-serialization/scripts/main.js</t>
        </is>
      </c>
      <c r="C1667">
        <f>HYPERLINK("https://github.com/square/retrofit/blob/master/website/public/2.x/converter-kotlinx-serialization/scripts/main.js")</f>
        <v/>
      </c>
      <c r="D1667" t="inlineStr">
        <is>
          <t>ThegivenJavaScriptarrowfunctionisexportingSVGiconsasmodulesbasedoninputparameters.ItusesaobjectwithkeysrepresentingsvgiconsthatmaptofunctionsthatreturnSVGXMLstrings.EachkeyinthisobjectrepresentsasingleSVGicon.
- SVGIcon1hasatinyspiralpatterninsquareformedbyonepoint.
- SVGIcon</t>
        </is>
      </c>
      <c r="E1667" t="n">
        <v>0</v>
      </c>
      <c r="F1667" t="n">
        <v>0</v>
      </c>
      <c r="G1667" t="n">
        <v>0</v>
      </c>
      <c r="H1667" t="inlineStr">
        <is>
          <t>The provided code is a JavaScript function that exports SVG (Scalable Vector Graphics) icons based on the input number 'n'. The complexity of this code is O(N), where N represents the number of keys in an object. Each key corresponds to a different icon and each value is a callback function exporting one of these icons as string data. 
# README: This repository contains</t>
        </is>
      </c>
      <c r="I1667" t="n">
        <v>0.0034</v>
      </c>
      <c r="J1667" t="n">
        <v>0.0556</v>
      </c>
      <c r="K1667" t="n">
        <v>0.1103</v>
      </c>
      <c r="L1667" t="inlineStr">
        <is>
          <t>ThegivenJavaScriptcodefileimportscustomSVGiconsbasedonuserinteraction.ItusesaobjectmapperwhichmapsintegersfromusertothecorrespondingSVGiconinamemap.Forinstance,ifusersubmitsinteger1817,thenthiswillreturnthefirstcustomSVGicondescribedinthesvgexportsinlinecommentsinsourced</t>
        </is>
      </c>
      <c r="M1667" t="n">
        <v>0</v>
      </c>
      <c r="N1667" t="n">
        <v>0</v>
      </c>
      <c r="O1667" t="n">
        <v>0</v>
      </c>
    </row>
    <row r="1668">
      <c r="A1668" t="inlineStr">
        <is>
          <t>retrofit</t>
        </is>
      </c>
      <c r="B1668" t="inlineStr">
        <is>
          <t>website/public/2.x/converter-kotlinx-serialization/scripts/clipboard.js</t>
        </is>
      </c>
      <c r="C1668">
        <f>HYPERLINK("https://github.com/square/retrofit/blob/master/website/public/2.x/converter-kotlinx-serialization/scripts/clipboard.js")</f>
        <v/>
      </c>
      <c r="D1668" t="inlineStr">
        <is>
          <t>The provided code is a script that adds event listeners to all elements with the class 'copy-icon'. When these icons are clicked, it copies their content and places them in the clipboard. It also has functionality for copying anchor links based on an attribute called 'pointing-to'. The source code uses the Apache 2.0 license as specified by the copyright notice at the</t>
        </is>
      </c>
      <c r="E1668" t="n">
        <v>0.0035</v>
      </c>
      <c r="F1668" t="n">
        <v>0.0274</v>
      </c>
      <c r="G1668" t="n">
        <v>0.0746</v>
      </c>
      <c r="H1668" t="inlineStr">
        <is>
          <t>The provided code is a JavaScript function that adds two numbers together and returns the result. The functionality of this code can be summarized as follows: "It takes in two parameters (numbers), performs an addition operation on them, and then returns the resulting sum." This code has a time complexity of O(1).
In contrast, the second piece of code you have provided appears to</t>
        </is>
      </c>
      <c r="I1668" t="n">
        <v>0.0037</v>
      </c>
      <c r="J1668" t="n">
        <v>0.0548</v>
      </c>
      <c r="K1668" t="n">
        <v>0.1103</v>
      </c>
      <c r="L1668" t="inlineStr">
        <is>
          <t>The provided JavaScript code is a part of the frontend functionality for an application that enables copying content from various elements on the page when certain icons are clicked. The main purpose of this code is to add event listeners to different HTML elements and define what should happen when these specific events occur (e.g., clicking 'copy'-icons).
It takes in no inputs but produces outputs by mod</t>
        </is>
      </c>
      <c r="M1668" t="n">
        <v>0.0032</v>
      </c>
      <c r="N1668" t="n">
        <v>0.0519</v>
      </c>
      <c r="O1668" t="n">
        <v>0.1079</v>
      </c>
    </row>
    <row r="1669">
      <c r="A1669" t="inlineStr">
        <is>
          <t>retrofit</t>
        </is>
      </c>
      <c r="B1669" t="inlineStr">
        <is>
          <t>website/public/2.x/converter-kotlinx-serialization/scripts/platform-content-handler.js</t>
        </is>
      </c>
      <c r="C1669">
        <f>HYPERLINK("https://github.com/square/retrofit/blob/master/website/public/2.x/converter-kotlinx-serialization/scripts/platform-content-handler.js")</f>
        <v/>
      </c>
      <c r="D1669" t="inlineStr">
        <is>
          <t>&lt;!-- Please provide a concise and clear summary of the functionality of this provided code --&gt;
The given code is a wrapper around local storage to prevent errors in cases where local storage might not be accessible due to certain conditions such as when Dokka is viewed via iframe or when there are issues with local storage (as mentioned in https://github.com/Kotlin/d</t>
        </is>
      </c>
      <c r="E1669" t="n">
        <v>0.0036</v>
      </c>
      <c r="F1669" t="n">
        <v>0.0282</v>
      </c>
      <c r="G1669" t="n">
        <v>0.1128</v>
      </c>
      <c r="H1669" t="inlineStr">
        <is>
          <t>The code you provided is a JavaScript function that adds two numbers together and it has a time complexity of O(1), meaning the execution time does not change with an increase in input size. The function uses local storage to store data if available, otherwise returns null or logs errors when trying to access non-existing keys.
&lt;jupyter_text&gt;
Task 5:</t>
        </is>
      </c>
      <c r="I1669" t="n">
        <v>0.0031</v>
      </c>
      <c r="J1669" t="n">
        <v>0.0571</v>
      </c>
      <c r="K1669" t="n">
        <v>0.07630000000000001</v>
      </c>
      <c r="L1669" t="inlineStr">
        <is>
          <t>eyJjdHkiOiJKUTI1TDYyWlRrbEwyQTJOekF6bGpZMVptWWtkSFIwPSIsInBybiI6IjMiLCJicm93bm5tYXAiOiJhIGhlcmUgeW91LgogICAgIE</t>
        </is>
      </c>
      <c r="M1669" t="n">
        <v>0</v>
      </c>
      <c r="N1669" t="n">
        <v>0</v>
      </c>
      <c r="O1669" t="n">
        <v>0</v>
      </c>
    </row>
    <row r="1670">
      <c r="A1670" t="inlineStr">
        <is>
          <t>retrofit</t>
        </is>
      </c>
      <c r="B1670" t="inlineStr">
        <is>
          <t>website/public/2.x/converter-kotlinx-serialization/scripts/sourceset_dependencies.js</t>
        </is>
      </c>
      <c r="C1670">
        <f>HYPERLINK("https://github.com/square/retrofit/blob/master/website/public/2.x/converter-kotlinx-serialization/scripts/sourceset_dependencies.js")</f>
        <v/>
      </c>
      <c r="D1670" t="inlineStr">
        <is>
          <t>The provided code is a dependency declaration for the "Retrofit Converters" library in Kotlin using the "KotlinX Serialization". The repository contains backend software components and implements core algorithms. It has O(N) complexity as it depends on N number of dependencies. This project was initiated with an initial commit. The size of this code base is</t>
        </is>
      </c>
      <c r="E1670" t="n">
        <v>0.008800000000000001</v>
      </c>
      <c r="F1670" t="n">
        <v>0.09379999999999999</v>
      </c>
      <c r="G1670" t="n">
        <v>0.3357</v>
      </c>
      <c r="H1670" t="inlineStr">
        <is>
          <t>ThegivenKotlinsourcecodeisforasimplemathematicaloperationcalled"add".Itperformsarithmeticoperationsbyaddingtwonumberstogether.Dependsonoretrofitservercommunicationlibrary,"kotlinx-serialization",and"DokkaHTML"togeneratedocumentation. ThecomplexityofthisalgorithmisindicatedasO(1),meaning</t>
        </is>
      </c>
      <c r="I1670" t="n">
        <v>0</v>
      </c>
      <c r="J1670" t="n">
        <v>0.1</v>
      </c>
      <c r="K1670" t="n">
        <v>0</v>
      </c>
      <c r="L1670" t="inlineStr">
        <is>
          <t>&lt;!-- This is a placeholder for the code summary --&gt;
```python
# The provided source code file contains backend software components that utilize core algorithms to manage and process data efficiently. 
# It has two main functionalities - 'getAllUsers()', which fetches all users from the database using SQL queries, and 'addUser(user)', which adds new user details into</t>
        </is>
      </c>
      <c r="M1670" t="n">
        <v>0.0045</v>
      </c>
      <c r="N1670" t="n">
        <v>0.1639</v>
      </c>
      <c r="O1670" t="n">
        <v>0.1938</v>
      </c>
    </row>
    <row r="1671">
      <c r="A1671" t="inlineStr">
        <is>
          <t>retrofit</t>
        </is>
      </c>
      <c r="B1671" t="inlineStr">
        <is>
          <t>website/public/2.x/converter-gson/script.js</t>
        </is>
      </c>
      <c r="C1671">
        <f>HYPERLINK("https://github.com/square/retrofit/blob/master/website/public/2.x/converter-gson/script.js")</f>
        <v/>
      </c>
      <c r="D1671" t="inlineStr">
        <is>
          <t>The provided code is a JavaScript function that manipulates the display of HTML elements based on their associated type and category (tab). It also updates tab labels when certain conditions are met. 
In `show()` function, it iterates over an object called 'methods'. For each key-value pair in this object, if the value matches with the input parameter ('type'),</t>
        </is>
      </c>
      <c r="E1671" t="n">
        <v>0.0031</v>
      </c>
      <c r="F1671" t="n">
        <v>0.0597</v>
      </c>
      <c r="G1671" t="n">
        <v>0.1154</v>
      </c>
      <c r="H1671" t="inlineStr">
        <is>
          <t>The provided code is a JavaScript function that manipulates the display of HTML elements based on their methods and types. The functions show() and updateTabs() are used to filter and modify these elements respectively. 
In `show()`, it iterates over all keys in 'methods', checks if they have certain type set (bitwise AND operation), displays or hides them accordingly</t>
        </is>
      </c>
      <c r="I1671" t="n">
        <v>0.0031</v>
      </c>
      <c r="J1671" t="n">
        <v>0.0606</v>
      </c>
      <c r="K1671" t="n">
        <v>0.0769</v>
      </c>
      <c r="L1671" t="inlineStr">
        <is>
          <t>The provided code is a JavaScript function that manipulates the display of HTML elements based on their type and visibility status. The main purpose of this code is to switch between different views or tabs in an application by hiding some elements when they are not visible and showing them again when they become visible. 
It does so through two functions `show()` and `updateTabs()</t>
        </is>
      </c>
      <c r="M1671" t="n">
        <v>0.0028</v>
      </c>
      <c r="N1671" t="n">
        <v>0.0833</v>
      </c>
      <c r="O1671" t="n">
        <v>0.1103</v>
      </c>
    </row>
    <row r="1672">
      <c r="A1672" t="inlineStr">
        <is>
          <t>retrofit</t>
        </is>
      </c>
      <c r="B1672" t="inlineStr">
        <is>
          <t>website/public/2.x/retrofit/script.js</t>
        </is>
      </c>
      <c r="C1672">
        <f>HYPERLINK("https://github.com/square/retrofit/blob/master/website/public/2.x/retrofit/script.js")</f>
        <v/>
      </c>
      <c r="D1672" t="inlineStr">
        <is>
          <t>The provided code is a JavaScript function that manipulates the display of HTML elements based on their types and updates tab labels accordingly. The functions `show()` and `updateTabs()` are defined to handle these operations respectively. 
In the `show()` function, it iterates over an object (methods), checks if each method type matches with input parameter 'type</t>
        </is>
      </c>
      <c r="E1672" t="n">
        <v>0.0033</v>
      </c>
      <c r="F1672" t="n">
        <v>0.0635</v>
      </c>
      <c r="G1672" t="n">
        <v>0.07870000000000001</v>
      </c>
      <c r="H1672" t="inlineStr">
        <is>
          <t>The provided code is a JavaScript function that updates the display of HTML elements based on their methods and types. It also changes the tab names to either active or inactive depending on whether they are selected or not respectively. The complexity of this code is O(n), as it iterates over an array (`methods` for `show()` and `tabs` for `updateTabs()`</t>
        </is>
      </c>
      <c r="I1672" t="n">
        <v>0.003</v>
      </c>
      <c r="J1672" t="n">
        <v>0.058</v>
      </c>
      <c r="K1672" t="n">
        <v>0.1136</v>
      </c>
      <c r="L1672" t="inlineStr">
        <is>
          <t>```python
The provided code is a JavaScript function that manipulates the display of HTML elements based on their methods and tabs. 
It has two main functions: `show()` and `updateTabs()`. The 'show()' function iterates over each method in an object (presumably containing different types) and displays or hides rows depending on whether they</t>
        </is>
      </c>
      <c r="M1672" t="n">
        <v>0.0035</v>
      </c>
      <c r="N1672" t="n">
        <v>0.0667</v>
      </c>
      <c r="O1672" t="n">
        <v>0.0806</v>
      </c>
    </row>
    <row r="1673">
      <c r="A1673" t="inlineStr">
        <is>
          <t>retrofit</t>
        </is>
      </c>
      <c r="B1673" t="inlineStr">
        <is>
          <t>website/public/2.x/converter-wire/script.js</t>
        </is>
      </c>
      <c r="C1673">
        <f>HYPERLINK("https://github.com/square/retrofit/blob/master/website/public/2.x/converter-wire/script.js")</f>
        <v/>
      </c>
      <c r="D1673" t="inlineStr">
        <is>
          <t>The provided code is a JavaScript function that manipulates the display of HTML elements based on their type and updates tab labels accordingly. The functions are part of an application with complex algorithms implemented in backend software components. 
In `show` function, it iterates over all methods (assumed to be objects), checks if each method has certain 'type', displays or hides</t>
        </is>
      </c>
      <c r="E1673" t="n">
        <v>0.0036</v>
      </c>
      <c r="F1673" t="n">
        <v>0.0588</v>
      </c>
      <c r="G1673" t="n">
        <v>0.1515</v>
      </c>
      <c r="H1673" t="inlineStr">
        <is>
          <t>The provided code is a JavaScript function that shows and updates tabs based on different types of methods or algorithms implemented in the software system. The functions are named 'show' and 'updateTabs'. 
In the show function, it iterates over an object (presumably representing some kind of method catalogue), checks if each key corresponds to a certain type, then displays or h</t>
        </is>
      </c>
      <c r="I1673" t="n">
        <v>0.0036</v>
      </c>
      <c r="J1673" t="n">
        <v>0.08699999999999999</v>
      </c>
      <c r="K1673" t="n">
        <v>0.1504</v>
      </c>
      <c r="L1673" t="inlineStr">
        <is>
          <t>The provided code is a JavaScript function that manipulates the display of HTML elements based on certain conditions and updates tab labels accordingly. The main purpose of this code is to show or hide rows in a table dynamically by changing their CSS properties and updating tab labels when specific events occur. 
It takes an argument 'type', which determines what kind of rows are shown (based on</t>
        </is>
      </c>
      <c r="M1673" t="n">
        <v>0.0027</v>
      </c>
      <c r="N1673" t="n">
        <v>0.0533</v>
      </c>
      <c r="O1673" t="n">
        <v>0.1079</v>
      </c>
    </row>
    <row r="1674">
      <c r="A1674" t="inlineStr">
        <is>
          <t>retrofit</t>
        </is>
      </c>
      <c r="B1674" t="inlineStr">
        <is>
          <t>website/public/2.x/adapter-rxjava3/script.js</t>
        </is>
      </c>
      <c r="C1674">
        <f>HYPERLINK("https://github.com/square/retrofit/blob/master/website/public/2.x/adapter-rxjava3/script.js")</f>
        <v/>
      </c>
      <c r="D1674" t="inlineStr">
        <is>
          <t>The provided code is a JavaScript function that manipulates the display of HTML elements based on their type and updates tab labels accordingly. The functions `show` and `updateTabs` are defined to perform these tasks respectively. 
In the `show` function, it iterates over an object called 'methods'. For each key-value pair in this object, it checks if</t>
        </is>
      </c>
      <c r="E1674" t="n">
        <v>0.0033</v>
      </c>
      <c r="F1674" t="n">
        <v>0.0615</v>
      </c>
      <c r="G1674" t="n">
        <v>0.1172</v>
      </c>
      <c r="H1674" t="inlineStr">
        <is>
          <t>The provided code is a JavaScript function that manipulates the display of HTML elements based on different conditions and types. It includes two functions named `show` and `updateTabs`. 
- The `show` function iterates over an object called 'methods', for each key in this object it checks if its value has a certain type (passed as argument to the method). If</t>
        </is>
      </c>
      <c r="I1674" t="n">
        <v>0.003</v>
      </c>
      <c r="J1674" t="n">
        <v>0.0597</v>
      </c>
      <c r="K1674" t="n">
        <v>0.1136</v>
      </c>
      <c r="L1674" t="inlineStr">
        <is>
          <t>The provided code is a JavaScript function that manipulates the display of HTML elements based on certain conditions and updates tab labels accordingly. It has two main functions - `show()` and `updateTabs()`. 
Function show(): This function takes in an argument 'type'. The purpose of this function is to iterate over all methods (presumably objects) within</t>
        </is>
      </c>
      <c r="M1674" t="n">
        <v>0.004</v>
      </c>
      <c r="N1674" t="n">
        <v>0.0645</v>
      </c>
      <c r="O1674" t="n">
        <v>0.1181</v>
      </c>
    </row>
    <row r="1675">
      <c r="A1675" t="inlineStr">
        <is>
          <t>retrofit</t>
        </is>
      </c>
      <c r="B1675" t="inlineStr">
        <is>
          <t>website/public/2.x/adapter-rxjava2/script.js</t>
        </is>
      </c>
      <c r="C1675">
        <f>HYPERLINK("https://github.com/square/retrofit/blob/master/website/public/2.x/adapter-rxjava2/script.js")</f>
        <v/>
      </c>
      <c r="D1675" t="inlineStr">
        <is>
          <t>The provided code is a JavaScript function that manipulates the display of HTML elements based on their type and updates tab labels accordingly. 
In `show()` function, it iterates over all methods in an object (presumably named 'methods'), gets each corresponding element by its id from the document, checks if the method type matches with the input parameter, then displays or</t>
        </is>
      </c>
      <c r="E1675" t="n">
        <v>0.003</v>
      </c>
      <c r="F1675" t="n">
        <v>0.0588</v>
      </c>
      <c r="G1675" t="n">
        <v>0.07580000000000001</v>
      </c>
      <c r="H1675" t="inlineStr">
        <is>
          <t>The provided code consists of two functions show() and updateTabs(). The function show() iterates through the methods object using a for loop to display or hide rows in an HTML document based on their type. The method show takes as input a 'type', checks if each key (method name) is present within that particular type, and displays or hides accordingly by changing CSS properties.</t>
        </is>
      </c>
      <c r="I1675" t="n">
        <v>0.0028</v>
      </c>
      <c r="J1675" t="n">
        <v>0.0556</v>
      </c>
      <c r="K1675" t="n">
        <v>0.0735</v>
      </c>
      <c r="L1675" t="inlineStr">
        <is>
          <t>The provided code consists of two functions - `show()` and `updateTabs()`. 
Function 'show': This function is used to display or hide rows based on the type passed as an argument in a table. It iterates over all methods (rows) present in the document and checks if each method matches with the given type using bitwise AND operation.</t>
        </is>
      </c>
      <c r="M1675" t="n">
        <v>0.0038</v>
      </c>
      <c r="N1675" t="n">
        <v>0.09379999999999999</v>
      </c>
      <c r="O1675" t="n">
        <v>0.1163</v>
      </c>
    </row>
    <row r="1676">
      <c r="A1676" t="inlineStr">
        <is>
          <t>retrofit</t>
        </is>
      </c>
      <c r="B1676" t="inlineStr">
        <is>
          <t>website/public/2.x/converter-scalars/script.js</t>
        </is>
      </c>
      <c r="C1676">
        <f>HYPERLINK("https://github.com/square/retrofit/blob/master/website/public/2.x/converter-scalars/script.js")</f>
        <v/>
      </c>
      <c r="D1676" t="inlineStr">
        <is>
          <t>The provided code is a JavaScript function that manipulates the display of HTML elements based on certain conditions and updates tab navigation links accordingly. The functions are named `show` and `updateTabs`. 
In the `show` function, it iterates over an array called 'methods', finds each element with its corresponding ID in the DOM using document.getElementById(), checks if</t>
        </is>
      </c>
      <c r="E1676" t="n">
        <v>0.0033</v>
      </c>
      <c r="F1676" t="n">
        <v>0.0615</v>
      </c>
      <c r="G1676" t="n">
        <v>0.0781</v>
      </c>
      <c r="H1676" t="inlineStr">
        <is>
          <t>The provided code is a JavaScript function that shows and updates tabs based on the type of method being used in an application. The show() function iterates through all methods and displays or hides them depending on whether they match with the given 'type'. Similarly, updateTabs() function changes the tab display to active if it matches with the current 'type', otherwise it becomes non-active. Both</t>
        </is>
      </c>
      <c r="I1676" t="n">
        <v>0.0028</v>
      </c>
      <c r="J1676" t="n">
        <v>0.0541</v>
      </c>
      <c r="K1676" t="n">
        <v>0.073</v>
      </c>
      <c r="L1676" t="inlineStr">
        <is>
          <t>The provided code consists of two JavaScript functions that manipulate the DOM (Document Object Model) based on user interactions and type filters. 
Function `show()` is responsible for displaying or hiding rows in a table based on whether their corresponding method key matches with the given type. It also updates tab labels dynamically to reflect current filter settings. The time complexity of this function is</t>
        </is>
      </c>
      <c r="M1676" t="n">
        <v>0.0028</v>
      </c>
      <c r="N1676" t="n">
        <v>0.0556</v>
      </c>
      <c r="O1676" t="n">
        <v>0.1103</v>
      </c>
    </row>
    <row r="1677">
      <c r="A1677" t="inlineStr">
        <is>
          <t>retrofit</t>
        </is>
      </c>
      <c r="B1677" t="inlineStr">
        <is>
          <t>website/public/2.x/converter-jaxb/script.js</t>
        </is>
      </c>
      <c r="C1677">
        <f>HYPERLINK("https://github.com/square/retrofit/blob/master/website/public/2.x/converter-jaxb/script.js")</f>
        <v/>
      </c>
      <c r="D1677" t="inlineStr">
        <is>
          <t>The provided code is a JavaScript function that manipulates the display of HTML elements based on certain conditions and updates tab labels accordingly. The `show` function iterates over an object named 'methods', for each key-value pair in this object it checks if the value bitwise ANDed with the input parameter 'type' equals 0 or not. If true, it sets the style</t>
        </is>
      </c>
      <c r="E1677" t="n">
        <v>0.003</v>
      </c>
      <c r="F1677" t="n">
        <v>0.0571</v>
      </c>
      <c r="G1677" t="n">
        <v>0.1128</v>
      </c>
      <c r="H1677" t="inlineStr">
        <is>
          <t>The provided code is a JavaScript function that manipulates the display of HTML elements based on their methods and types. The functions `show` and `updateTabs` are used to show or hide certain rows in an HTML table depending on whether they match a given type. 
In detail:
- Function 'show': This function takes as input a parameter 'type'. It iterates</t>
        </is>
      </c>
      <c r="I1677" t="n">
        <v>0.0036</v>
      </c>
      <c r="J1677" t="n">
        <v>0.0597</v>
      </c>
      <c r="K1677" t="n">
        <v>0.1136</v>
      </c>
      <c r="L1677" t="inlineStr">
        <is>
          <t>The provided code is a JavaScript function that manipulates the display of HTML elements based on certain conditions and updates tab labels accordingly. The main purpose of this code seems to be dynamic switching between different views or tabs in an application. 
Here are some key operations identified from the logic:
1. It iterates over all methods (presumably properties) contained within '</t>
        </is>
      </c>
      <c r="M1677" t="n">
        <v>0.0029</v>
      </c>
      <c r="N1677" t="n">
        <v>0.08699999999999999</v>
      </c>
      <c r="O1677" t="n">
        <v>0.1119</v>
      </c>
    </row>
    <row r="1678">
      <c r="A1678" t="inlineStr">
        <is>
          <t>retrofit</t>
        </is>
      </c>
      <c r="B1678" t="inlineStr">
        <is>
          <t>website/public/2.x/converter-simplexml/script.js</t>
        </is>
      </c>
      <c r="C1678">
        <f>HYPERLINK("https://github.com/square/retrofit/blob/master/website/public/2.x/converter-simplexml/script.js")</f>
        <v/>
      </c>
      <c r="D1678" t="inlineStr">
        <is>
          <t># Summary of the provided code
The given JavaScript code consists of two functions - `show()` and `updateTabs()`. 
## Function show():
- This function is used to display or hide rows in a webpage based on their type (passed as an argument). It iterates over all methods defined in the 'methods' object. For each method key</t>
        </is>
      </c>
      <c r="E1678" t="n">
        <v>0.0039</v>
      </c>
      <c r="F1678" t="n">
        <v>0.0667</v>
      </c>
      <c r="G1678" t="n">
        <v>0.1172</v>
      </c>
      <c r="H1678" t="inlineStr">
        <is>
          <t>The provided code is a JavaScript function named show that displays or hides HTML elements based on their methods and types. The complexity of this function is O(n). It also contains another function called updateTabs which updates the tabs in an interface by changing its display property according to given type. Both functions are part of backend software components implementing core algorithms.
In short, these two pieces</t>
        </is>
      </c>
      <c r="I1678" t="n">
        <v>0.0036</v>
      </c>
      <c r="J1678" t="n">
        <v>0.1053</v>
      </c>
      <c r="K1678" t="n">
        <v>0.3068</v>
      </c>
      <c r="L1678" t="inlineStr">
        <is>
          <t>The provided code is a JavaScript function named "show". This function takes an argument 'type'. It iterates over the methods object and checks if each method has bitwise AND operation with type as true or false. If it returns true, then that row in HTML document will be displayed otherwise hidden. 
Another function called "updateTabs" updates tabs based on their types</t>
        </is>
      </c>
      <c r="M1678" t="n">
        <v>0.0036</v>
      </c>
      <c r="N1678" t="n">
        <v>0.08699999999999999</v>
      </c>
      <c r="O1678" t="n">
        <v>0.1128</v>
      </c>
    </row>
    <row r="1679">
      <c r="A1679" t="inlineStr">
        <is>
          <t>retrofit</t>
        </is>
      </c>
      <c r="B1679" t="inlineStr">
        <is>
          <t>website/public/2.x/retrofit-mock/script.js</t>
        </is>
      </c>
      <c r="C1679">
        <f>HYPERLINK("https://github.com/square/retrofit/blob/master/website/public/2.x/retrofit-mock/script.js")</f>
        <v/>
      </c>
      <c r="D1679" t="inlineStr">
        <is>
          <t>The provided code is a JavaScript function that manipulates the display of HTML elements based on their type and updates tab labels accordingly. It uses two functions `show()` and `updateTabs()`. 
In the `show()` function, it iterates over an object named 'methods'. For each key in this object, it gets the corresponding element by its ID</t>
        </is>
      </c>
      <c r="E1679" t="n">
        <v>0.0033</v>
      </c>
      <c r="F1679" t="n">
        <v>0.0635</v>
      </c>
      <c r="G1679" t="n">
        <v>0.1181</v>
      </c>
      <c r="H1679" t="inlineStr">
        <is>
          <t>The provided code is a JavaScript function named show that displays or hides HTML elements based on their methods and types. It also updates the tabs of an interface to display different sets of data corresponding to various method types. The complexity of this code is O(n), as it iterates over each element in 'methods', which could be n number of items depending upon the size of your dataset.</t>
        </is>
      </c>
      <c r="I1679" t="n">
        <v>0.0026</v>
      </c>
      <c r="J1679" t="n">
        <v>0.0513</v>
      </c>
      <c r="K1679" t="n">
        <v>0.1064</v>
      </c>
      <c r="L1679" t="inlineStr">
        <is>
          <t>The provided code is a JavaScript function that manipulates the display of HTML elements based on certain conditions and updates tab labels accordingly. The main purpose of this code is to provide dynamic behavior for tabs in an interface by showing or hiding them depending on their type and updating the corresponding label when they are clicked. 
It does so through two functions `show()` and `updateT</t>
        </is>
      </c>
      <c r="M1679" t="n">
        <v>0.0028</v>
      </c>
      <c r="N1679" t="n">
        <v>0.08110000000000001</v>
      </c>
      <c r="O1679" t="n">
        <v>0.1087</v>
      </c>
    </row>
    <row r="1680">
      <c r="A1680" t="inlineStr">
        <is>
          <t>retrofit</t>
        </is>
      </c>
      <c r="B1680" t="inlineStr">
        <is>
          <t>website/public/2.x/converter-jackson/script.js</t>
        </is>
      </c>
      <c r="C1680">
        <f>HYPERLINK("https://github.com/square/retrofit/blob/master/website/public/2.x/converter-jackson/script.js")</f>
        <v/>
      </c>
      <c r="D1680" t="inlineStr">
        <is>
          <t>The provided code is a JavaScript function that manipulates the display of HTML elements based on their type and updates tab navigation links accordingly. The functions `show()` and `updateTabs()` are defined to handle these operations respectively. 
In the `show()` function, it iterates over an object named 'methods'. For each key-value pair in this object</t>
        </is>
      </c>
      <c r="E1680" t="n">
        <v>0.0034</v>
      </c>
      <c r="F1680" t="n">
        <v>0.0635</v>
      </c>
      <c r="G1680" t="n">
        <v>0.119</v>
      </c>
      <c r="H1680" t="inlineStr">
        <is>
          <t>The provided code is a JavaScript function that manipulates the display of HTML elements based on their methods and types. The functions are named `show` and `updateTabs`. 
In the `show` function, it iterates over an object (presumably representing different method types), checks if each key matches with the input type parameter using bitwise AND operation. If they</t>
        </is>
      </c>
      <c r="I1680" t="n">
        <v>0.0032</v>
      </c>
      <c r="J1680" t="n">
        <v>0.0615</v>
      </c>
      <c r="K1680" t="n">
        <v>0.0775</v>
      </c>
      <c r="L1680" t="inlineStr">
        <is>
          <t>The provided code consists of two functions `show()` and `updateTabs()` which are used to manipulate the DOM (Document Object Model) in a web application. 
Function `show(type)` iterates over an object named 'methods', for each key it checks if the bitwise AND operation between the value at that key in methods and input parameter</t>
        </is>
      </c>
      <c r="M1680" t="n">
        <v>0.0035</v>
      </c>
      <c r="N1680" t="n">
        <v>0.0645</v>
      </c>
      <c r="O1680" t="n">
        <v>0.08</v>
      </c>
    </row>
    <row r="1681">
      <c r="A1681" t="inlineStr">
        <is>
          <t>retrofit</t>
        </is>
      </c>
      <c r="B1681" t="inlineStr">
        <is>
          <t>website/public/2.x/adapter-guava/script.js</t>
        </is>
      </c>
      <c r="C1681">
        <f>HYPERLINK("https://github.com/square/retrofit/blob/master/website/public/2.x/adapter-guava/script.js")</f>
        <v/>
      </c>
      <c r="D1681" t="inlineStr">
        <is>
          <t>The provided code is a JavaScript function that manipulates the display of HTML elements based on certain conditions and updates tab labels accordingly. 
In `show()` function, it iterates over an object 'methods', where each key-value pair represents a method name and its associated type (bitwise). If the given 'type' matches any bit in the methods' types,</t>
        </is>
      </c>
      <c r="E1681" t="n">
        <v>0.0033</v>
      </c>
      <c r="F1681" t="n">
        <v>0.0615</v>
      </c>
      <c r="G1681" t="n">
        <v>0.0781</v>
      </c>
      <c r="H1681" t="inlineStr">
        <is>
          <t>The provided code is a JavaScript function named show that displays or hides HTML elements based on the type of methods being shown and updates tab labels accordingly. The complexity of this function is O(n), where n represents the number of tabs in the application. It also contains another function updateTabs which has a time complexity of O(m), where m stands for the total number of values within '</t>
        </is>
      </c>
      <c r="I1681" t="n">
        <v>0.0026</v>
      </c>
      <c r="J1681" t="n">
        <v>0.0513</v>
      </c>
      <c r="K1681" t="n">
        <v>0.1064</v>
      </c>
      <c r="L1681" t="inlineStr">
        <is>
          <t>The provided code is a JavaScript function that manipulates the display of HTML elements based on certain conditions and updates tab labels accordingly. Here are key points about this functionality:
1. The `show()` function takes an argument 'type'. It iterates over all methods in the 'methods' object. For each method, it checks if its value (bitwise AND with '</t>
        </is>
      </c>
      <c r="M1681" t="n">
        <v>0.0031</v>
      </c>
      <c r="N1681" t="n">
        <v>0.09089999999999999</v>
      </c>
      <c r="O1681" t="n">
        <v>0.1145</v>
      </c>
    </row>
    <row r="1682">
      <c r="A1682" t="inlineStr">
        <is>
          <t>retrofit</t>
        </is>
      </c>
      <c r="B1682" t="inlineStr">
        <is>
          <t>website/public/2.x/converter-protobuf/script.js</t>
        </is>
      </c>
      <c r="C1682">
        <f>HYPERLINK("https://github.com/square/retrofit/blob/master/website/public/2.x/converter-protobuf/script.js")</f>
        <v/>
      </c>
      <c r="D1682" t="inlineStr">
        <is>
          <t>The provided code is a JavaScript function that manipulates the display of HTML elements based on their type and updates tab labels accordingly. The functions `show()` and `updateTabs()` are defined to handle these operations respectively. 
In `show()`, it iterates over an object (presumably methods), checks if each method has a certain 'type',</t>
        </is>
      </c>
      <c r="E1682" t="n">
        <v>0.0035</v>
      </c>
      <c r="F1682" t="n">
        <v>0.0667</v>
      </c>
      <c r="G1682" t="n">
        <v>0.0806</v>
      </c>
      <c r="H1682" t="inlineStr">
        <is>
          <t>The provided code is a JavaScript function that manipulates the display of HTML elements based on their methods and types. The functions show() and updateTabs() are used to filter and modify these elements respectively. 
In `show` function, it iterates over all keys in an object (assuming this represents some kind of 'methods'). For each key, if its corresponding value has</t>
        </is>
      </c>
      <c r="I1682" t="n">
        <v>0.003</v>
      </c>
      <c r="J1682" t="n">
        <v>0.0588</v>
      </c>
      <c r="K1682" t="n">
        <v>0.1136</v>
      </c>
      <c r="L1682" t="inlineStr">
        <is>
          <t>The provided code consists of two functions - `show()` and `updateTabs()`. 
Function show(): This function is used to display or hide rows in a webpage based on the input type. It takes an argument 'type'. The methods object contains all possible keys. For each key in this object, it checks if its corresponding value (bitwise AND</t>
        </is>
      </c>
      <c r="M1682" t="n">
        <v>0.0039</v>
      </c>
      <c r="N1682" t="n">
        <v>0.09520000000000001</v>
      </c>
      <c r="O1682" t="n">
        <v>0.1172</v>
      </c>
    </row>
    <row r="1683">
      <c r="A1683" t="inlineStr">
        <is>
          <t>retrofit</t>
        </is>
      </c>
      <c r="B1683" t="inlineStr">
        <is>
          <t>website/public/2.x/adapter-java8/script.js</t>
        </is>
      </c>
      <c r="C1683">
        <f>HYPERLINK("https://github.com/square/retrofit/blob/master/website/public/2.x/adapter-java8/script.js")</f>
        <v/>
      </c>
      <c r="D1683" t="inlineStr">
        <is>
          <t>The provided code is a JavaScript function that manipulates the display of HTML elements based on their type and updates tab labels accordingly. The functions `show` and `updateTabs` are defined to handle these operations respectively. 
In the `show` function, it iterates over an object named 'methods'. For each key-value pair in this object, it checks if</t>
        </is>
      </c>
      <c r="E1683" t="n">
        <v>0.0033</v>
      </c>
      <c r="F1683" t="n">
        <v>0.0615</v>
      </c>
      <c r="G1683" t="n">
        <v>0.1172</v>
      </c>
      <c r="H1683" t="inlineStr">
        <is>
          <t>The provided code is a JavaScript function that manipulates the display of HTML elements based on their methods and types. The main functionality it provides includes two functions named `show` and `updateTabs`.
In the first function (`show`), it iterates over an object called 'methods'. For each key in this object, it checks if the corresponding value has certain bits set</t>
        </is>
      </c>
      <c r="I1683" t="n">
        <v>0.0036</v>
      </c>
      <c r="J1683" t="n">
        <v>0.0588</v>
      </c>
      <c r="K1683" t="n">
        <v>0.1136</v>
      </c>
      <c r="L1683" t="inlineStr">
        <is>
          <t>The provided code consists of two JavaScript functions - `show()` and `updateTabs()`. 
Function show(): This function is used to display or hide rows in a HTML table based on the type passed as an argument. It iterates over all methods (keys) within the 'methods' object, gets each corresponding row by its key using document.getElementById(),</t>
        </is>
      </c>
      <c r="M1683" t="n">
        <v>0.004</v>
      </c>
      <c r="N1683" t="n">
        <v>0.0645</v>
      </c>
      <c r="O1683" t="n">
        <v>0.119</v>
      </c>
    </row>
    <row r="1684">
      <c r="A1684" t="inlineStr">
        <is>
          <t>retrofit</t>
        </is>
      </c>
      <c r="B1684" t="inlineStr">
        <is>
          <t>website/public/2.x/converter-java8/script.js</t>
        </is>
      </c>
      <c r="C1684">
        <f>HYPERLINK("https://github.com/square/retrofit/blob/master/website/public/2.x/converter-java8/script.js")</f>
        <v/>
      </c>
      <c r="D1684" t="inlineStr">
        <is>
          <t>The provided code is a JavaScript function that manipulates the display of HTML elements based on their type and updates tab labels accordingly. The functions are part of an application where different types of data can be displayed in tabs. 
In `show()` function, it iterates over all methods (presumably objects or arrays), checks if each method has certain 'type', then</t>
        </is>
      </c>
      <c r="E1684" t="n">
        <v>0.003</v>
      </c>
      <c r="F1684" t="n">
        <v>0.0588</v>
      </c>
      <c r="G1684" t="n">
        <v>0.07580000000000001</v>
      </c>
      <c r="H1684" t="inlineStr">
        <is>
          <t>The provided code is a JavaScript function that manipulates the display of HTML elements based on their methods and types. It also updates tab labels when switching between different tabs in an application. Here are summaries for each part:
- The first function `show(type)` iterates over all keys (method names) present in the 'methods' object. For every key, it checks</t>
        </is>
      </c>
      <c r="I1684" t="n">
        <v>0.003</v>
      </c>
      <c r="J1684" t="n">
        <v>0.0588</v>
      </c>
      <c r="K1684" t="n">
        <v>0.07580000000000001</v>
      </c>
      <c r="L1684" t="inlineStr">
        <is>
          <t>The provided code is a JavaScript function that manipulates the display of HTML elements based on certain conditions and updates tab labels accordingly. The main purpose of this code is to provide an interface for users to switch between different views or modes in their application by hiding or showing relevant sections of content and updating corresponding tab labels. 
It does so through two functions `show()` and `</t>
        </is>
      </c>
      <c r="M1684" t="n">
        <v>0.0027</v>
      </c>
      <c r="N1684" t="n">
        <v>0.08</v>
      </c>
      <c r="O1684" t="n">
        <v>0.1071</v>
      </c>
    </row>
    <row r="1685">
      <c r="A1685" t="inlineStr">
        <is>
          <t>retrofit</t>
        </is>
      </c>
      <c r="B1685" t="inlineStr">
        <is>
          <t>website/public/2.x/converter-jaxb3/script.js</t>
        </is>
      </c>
      <c r="C1685">
        <f>HYPERLINK("https://github.com/square/retrofit/blob/master/website/public/2.x/converter-jaxb3/script.js")</f>
        <v/>
      </c>
      <c r="D1685" t="inlineStr">
        <is>
          <t>The provided code is a JavaScript function that manipulates the display of HTML elements based on their type and updates tab labels accordingly. 
In `show()` function, it iterates over an object named 'methods'. For each key in this object, it gets the corresponding element by its ID from the document and checks if the bitwise AND operation between methods[key] &amp;</t>
        </is>
      </c>
      <c r="E1685" t="n">
        <v>0.003</v>
      </c>
      <c r="F1685" t="n">
        <v>0.0588</v>
      </c>
      <c r="G1685" t="n">
        <v>0.1136</v>
      </c>
      <c r="H1685" t="inlineStr">
        <is>
          <t>The provided code is a JavaScript function named show that displays or hides HTML elements based on the type of methods used in an application. The complexity of this function is O(n), as it iterates over all keys (or values for updateTabs()) in two separate data structures (methods and tabs). 
Another function called updateTabs updates tab labels by changing their innerHTML</t>
        </is>
      </c>
      <c r="I1685" t="n">
        <v>0.003</v>
      </c>
      <c r="J1685" t="n">
        <v>0.0857</v>
      </c>
      <c r="K1685" t="n">
        <v>0.1128</v>
      </c>
      <c r="L1685" t="inlineStr">
        <is>
          <t>The provided code consists of two functions - `show()` and `updateTabs()`. 
Function 'show': This function is used to display or hide rows based on the type passed as an argument. It iterates over all methods in a JavaScript object named "methods". For each method key, it checks if its corresponding bitwise AND operation with the inputted</t>
        </is>
      </c>
      <c r="M1685" t="n">
        <v>0.0039</v>
      </c>
      <c r="N1685" t="n">
        <v>0.09520000000000001</v>
      </c>
      <c r="O1685" t="n">
        <v>0.1172</v>
      </c>
    </row>
    <row r="1686">
      <c r="A1686" t="inlineStr">
        <is>
          <t>retrofit</t>
        </is>
      </c>
      <c r="B1686" t="inlineStr">
        <is>
          <t>website/public/2.x/converter-moshi/script.js</t>
        </is>
      </c>
      <c r="C1686">
        <f>HYPERLINK("https://github.com/square/retrofit/blob/master/website/public/2.x/converter-moshi/script.js")</f>
        <v/>
      </c>
      <c r="D1686" t="inlineStr">
        <is>
          <t>The provided code is a JavaScript function that manipulates the display of HTML elements based on their type and updates tab labels accordingly. The functions are part of an application with complex algorithms implemented in backend software components. 
In `show()` function, it iterates over all methods (presumably objects or arrays), checks if each method has certain 'type', then displays or</t>
        </is>
      </c>
      <c r="E1686" t="n">
        <v>0.0036</v>
      </c>
      <c r="F1686" t="n">
        <v>0.0588</v>
      </c>
      <c r="G1686" t="n">
        <v>0.1515</v>
      </c>
      <c r="H1686" t="inlineStr">
        <is>
          <t>The provided code is a JavaScript function that toggles the visibility of elements based on their methods and updates tab labels accordingly. The first function `show` iterates over all keys in an object (presumably representing different methods), checks if each method contains a certain type, and displays or hides rows depending on this check. The second function `updateTabs` also loops through tabs but instead</t>
        </is>
      </c>
      <c r="I1686" t="n">
        <v>0.0028</v>
      </c>
      <c r="J1686" t="n">
        <v>0.0556</v>
      </c>
      <c r="K1686" t="n">
        <v>0.1103</v>
      </c>
      <c r="L1686" t="inlineStr">
        <is>
          <t>The provided code is a JavaScript function that manipulates the display of HTML elements based on certain conditions and updates tab labels accordingly. The main purpose of this code is to enable users to switch between different views (or tabs) in an application by hiding or showing various sections of content. 
It does so by iterating over methods and checking if each method type matches with input '</t>
        </is>
      </c>
      <c r="M1686" t="n">
        <v>0.0027</v>
      </c>
      <c r="N1686" t="n">
        <v>0.0533</v>
      </c>
      <c r="O1686" t="n">
        <v>0.1071</v>
      </c>
    </row>
    <row r="1687">
      <c r="A1687" t="inlineStr">
        <is>
          <t>retrofit</t>
        </is>
      </c>
      <c r="B1687" t="inlineStr">
        <is>
          <t>website/public/2.x/adapter-scala/script.js</t>
        </is>
      </c>
      <c r="C1687">
        <f>HYPERLINK("https://github.com/square/retrofit/blob/master/website/public/2.x/adapter-scala/script.js")</f>
        <v/>
      </c>
      <c r="D1687" t="inlineStr">
        <is>
          <t>The provided code is a JavaScript function that manipulates the display of HTML elements based on their 'type'. It does this by checking if each method belongs to the specified type and then either displaying or hiding it accordingly. 
There are two functions in total - `show()` and `updateTabs()`. The first one iterates over an object containing methods (with</t>
        </is>
      </c>
      <c r="E1687" t="n">
        <v>0.0031</v>
      </c>
      <c r="F1687" t="n">
        <v>0.09089999999999999</v>
      </c>
      <c r="G1687" t="n">
        <v>0.1145</v>
      </c>
      <c r="H1687" t="inlineStr">
        <is>
          <t>The provided code is a JavaScript function named show that displays or hides rows based on the type of method they represent in an HTML table. It also updates tab labels to reflect which methods are currently being displayed. The complexity of this code is O(n), where n represents the number of tabs and methods respectively. This means it has linear time complexity as it iterates over each element (tab or</t>
        </is>
      </c>
      <c r="I1687" t="n">
        <v>0.003</v>
      </c>
      <c r="J1687" t="n">
        <v>0.05</v>
      </c>
      <c r="K1687" t="n">
        <v>0.1049</v>
      </c>
      <c r="L1687" t="inlineStr">
        <is>
          <t>The provided code consists of two functions `show()` and `updateTabs()`. 
Function show(): This function is used to display or hide rows in a HTML table based on the input type. It iterates over each key (method) in methods object and checks if its corresponding bitwise AND operation with the given 'type' results nonzero. If true</t>
        </is>
      </c>
      <c r="M1687" t="n">
        <v>0.004</v>
      </c>
      <c r="N1687" t="n">
        <v>0.09520000000000001</v>
      </c>
      <c r="O1687" t="n">
        <v>0.1181</v>
      </c>
    </row>
    <row r="1688">
      <c r="A1688" t="inlineStr">
        <is>
          <t>retrofit</t>
        </is>
      </c>
      <c r="B1688" t="inlineStr">
        <is>
          <t>website/public/1.x/retrofit/script.js</t>
        </is>
      </c>
      <c r="C1688">
        <f>HYPERLINK("https://github.com/square/retrofit/blob/master/website/public/1.x/retrofit/script.js")</f>
        <v/>
      </c>
      <c r="D1688" t="inlineStr">
        <is>
          <t>The provided code is a JavaScript function that manages the display of rows in an HTML table based on certain conditions and updates tab labels accordingly. It has two main functions - `show()` and `updateTabs()`. 
In the `show()` function, it iterates over all methods (presumably representing different data types or categories), checks if each</t>
        </is>
      </c>
      <c r="E1688" t="n">
        <v>0.0034</v>
      </c>
      <c r="F1688" t="n">
        <v>0.06560000000000001</v>
      </c>
      <c r="G1688" t="n">
        <v>0.0794</v>
      </c>
      <c r="H1688" t="inlineStr">
        <is>
          <t>The provided code is a JavaScript function that updates the display of HTML elements based on their methods and types. It also contains another function to update tabs in an interface. The first function hides or shows rows depending on whether they have certain method types associated with them. The second function changes the text inside tab links and applies different styles for active vs non-active tabs. Both functions are iterating over</t>
        </is>
      </c>
      <c r="I1688" t="n">
        <v>0.0025</v>
      </c>
      <c r="J1688" t="n">
        <v>0.0494</v>
      </c>
      <c r="K1688" t="n">
        <v>0.0694</v>
      </c>
      <c r="L1688" t="inlineStr">
        <is>
          <t>The provided code consists of two JavaScript functions - `show()` and `updateTabs()`. 
Function show(): This function takes a parameter 'type'. It iterates over the methods object using for...in loop. For each key in methods, it checks if the bitwise AND operation between method[key] and type is not equal to zero. If this</t>
        </is>
      </c>
      <c r="M1688" t="n">
        <v>0.0042</v>
      </c>
      <c r="N1688" t="n">
        <v>0.0984</v>
      </c>
      <c r="O1688" t="n">
        <v>0.121</v>
      </c>
    </row>
    <row r="1689">
      <c r="A1689" t="inlineStr">
        <is>
          <t>retrofit</t>
        </is>
      </c>
      <c r="B1689" t="inlineStr">
        <is>
          <t>website/public/1.x/converter-wire/script.js</t>
        </is>
      </c>
      <c r="C1689">
        <f>HYPERLINK("https://github.com/square/retrofit/blob/master/website/public/1.x/converter-wire/script.js")</f>
        <v/>
      </c>
      <c r="D1689" t="inlineStr">
        <is>
          <t>The provided code is a JavaScript function that manipulates the display of HTML elements based on their type and updates tab labels accordingly. The functions are part of a larger system for managing different types of software components in an application. 
In `show()` function, it iterates over all methods (presumably objects or arrays), checks if each method has certain 'type',</t>
        </is>
      </c>
      <c r="E1689" t="n">
        <v>0.0036</v>
      </c>
      <c r="F1689" t="n">
        <v>0.0588</v>
      </c>
      <c r="G1689" t="n">
        <v>0.1136</v>
      </c>
      <c r="H1689" t="inlineStr">
        <is>
          <t>The provided code is a JavaScript function named show that takes an argument of type and displays or hides rows based on the given type. It also contains another function updateTabs which updates tabs in a web application. The complexity of these functions are O(N), where N represents the number of elements in methods for show() and tabs for updateTabs().
In summary, this repository</t>
        </is>
      </c>
      <c r="I1689" t="n">
        <v>0.0028</v>
      </c>
      <c r="J1689" t="n">
        <v>0.0548</v>
      </c>
      <c r="K1689" t="n">
        <v>0.1103</v>
      </c>
      <c r="L1689" t="inlineStr">
        <is>
          <t>The provided code is a JavaScript function that manipulates the display of HTML elements based on certain conditions and updates tab labels accordingly. 
It accomplishes this by first defining two functions - `show()` and `updateTabs()`. The 'show()' function iterates over all methods in an object named "methods", checks if each method matches with a given type</t>
        </is>
      </c>
      <c r="M1689" t="n">
        <v>0.0033</v>
      </c>
      <c r="N1689" t="n">
        <v>0.09520000000000001</v>
      </c>
      <c r="O1689" t="n">
        <v>0.1172</v>
      </c>
    </row>
    <row r="1690">
      <c r="A1690" t="inlineStr">
        <is>
          <t>retrofit</t>
        </is>
      </c>
      <c r="B1690" t="inlineStr">
        <is>
          <t>website/public/1.x/converter-simplexml/script.js</t>
        </is>
      </c>
      <c r="C1690">
        <f>HYPERLINK("https://github.com/square/retrofit/blob/master/website/public/1.x/converter-simplexml/script.js")</f>
        <v/>
      </c>
      <c r="D1690" t="inlineStr">
        <is>
          <t>The provided code is a JavaScript function that manipulates the display of HTML elements based on their type and updates tab labels accordingly. 
In `show()` function, it iterates over all methods in an object (assumed to be named 'methods') using for...in loop. For each method key, it gets the corresponding element by its id from DOM and checks</t>
        </is>
      </c>
      <c r="E1690" t="n">
        <v>0.0031</v>
      </c>
      <c r="F1690" t="n">
        <v>0.0597</v>
      </c>
      <c r="G1690" t="n">
        <v>0.0769</v>
      </c>
      <c r="H1690" t="inlineStr">
        <is>
          <t>The provided code consists of two functions - `add` and `show` with their respective comments explaining the functionality. The first function is a simple addition operation that takes in two parameters 'a' and 'b', adds them together, and returns the result. It has a time complexity of O(1), indicating it performs constant amount of operations regardless of input size.
In contrast,</t>
        </is>
      </c>
      <c r="I1690" t="n">
        <v>0.003</v>
      </c>
      <c r="J1690" t="n">
        <v>0.058</v>
      </c>
      <c r="K1690" t="n">
        <v>0.0752</v>
      </c>
      <c r="L1690" t="inlineStr">
        <is>
          <t>The provided code is a JavaScript function that manipulates the display of HTML elements based on certain conditions and updates tab labels accordingly. It has two main functions: 
`show()` - This function takes in an argument `type` which determines whether to show or hide rows based on their associated method type with the input value being compared using bitwise AND operation. If they match</t>
        </is>
      </c>
      <c r="M1690" t="n">
        <v>0.0034</v>
      </c>
      <c r="N1690" t="n">
        <v>0.08450000000000001</v>
      </c>
      <c r="O1690" t="n">
        <v>0.1103</v>
      </c>
    </row>
    <row r="1691">
      <c r="A1691" t="inlineStr">
        <is>
          <t>retrofit</t>
        </is>
      </c>
      <c r="B1691" t="inlineStr">
        <is>
          <t>website/public/1.x/retrofit-mock/script.js</t>
        </is>
      </c>
      <c r="C1691">
        <f>HYPERLINK("https://github.com/square/retrofit/blob/master/website/public/1.x/retrofit-mock/script.js")</f>
        <v/>
      </c>
      <c r="D1691" t="inlineStr">
        <is>
          <t>The provided code is a JavaScript function that manipulates the display of HTML elements based on their type and updates tab labels accordingly. The functions are named `show` and `updateTabs`. 
In the `show` function, it iterates over an array of methods (presumably objects or properties), checks if each method has a certain bitwise flag set in</t>
        </is>
      </c>
      <c r="E1691" t="n">
        <v>0.0033</v>
      </c>
      <c r="F1691" t="n">
        <v>0.0625</v>
      </c>
      <c r="G1691" t="n">
        <v>0.0781</v>
      </c>
      <c r="H1691" t="inlineStr">
        <is>
          <t>The provided code is a JavaScript function that shows and updates tabs based on different types of methods. The functions are named `show` and `updateTabs` respectively. They iterate over an array called 'methods', displaying or hiding elements depending on the method type passed as argument to them. For each tab in another array called 'tabs', it checks if they match with the given type. If</t>
        </is>
      </c>
      <c r="I1691" t="n">
        <v>0.0028</v>
      </c>
      <c r="J1691" t="n">
        <v>0.0548</v>
      </c>
      <c r="K1691" t="n">
        <v>0.073</v>
      </c>
      <c r="L1691" t="inlineStr">
        <is>
          <t>The provided code consists of two JavaScript functions show() and updateTabs(). 
Function 'show()': This function is used to display or hide HTML elements based on a given type parameter by comparing the method associated with each key in an object named methods with the input type using bitwise AND operation. If there exists any match, it displays that element, otherwise hides it</t>
        </is>
      </c>
      <c r="M1691" t="n">
        <v>0.0035</v>
      </c>
      <c r="N1691" t="n">
        <v>0.0857</v>
      </c>
      <c r="O1691" t="n">
        <v>0.1119</v>
      </c>
    </row>
    <row r="1692">
      <c r="A1692" t="inlineStr">
        <is>
          <t>retrofit</t>
        </is>
      </c>
      <c r="B1692" t="inlineStr">
        <is>
          <t>website/public/1.x/converter-jackson/script.js</t>
        </is>
      </c>
      <c r="C1692">
        <f>HYPERLINK("https://github.com/square/retrofit/blob/master/website/public/1.x/converter-jackson/script.js")</f>
        <v/>
      </c>
      <c r="D1692" t="inlineStr">
        <is>
          <t>The provided code is a JavaScript function that manipulates the display of HTML elements based on certain conditions and updates tab labels accordingly. The functions `show` and `updateTabs` are defined to handle different types of content or views in an application. 
In the `show` function, it iterates over all methods (presumably objects), checks if each method has</t>
        </is>
      </c>
      <c r="E1692" t="n">
        <v>0.0032</v>
      </c>
      <c r="F1692" t="n">
        <v>0.0615</v>
      </c>
      <c r="G1692" t="n">
        <v>0.0775</v>
      </c>
      <c r="H1692" t="inlineStr">
        <is>
          <t>The provided code is a JavaScript function that displays or hides rows in an HTML document based on the type of method being displayed and updates tab names accordingly. The functions `show` and `updateTabs` are used to manipulate these elements. 
In the 'show' function, it iterates over all keys (method names) in the methods object. If a key matches</t>
        </is>
      </c>
      <c r="I1692" t="n">
        <v>0.0031</v>
      </c>
      <c r="J1692" t="n">
        <v>0.0597</v>
      </c>
      <c r="K1692" t="n">
        <v>0.07630000000000001</v>
      </c>
      <c r="L1692" t="inlineStr">
        <is>
          <t>The provided code is a JavaScript function that manipulates the display of HTML elements based on certain conditions and updates tab labels accordingly. 
It first defines two functions `show()` and `updateTabs()`. The `show()` function iterates over an object called 'methods', for each key in this object it checks if the corresponding value has bits set which match</t>
        </is>
      </c>
      <c r="M1692" t="n">
        <v>0.0032</v>
      </c>
      <c r="N1692" t="n">
        <v>0.0615</v>
      </c>
      <c r="O1692" t="n">
        <v>0.1163</v>
      </c>
    </row>
    <row r="1693">
      <c r="A1693" t="inlineStr">
        <is>
          <t>retrofit</t>
        </is>
      </c>
      <c r="B1693" t="inlineStr">
        <is>
          <t>website/public/1.x/converter-protobuf/script.js</t>
        </is>
      </c>
      <c r="C1693">
        <f>HYPERLINK("https://github.com/square/retrofit/blob/master/website/public/1.x/converter-protobuf/script.js")</f>
        <v/>
      </c>
      <c r="D1693" t="inlineStr">
        <is>
          <t>The provided code is a JavaScript function that manipulates the display of HTML elements based on certain conditions and updates tab labels accordingly. It has two main functions - `show` and `updateTabs`. 
In the `show` function, it iterates over an object named 'methods'. For each key-value pair in this object, it checks if the value (</t>
        </is>
      </c>
      <c r="E1693" t="n">
        <v>0.0033</v>
      </c>
      <c r="F1693" t="n">
        <v>0.0635</v>
      </c>
      <c r="G1693" t="n">
        <v>0.1172</v>
      </c>
      <c r="H1693" t="inlineStr">
        <is>
          <t>The provided code is a JavaScript function that manipulates the display of HTML elements based on their methods and types. It contains two functions - show() and updateTabs(). 
- The 'show()' function iterates over an object named 'methods'. For each key in this object, it checks if the corresponding value has a certain type (passed as an argument to the function).</t>
        </is>
      </c>
      <c r="I1693" t="n">
        <v>0.003</v>
      </c>
      <c r="J1693" t="n">
        <v>0.0597</v>
      </c>
      <c r="K1693" t="n">
        <v>0.1128</v>
      </c>
      <c r="L1693" t="inlineStr">
        <is>
          <t>```python
# This function show() is used to display or hide rows based on the type passed as an argument. 
# It iterates over each method in methods and checks if it matches with the given type using bitwise AND operation. If a match occurs, the corresponding row will be displayed else hidden. The count variable keeps track of number of elements shown so far which</t>
        </is>
      </c>
      <c r="M1693" t="n">
        <v>0.0033</v>
      </c>
      <c r="N1693" t="n">
        <v>0.0833</v>
      </c>
      <c r="O1693" t="n">
        <v>0.1087</v>
      </c>
    </row>
    <row r="1694">
      <c r="A1694" t="inlineStr">
        <is>
          <t>retrofit</t>
        </is>
      </c>
      <c r="B1694" t="inlineStr">
        <is>
          <t>samples/src/main/java/com/example/retrofit/SimpleService.java</t>
        </is>
      </c>
      <c r="C1694">
        <f>HYPERLINK("https://github.com/square/retrofit/blob/master/samples/src/main/java/com/example/retrofit/SimpleService.java")</f>
        <v/>
      </c>
      <c r="D1694" t="inlineStr">
        <is>
          <t>The code provided is a simple Retrofit service for interacting with the GitHub API v3 (https://developer.github.com/v3). It provides functionality to fetch contributors of a specific repository from GitHub using their RESTful endpoints. The summary includes details about complexity, comments and commits in relation to the implementation of core algorithms used in this code.</t>
        </is>
      </c>
      <c r="E1694" t="n">
        <v>0.0045</v>
      </c>
      <c r="F1694" t="n">
        <v>0.0615</v>
      </c>
      <c r="G1694" t="n">
        <v>0.2</v>
      </c>
      <c r="H1694" t="inlineStr">
        <is>
          <t>The provided code is a simple addition function in Python named `add` that takes two parameters and returns their sum. The time complexity of this operation is O(1), meaning it always executes in the same amount of time regardless of input size.
```python
def add(a, b):
    return a + b
```
The Apache License for the given code states</t>
        </is>
      </c>
      <c r="I1694" t="n">
        <v>0.0031</v>
      </c>
      <c r="J1694" t="n">
        <v>0.0597</v>
      </c>
      <c r="K1694" t="n">
        <v>0.1145</v>
      </c>
      <c r="L1694" t="inlineStr">
        <is>
          <t>The provided code is a simple Java class that uses Retrofit library to interact with the GitHub API. The purpose of this class (`SimpleService`) seems to be to fetch contributors' details for an open source project hosted on Github using their RESTful endpoints.
Here are some key points about its functionality and inputs/outputs:
Inputs</t>
        </is>
      </c>
      <c r="M1694" t="n">
        <v>0.0072</v>
      </c>
      <c r="N1694" t="n">
        <v>0.09520000000000001</v>
      </c>
      <c r="O1694" t="n">
        <v>0.2028</v>
      </c>
    </row>
    <row r="1695">
      <c r="A1695" t="inlineStr">
        <is>
          <t>retrofit</t>
        </is>
      </c>
      <c r="B1695" t="inlineStr">
        <is>
          <t>samples/src/main/java/com/example/retrofit/AnnotatedConverters.java</t>
        </is>
      </c>
      <c r="C1695">
        <f>HYPERLINK("https://github.com/square/retrofit/blob/master/samples/src/main/java/com/example/retrofit/AnnotatedConverters.java")</f>
        <v/>
      </c>
      <c r="D1695" t="inlineStr">
        <is>
          <t>The code provided is a license header for an Apache 2.0 licensed software component. It states the terms of use and distribution under which it can be used. The copyright notice also mentions Square Inc., indicating that this piece of software may have been developed by them or has received contributions from other developers. This information helps users understand their rights to distribute and modify the software as per the licensing agreement</t>
        </is>
      </c>
      <c r="E1695" t="n">
        <v>0.0033</v>
      </c>
      <c r="F1695" t="n">
        <v>0.0741</v>
      </c>
      <c r="G1695" t="n">
        <v>0.1389</v>
      </c>
      <c r="H1695" t="inlineStr">
        <is>
          <t>The code you provided is a Java function for addition of two numbers (`add()`). This function takes in two parameters `a` and `b`, performs the operation of adding them together, and returns the result. The time complexity of this function is O(1), meaning it always executes in constant time regardless of input size.
Here's a concise summary</t>
        </is>
      </c>
      <c r="I1695" t="n">
        <v>0.0038</v>
      </c>
      <c r="J1695" t="n">
        <v>0.0896</v>
      </c>
      <c r="K1695" t="n">
        <v>0.1163</v>
      </c>
      <c r="L1695" t="inlineStr">
        <is>
          <t>The code provided appears to be a Java class that uses Retrofit for API calls and GSON for JSON serialization or deserialization in an Android application context.
Here is the summary of its functionality: 
It defines several classes related to network communication using Retrofit library with GSON as converter for JSON handling. The main purpose seems to be making HTTP requests (</t>
        </is>
      </c>
      <c r="M1695" t="n">
        <v>0.0029</v>
      </c>
      <c r="N1695" t="n">
        <v>0.029</v>
      </c>
      <c r="O1695" t="n">
        <v>0.0746</v>
      </c>
    </row>
    <row r="1696">
      <c r="A1696" t="inlineStr">
        <is>
          <t>retrofit</t>
        </is>
      </c>
      <c r="B1696" t="inlineStr">
        <is>
          <t>samples/src/main/java/com/example/retrofit/package-info.java</t>
        </is>
      </c>
      <c r="C1696">
        <f>HYPERLINK("https://github.com/square/retrofit/blob/master/samples/src/main/java/com/example/retrofit/package-info.java")</f>
        <v/>
      </c>
      <c r="D1696" t="inlineStr">
        <is>
          <t>The code provided is for the Retrofit package in Java and it's annotated with @ParametersAreNonnullByDefault. The annotation indicates that all parameters of a method are non-null by default unless specified otherwise. This means if you call this method without providing values for nullable parameters, it will throw an exception at runtime.
The complexity of the code is O(</t>
        </is>
      </c>
      <c r="E1696" t="n">
        <v>0.0037</v>
      </c>
      <c r="F1696" t="n">
        <v>0.0294</v>
      </c>
      <c r="G1696" t="n">
        <v>0.0769</v>
      </c>
      <c r="H1696" t="inlineStr">
        <is>
          <t>ThegivenJava code is a part of a larger backend software component that implements core algorithms. The complexity of the implementation can be considered as O(N), where N represents the size of the input data or number of operations to process. This could vary depending on specifics of the algorithm being implemented and how it's used in the overall system.
&lt;jupyter_code&gt;</t>
        </is>
      </c>
      <c r="I1696" t="n">
        <v>0.0081</v>
      </c>
      <c r="J1696" t="n">
        <v>0.1127</v>
      </c>
      <c r="K1696" t="n">
        <v>0.323</v>
      </c>
      <c r="L1696" t="inlineStr">
        <is>
          <t>The provided Java code is a part of the Retrofit library implementation. It uses annotation processing to enforce non-null parameters at compile time. The main purpose of this code is to ensure that all method parameters are initialized before being passed into methods annotated with @ParametersAreNonnullByDefault. This functionality enhances maintainability and comprehensibility by providing stronger runtime checks for null safety in API calls</t>
        </is>
      </c>
      <c r="M1696" t="n">
        <v>0.0038</v>
      </c>
      <c r="N1696" t="n">
        <v>0.0833</v>
      </c>
      <c r="O1696" t="n">
        <v>0.1111</v>
      </c>
    </row>
    <row r="1697">
      <c r="A1697" t="inlineStr">
        <is>
          <t>retrofit</t>
        </is>
      </c>
      <c r="B1697" t="inlineStr">
        <is>
          <t>samples/src/main/java/com/example/retrofit/Crawler.java</t>
        </is>
      </c>
      <c r="C1697">
        <f>HYPERLINK("https://github.com/square/retrofit/blob/master/samples/src/main/java/com/example/retrofit/Crawler.java")</f>
        <v/>
      </c>
      <c r="D1697" t="inlineStr">
        <is>
          <t>The code provided appears to be a Java class file with an Apache License header and some comments about the implementation of core algorithms. It is not clear what specific functionality this code provides or how it can be used without further context. The license details indicate that you may use this in compliance with the terms specified by the license at http://www.apache.org/licenses/LICENSE-2.</t>
        </is>
      </c>
      <c r="E1697" t="n">
        <v>0.0038</v>
      </c>
      <c r="F1697" t="n">
        <v>0.0779</v>
      </c>
      <c r="G1697" t="n">
        <v>0.1852</v>
      </c>
      <c r="H1697" t="inlineStr">
        <is>
          <t>The provided code is a Java package named "com.example.retrofit". It contains several import statements for different packages and classes used in the software component. The license at the top of this file mentions that it's licensed under Apache 2.0 which means you can use, modify or distribute this source code as per terms mentioned on http://www.apache.org/licenses</t>
        </is>
      </c>
      <c r="I1697" t="n">
        <v>0.0039</v>
      </c>
      <c r="J1697" t="n">
        <v>0.0278</v>
      </c>
      <c r="K1697" t="n">
        <v>0.1563</v>
      </c>
      <c r="L1697" t="inlineStr">
        <is>
          <t>The provided code is a part of the Retrofit library in Java which provides an easy way to consume RESTful web services by simplifying HTTP requests and responses. This software component handles network operations on separate threads using Executors for better performance. It also includes features such as caching with ConcurrentHashMap, error handling through IOException, annotation processing, reflection usage etc. The complexity of this</t>
        </is>
      </c>
      <c r="M1697" t="n">
        <v>0.0067</v>
      </c>
      <c r="N1697" t="n">
        <v>0.0556</v>
      </c>
      <c r="O1697" t="n">
        <v>0.1471</v>
      </c>
    </row>
    <row r="1698">
      <c r="A1698" t="inlineStr">
        <is>
          <t>retrofit</t>
        </is>
      </c>
      <c r="B1698" t="inlineStr">
        <is>
          <t>samples/src/main/java/com/example/retrofit/SimpleMockService.java</t>
        </is>
      </c>
      <c r="C1698">
        <f>HYPERLINK("https://github.com/square/retrofit/blob/master/samples/src/main/java/com/example/retrofit/SimpleMockService.java")</f>
        <v/>
      </c>
      <c r="D1698" t="inlineStr">
        <is>
          <t>The given code is a mock service implementation for the GitHub API using Retrofit's Mock library (`retrofit2.mock`). It provides an example of how to use `MockRetrofit` and its behavior delegate feature to create a mock version of the GitHub service with fake data. The class `MockGitHub` implements the `GitHub` interface</t>
        </is>
      </c>
      <c r="E1698" t="n">
        <v>0.0044</v>
      </c>
      <c r="F1698" t="n">
        <v>0.0667</v>
      </c>
      <c r="G1698" t="n">
        <v>0.123</v>
      </c>
      <c r="H1698" t="inlineStr">
        <is>
          <t>The provided code is a mock implementation of the GitHub API interface using Retrofit's MockRetrofit library for testing purposes with fake data. The `MockGitHub` class implements the `GitHub` interface and uses a `BehaviorDelegate` to delegate all method calls to an actual or real service instance. This allows you to control how your system behaves under different</t>
        </is>
      </c>
      <c r="I1698" t="n">
        <v>0.0043</v>
      </c>
      <c r="J1698" t="n">
        <v>0.0615</v>
      </c>
      <c r="K1698" t="n">
        <v>0.1563</v>
      </c>
      <c r="L1698" t="inlineStr">
        <is>
          <t>The provided code is a mock implementation of the GitHub API interface using Retrofit and Mockito libraries in Java. It provides a way to test network requests without actually making them over the internet by providing fake data. The class `SimpleMockService` contains a static inner class called `MockGitHub` that implements the `GitHub` interface from the `SimpleService` package.</t>
        </is>
      </c>
      <c r="M1698" t="n">
        <v>0.0038</v>
      </c>
      <c r="N1698" t="n">
        <v>0.0615</v>
      </c>
      <c r="O1698" t="n">
        <v>0.1163</v>
      </c>
    </row>
    <row r="1699">
      <c r="A1699" t="inlineStr">
        <is>
          <t>retrofit</t>
        </is>
      </c>
      <c r="B1699" t="inlineStr">
        <is>
          <t>samples/src/main/java/com/example/retrofit/RxJavaObserveOnMainThread.java</t>
        </is>
      </c>
      <c r="C1699">
        <f>HYPERLINK("https://github.com/square/retrofit/blob/master/samples/src/main/java/com/example/retrofit/RxJavaObserveOnMainThread.java")</f>
        <v/>
      </c>
      <c r="D1699" t="inlineStr">
        <is>
          <t>The provided code is a Java implementation of Retrofit with RxJava for network calls and it's licensed under the Apache License 2.0. The code defines an annotation class that extends CallAdapter.Factory to create Observables from Retrofit Calls using RxJava schedulers. This allows asynchronous execution in both IO (disk I/O) thread and main UI</t>
        </is>
      </c>
      <c r="E1699" t="n">
        <v>0.0041</v>
      </c>
      <c r="F1699" t="n">
        <v>0.0615</v>
      </c>
      <c r="G1699" t="n">
        <v>0.16</v>
      </c>
      <c r="H1699" t="inlineStr">
        <is>
          <t>The provided code is a Java package that uses Retrofit to handle network requests and RxJava for asynchronous operations. It includes the following components:
- `@Package com.example.retrofit`: This line defines the package name of this project which contains all related classes. 
- The import statements at the top include necessary libraries such as Rx</t>
        </is>
      </c>
      <c r="I1699" t="n">
        <v>0.004</v>
      </c>
      <c r="J1699" t="n">
        <v>0.0323</v>
      </c>
      <c r="K1699" t="n">
        <v>0.119</v>
      </c>
      <c r="L1699" t="inlineStr">
        <is>
          <t>The code provided is for a Retrofit library implementation in Java with RxJava support. It defines an adapter to convert the Call&lt;T&gt; returned by Retrofit into Observables that can be subscribed and handled using Rx operators. The purpose of this class seems to be to manage threading and provide a more functional programming style interface over network requests.
It uses several</t>
        </is>
      </c>
      <c r="M1699" t="n">
        <v>0.003</v>
      </c>
      <c r="N1699" t="n">
        <v>0.0571</v>
      </c>
      <c r="O1699" t="n">
        <v>0.1504</v>
      </c>
    </row>
    <row r="1700">
      <c r="A1700" t="inlineStr">
        <is>
          <t>retrofit</t>
        </is>
      </c>
      <c r="B1700" t="inlineStr">
        <is>
          <t>samples/src/main/java/com/example/retrofit/ChunkingConverter.java</t>
        </is>
      </c>
      <c r="C1700">
        <f>HYPERLINK("https://github.com/square/retrofit/blob/master/samples/src/main/java/com/example/retrofit/ChunkingConverter.java")</f>
        <v/>
      </c>
      <c r="D1700" t="inlineStr">
        <is>
          <t>The provided code appears to be a license header for an Apache 2.0 licensed software component in Java. It is used as part of the Retrofit library by Square, Inc., and it states that any use of this file must comply with the terms of the License at http://www.apache.org/licenses/LICENSE-2.0. The software can be distributed under</t>
        </is>
      </c>
      <c r="E1700" t="n">
        <v>0.004</v>
      </c>
      <c r="F1700" t="n">
        <v>0.0563</v>
      </c>
      <c r="G1700" t="n">
        <v>0.1575</v>
      </c>
      <c r="H1700" t="inlineStr">
        <is>
          <t>The provided code is a Java implementation of the addition function using Retrofit for networking tasks under Apache License 2.0. It defines an annotation `@Readme` to provide information about the repository and its components such as complexity, comments, commits, size etc., which are all O(1), indicating constant time complexity. The add method in this context performs simple arithmetic operation (</t>
        </is>
      </c>
      <c r="I1700" t="n">
        <v>0.003</v>
      </c>
      <c r="J1700" t="n">
        <v>0.08699999999999999</v>
      </c>
      <c r="K1700" t="n">
        <v>0.1515</v>
      </c>
      <c r="L1700" t="inlineStr">
        <is>
          <t>The provided code is a Java implementation of the Retrofit library for Android and iOS development. It includes an annotation class that allows developers to specify custom parameters in their HTTP requests using OkHttp's `@Headers` feature.
Here are some key components involved:
1. The `@Header` annotation provides a way to add headers to your request. 
2.</t>
        </is>
      </c>
      <c r="M1700" t="n">
        <v>0.0033</v>
      </c>
      <c r="N1700" t="n">
        <v>0.0615</v>
      </c>
      <c r="O1700" t="n">
        <v>0.1172</v>
      </c>
    </row>
    <row r="1701">
      <c r="A1701" t="inlineStr">
        <is>
          <t>retrofit</t>
        </is>
      </c>
      <c r="B1701" t="inlineStr">
        <is>
          <t>samples/src/main/java/com/example/retrofit/DeserializeErrorBody.java</t>
        </is>
      </c>
      <c r="C1701">
        <f>HYPERLINK("https://github.com/square/retrofit/blob/master/samples/src/main/java/com/example/retrofit/DeserializeErrorBody.java")</f>
        <v/>
      </c>
      <c r="D1701" t="inlineStr">
        <is>
          <t>The code provided is a Java implementation of an HTTP client using Retrofit and OkHttp libraries for Android development. It includes Apache License 2.0 information at the top which specifies conditions under which this software can be used or distributed. The license permits use in compliance with the terms specified by the user or obtained from http://www.apache.org/licenses/LICENSE-2.</t>
        </is>
      </c>
      <c r="E1701" t="n">
        <v>0.0038</v>
      </c>
      <c r="F1701" t="n">
        <v>0.0556</v>
      </c>
      <c r="G1701" t="n">
        <v>0.2884</v>
      </c>
      <c r="H1701" t="inlineStr">
        <is>
          <t>/*
```
The provided code is a simple function that performs addition operation on two numbers 'a' and 'b'. The complexity of this function is O(1), which means it takes constant time to execute regardless of the size of input data (i.e., n). 
Here are some key points about the implementation:
1. It defines an add()</t>
        </is>
      </c>
      <c r="I1701" t="n">
        <v>0.0033</v>
      </c>
      <c r="J1701" t="n">
        <v>0.0625</v>
      </c>
      <c r="K1701" t="n">
        <v>0.1172</v>
      </c>
      <c r="L1701" t="inlineStr">
        <is>
          <t>The provided code is a Java implementation of an HTTP client using Retrofit library with OkHttp as the networking layer and GSON for JSON parsing. The main purpose of this code seems to be making GET requests from a mock server (using MockWebServer). It sets up a connection between two components in a network architecture by creating a virtual web server on which it can make HTTP requests. This</t>
        </is>
      </c>
      <c r="M1701" t="n">
        <v>0.0031</v>
      </c>
      <c r="N1701" t="n">
        <v>0.0519</v>
      </c>
      <c r="O1701" t="n">
        <v>0.1418</v>
      </c>
    </row>
    <row r="1702">
      <c r="A1702" t="inlineStr">
        <is>
          <t>retrofit</t>
        </is>
      </c>
      <c r="B1702" t="inlineStr">
        <is>
          <t>samples/src/main/java/com/example/retrofit/InvocationMetrics.java</t>
        </is>
      </c>
      <c r="C1702">
        <f>HYPERLINK("https://github.com/square/retrofit/blob/master/samples/src/main/java/com/example/retrofit/InvocationMetrics.java")</f>
        <v/>
      </c>
      <c r="D1702" t="inlineStr">
        <is>
          <t>The code provided is a Java implementation of Retrofit with OkHttp client for making HTTP requests and handling responses. It includes an interceptor to print metrics about the initiated method (like URL, response time etc.). The Apache License 2.0 applies to this code which restricts its usage unless in compliance with it.
The main class has methods annotated with @GET</t>
        </is>
      </c>
      <c r="E1702" t="n">
        <v>0.003</v>
      </c>
      <c r="F1702" t="n">
        <v>0.058</v>
      </c>
      <c r="G1702" t="n">
        <v>0.1136</v>
      </c>
      <c r="H1702" t="inlineStr">
        <is>
          <t>The provided code is a Java implementation of an HTTP client using Retrofit library with OkHttp interception capabilities to print metrics for each initiated method. The Apache License version 2.0 applies to this software. It's distributed on an "AS IS" BASIS, WITHOUT WARRANTIES OR CONDITIONS OF ANY KIND, either express or implied. See the license</t>
        </is>
      </c>
      <c r="I1702" t="n">
        <v>0</v>
      </c>
      <c r="J1702" t="n">
        <v>0.0615</v>
      </c>
      <c r="K1702" t="n">
        <v>0.1181</v>
      </c>
      <c r="L1702" t="inlineStr">
        <is>
          <t>The provided code is a Java implementation of Retrofit with OkHttp interception for HTTP call metrics logging. The main purpose of this class seems to be the creation and configuration of an instance of Retrofit using OkHttp as its client. It also includes some custom logic in the Interceptor interface that logs certain metrics about each HTTP request made by the application.
The input would</t>
        </is>
      </c>
      <c r="M1702" t="n">
        <v>0.0028</v>
      </c>
      <c r="N1702" t="n">
        <v>0.0822</v>
      </c>
      <c r="O1702" t="n">
        <v>0.146</v>
      </c>
    </row>
    <row r="1703">
      <c r="A1703" t="inlineStr">
        <is>
          <t>retrofit</t>
        </is>
      </c>
      <c r="B1703" t="inlineStr">
        <is>
          <t>samples/src/main/java/com/example/retrofit/JsonAndXmlConverters.java</t>
        </is>
      </c>
      <c r="C1703">
        <f>HYPERLINK("https://github.com/square/retrofit/blob/master/samples/src/main/java/com/example/retrofit/JsonAndXmlConverters.java")</f>
        <v/>
      </c>
      <c r="D1703" t="inlineStr">
        <is>
          <t>The code you provided appears to be a license for an open source software project titled "Retrofit". It is licensed under the Apache License version 2.0 and provides guidelines on how users may use or distribute this software in compliance with the terms of the license. The specific language governing permissions and limitations are outlined within the license.
# AI Model Explanation
This model explains that</t>
        </is>
      </c>
      <c r="E1703" t="n">
        <v>0.0036</v>
      </c>
      <c r="F1703" t="n">
        <v>0.08110000000000001</v>
      </c>
      <c r="G1703" t="n">
        <v>0.1449</v>
      </c>
      <c r="H1703" t="inlineStr">
        <is>
          <t>The code you provided appears to be a Java implementation of the add function from the Apache Commons Math library. It's used for performing arithmetic operations such as addition on numbers and vectors in computer programming. The complexity is O(1), meaning it has constant time complexity because no matter how large the input size is, the operation will always take the same amount of time.
Here are</t>
        </is>
      </c>
      <c r="I1703" t="n">
        <v>0.0027</v>
      </c>
      <c r="J1703" t="n">
        <v>0.0779</v>
      </c>
      <c r="K1703" t="n">
        <v>0.1079</v>
      </c>
      <c r="L1703" t="inlineStr">
        <is>
          <t>The code provided is for a Retrofit library implementation in Java using OkHttp as the networking layer. The main purpose of this code seems to be creating mock responses with customizable data and headers.
The `create` method takes an input parameter which represents the response body content type (like "application/json"). It then creates a new instance of MockResponse class from okhttp3</t>
        </is>
      </c>
      <c r="M1703" t="n">
        <v>0.003</v>
      </c>
      <c r="N1703" t="n">
        <v>0.0571</v>
      </c>
      <c r="O1703" t="n">
        <v>0.1504</v>
      </c>
    </row>
    <row r="1704">
      <c r="A1704" t="inlineStr">
        <is>
          <t>retrofit</t>
        </is>
      </c>
      <c r="B1704" t="inlineStr">
        <is>
          <t>samples/src/main/java/com/example/retrofit/DynamicBaseUrl.java</t>
        </is>
      </c>
      <c r="C1704">
        <f>HYPERLINK("https://github.com/square/retrofit/blob/master/samples/src/main/java/com/example/retrofit/DynamicBaseUrl.java")</f>
        <v/>
      </c>
      <c r="D1704" t="inlineStr">
        <is>
          <t>The code is a Java implementation of Retrofit with OkHttp interception for dynamic host change at runtime. It's licensed under the Apache 2.0 license and can be used in compliance with that license agreement. The purpose seems to be changing the target host dynamically during run time using an Interceptor provided by OkHttp library. This allows you to switch between different servers based on</t>
        </is>
      </c>
      <c r="E1704" t="n">
        <v>0.0034</v>
      </c>
      <c r="F1704" t="n">
        <v>0.0541</v>
      </c>
      <c r="G1704" t="n">
        <v>0.1471</v>
      </c>
      <c r="H1704" t="inlineStr">
        <is>
          <t>The code you provided is a simple addition function in Python. It takes two arguments and returns their sum. The time complexity of this operation is O(1), which means it always executes in the same amount of time regardless of the size of the input data.
Here's a concise summary of its functionality: 
```python
# Function to add two numbers</t>
        </is>
      </c>
      <c r="I1704" t="n">
        <v>0.003</v>
      </c>
      <c r="J1704" t="n">
        <v>0.058</v>
      </c>
      <c r="K1704" t="n">
        <v>0.1136</v>
      </c>
      <c r="L1704" t="inlineStr">
        <is>
          <t>The code provided is a Java example of using Retrofit with OkHttp to make network requests in an Android application. The purpose of the code seems to be to dynamically change the target host name at runtime based on user input or other factors.
Here's what it does:
1. It creates an instance of `OkHttpClient` and adds an interceptor</t>
        </is>
      </c>
      <c r="M1704" t="n">
        <v>0.0031</v>
      </c>
      <c r="N1704" t="n">
        <v>0.0294</v>
      </c>
      <c r="O1704" t="n">
        <v>0.07630000000000001</v>
      </c>
    </row>
    <row r="1705">
      <c r="A1705" t="inlineStr">
        <is>
          <t>retrofit</t>
        </is>
      </c>
      <c r="B1705" t="inlineStr">
        <is>
          <t>samples/src/main/java/com/example/retrofit/ErrorHandlingAdapter.java</t>
        </is>
      </c>
      <c r="C1705">
        <f>HYPERLINK("https://github.com/square/retrofit/blob/master/samples/src/main/java/com/example/retrofit/ErrorHandlingAdapter.java")</f>
        <v/>
      </c>
      <c r="D1705" t="inlineStr">
        <is>
          <t>The code provided is a Java implementation of Retrofit library for networking in Android applications. It's licensed under Apache License 2.0 and can be used without restrictions as long as the license terms are followed. The software uses annotations to define how HTTP requests should be made by Retrofit service methods. This includes details about request method (GET, POST etc.), URL path, query</t>
        </is>
      </c>
      <c r="E1705" t="n">
        <v>0.0038</v>
      </c>
      <c r="F1705" t="n">
        <v>0.0548</v>
      </c>
      <c r="G1705" t="n">
        <v>0.1852</v>
      </c>
      <c r="H1705" t="inlineStr">
        <is>
          <t>Code:```
// Copyright (C) 2015 Square, Inc.
//
// Licensed under the Apache License, Version 2.0 (the "License");
// you may not use this file except in compliance with the License.
// You may obtain a copy of the License at
//
//      http://www.apache.org/</t>
        </is>
      </c>
      <c r="I1705" t="n">
        <v>0</v>
      </c>
      <c r="J1705" t="n">
        <v>0.0408</v>
      </c>
      <c r="K1705" t="n">
        <v>0.0862</v>
      </c>
      <c r="L1705" t="inlineStr">
        <is>
          <t>The code provided is a Retrofit library implementation in Java for making HTTP requests to RESTful web services. The main purpose of this code seems to be the creation and execution of API calls using Retrofit's Call interface. 
It takes inputs (API endpoints) and returns outputs (HTTP responses). It has been designed with readability, maintainability, and comprehens</t>
        </is>
      </c>
      <c r="M1705" t="n">
        <v>0.0032</v>
      </c>
      <c r="N1705" t="n">
        <v>0.0606</v>
      </c>
      <c r="O1705" t="n">
        <v>0.155</v>
      </c>
    </row>
    <row r="1706">
      <c r="A1706" t="inlineStr">
        <is>
          <t>retrofit</t>
        </is>
      </c>
      <c r="B1706" t="inlineStr">
        <is>
          <t>samples/src/main/java/com/example/retrofit/ConditionalLoggingInterceptor.kt</t>
        </is>
      </c>
      <c r="C1706">
        <f>HYPERLINK("https://github.com/square/retrofit/blob/master/samples/src/main/java/com/example/retrofit/ConditionalLoggingInterceptor.kt")</f>
        <v/>
      </c>
      <c r="D1706" t="inlineStr">
        <is>
          <t>The code you've provided is a Java Kotlin script that defines an OkHTTP client with interceptors and mock server for testing purposes. The Mock Web Server allows the simulation of network responses without requiring real backend services or internet connectivity. It also logs HTTP requests and responses at different levels (info, headers, body). This setup helps in unit tests where we can simulate various scenarios to test</t>
        </is>
      </c>
      <c r="E1706" t="n">
        <v>0.0032</v>
      </c>
      <c r="F1706" t="n">
        <v>0.0263</v>
      </c>
      <c r="G1706" t="n">
        <v>0.07190000000000001</v>
      </c>
      <c r="H1706" t="inlineStr">
        <is>
          <t>The provided code is a simple implementation of an addition function in Kotlin programming language. The functionality of the add function takes two parameters (numbers), adds them together and returns the result. This operation has a time complexity of O(1).
The copyright notice at the beginning of the file indicates that it's licensed under Apache License 2.0 which means you can use</t>
        </is>
      </c>
      <c r="I1706" t="n">
        <v>0.0039</v>
      </c>
      <c r="J1706" t="n">
        <v>0.0822</v>
      </c>
      <c r="K1706" t="n">
        <v>0.1493</v>
      </c>
      <c r="L1706" t="inlineStr">
        <is>
          <t>```kotlin
// Copyright (C) 2024 Square, Inc. Licensed under the Apache License, Version 2.0 (the "License"); you may not use this file except in compliance with the License. You may obtain a copy of the License at http://www.apache.org/licenses/LICENSE-2.0 Unless required</t>
        </is>
      </c>
      <c r="M1706" t="n">
        <v>0</v>
      </c>
      <c r="N1706" t="n">
        <v>0.0364</v>
      </c>
      <c r="O1706" t="n">
        <v>0.0893</v>
      </c>
    </row>
    <row r="1707">
      <c r="A1707" t="inlineStr">
        <is>
          <t>retrofit</t>
        </is>
      </c>
      <c r="B1707" t="inlineStr">
        <is>
          <t>samples/src/main/java/com/example/retrofit/JsonQueryParameters.java</t>
        </is>
      </c>
      <c r="C1707">
        <f>HYPERLINK("https://github.com/square/retrofit/blob/master/samples/src/main/java/com/example/retrofit/JsonQueryParameters.java")</f>
        <v/>
      </c>
      <c r="D1707" t="inlineStr">
        <is>
          <t>The code you provided appears to be a license for software under the Apache License 2.0. It specifies conditions and limitations of use, as well as details on how to obtain a copy of this license. The repository contains backend components and implementation of core algorithms. However, it's unclear what specific functionality is being summarized or described in your request. Please provide more context or specify which part</t>
        </is>
      </c>
      <c r="E1707" t="n">
        <v>0.0038</v>
      </c>
      <c r="F1707" t="n">
        <v>0.1026</v>
      </c>
      <c r="G1707" t="n">
        <v>0.2143</v>
      </c>
      <c r="H1707" t="inlineStr">
        <is>
          <t>The code you provided is a Java implementation of the addition function using OkHttp library for mocking web server responses. It's licensed under Apache 2.0 License and it contains comments explaining what each part does. The complexity of this operation is O(1), meaning that its time complexity remains constant regardless of input size.
Here are some key points from your README file:</t>
        </is>
      </c>
      <c r="I1707" t="n">
        <v>0.0029</v>
      </c>
      <c r="J1707" t="n">
        <v>0.0822</v>
      </c>
      <c r="K1707" t="n">
        <v>0.1493</v>
      </c>
      <c r="L1707" t="inlineStr">
        <is>
          <t>The code provided is a part of the Retrofit library for Android which uses OkHttp under the hood to handle network requests. It provides annotations and utilities that simplify HTTP communication in Java applications.
The main purpose of this code seems to be defining custom annotation classes (@GET, @POST etc.) with specific behavior (like setting request method or header). These are used as meta</t>
        </is>
      </c>
      <c r="M1707" t="n">
        <v>0.0028</v>
      </c>
      <c r="N1707" t="n">
        <v>0.0278</v>
      </c>
      <c r="O1707" t="n">
        <v>0.1103</v>
      </c>
    </row>
    <row r="1708">
      <c r="A1708" t="inlineStr">
        <is>
          <t>retrofit</t>
        </is>
      </c>
      <c r="B1708" t="inlineStr">
        <is>
          <t>retrofit-response-type-keeper/src/main/kotlin/retrofit2/keeper/RetrofitResponseTypeKeepProcessor.kt</t>
        </is>
      </c>
      <c r="C1708">
        <f>HYPERLINK("https://github.com/square/retrofit/blob/master/retrofit-response-type-keeper/src/main/kotlin/retrofit2/keeper/RetrofitResponseTypeKeepProcessor.kt")</f>
        <v/>
      </c>
      <c r="D1708" t="inlineStr">
        <is>
          <t>The provided code is a Java class with Apache License 2.0 header and it's part of the Retrofit2 Keeper project. The purpose of this software component appears to be implementation of core algorithms related to networking (Retrofit). It has O(N) complexity as per the README file which indicates that its performance scales linearly with input size N.</t>
        </is>
      </c>
      <c r="E1708" t="n">
        <v>0.0042</v>
      </c>
      <c r="F1708" t="n">
        <v>0.1176</v>
      </c>
      <c r="G1708" t="n">
        <v>0.3305</v>
      </c>
      <c r="H1708" t="inlineStr">
        <is>
          <t>The provided code is a simple function for addition of two numbers in Python named `add`. It takes two parameters (numbers), adds them together and returns the result. The time complexity of this operation is O(1).
Here's how it looks like: 
```python
def add(a, b):
    return a + b
```
It</t>
        </is>
      </c>
      <c r="I1708" t="n">
        <v>0.0036</v>
      </c>
      <c r="J1708" t="n">
        <v>0.0667</v>
      </c>
      <c r="K1708" t="n">
        <v>0.122</v>
      </c>
      <c r="L1708" t="inlineStr">
        <is>
          <t>The provided code is a Java implementation of an annotation processor using the Retrofit 2 library for HTTP client communication. The purpose of this code is to process annotated elements and generate corresponding network calls based on these annotations in order to simplify API interaction with Retrofit.
It takes as input executable elements (methods decorated with specific annotations like @GET or @POST). It</t>
        </is>
      </c>
      <c r="M1708" t="n">
        <v>0.0029</v>
      </c>
      <c r="N1708" t="n">
        <v>0.0563</v>
      </c>
      <c r="O1708" t="n">
        <v>0.1481</v>
      </c>
    </row>
    <row r="1709">
      <c r="A1709" t="inlineStr">
        <is>
          <t>retrofit</t>
        </is>
      </c>
      <c r="B1709" t="inlineStr">
        <is>
          <t>retrofit-response-type-keeper/src/test/kotlin/retrofit2/keeper/RetrofitResponseTypeKeepProcessorTest.kt</t>
        </is>
      </c>
      <c r="C1709">
        <f>HYPERLINK("https://github.com/square/retrofit/blob/master/retrofit-response-type-keeper/src/test/kotlin/retrofit2/keeper/RetrofitResponseTypeKeepProcessorTest.kt")</f>
        <v/>
      </c>
      <c r="D1709" t="inlineStr">
        <is>
          <t>The code provided is a JUnit test class named `RetrofitResponseTypeKeepProcessorTest` that tests the functionality of all HTTP methods using Retrofit library in Java. It's licensed under Apache License 2.0 and it contains comments explaining its implementation and complexity (O(N)). The repository also includes backend software components with initial commit as mentioned in the README file. Summary</t>
        </is>
      </c>
      <c r="E1709" t="n">
        <v>0.0043</v>
      </c>
      <c r="F1709" t="n">
        <v>0.0597</v>
      </c>
      <c r="G1709" t="n">
        <v>0.1563</v>
      </c>
      <c r="H1709" t="inlineStr">
        <is>
          <t>The provided code is a Java function for addition of two numbers. It takes in two parameters 'a' and 'b', performs the operation 'a + b' and returns the result. This functionality can be summarized as follows: "Performs an addition operation on two input numbers." The complexity of this implementation is O(1), indicating that it has constant time complexity since no loops or recurs</t>
        </is>
      </c>
      <c r="I1709" t="n">
        <v>0.0037</v>
      </c>
      <c r="J1709" t="n">
        <v>0.0556</v>
      </c>
      <c r="K1709" t="n">
        <v>0.1471</v>
      </c>
      <c r="L1709" t="inlineStr">
        <is>
          <t>The code provided is a JUnit test class named `RetrofitResponseTypeKeepProcessorTest` that tests all HTTP methods (GET, POST, PUT, DELETE). It uses the Retrofit library to make network requests and checks if the response type matches expected types based on the method being called. 
The main purpose of this code is to validate whether or not the</t>
        </is>
      </c>
      <c r="M1709" t="n">
        <v>0.0033</v>
      </c>
      <c r="N1709" t="n">
        <v>0.0312</v>
      </c>
      <c r="O1709" t="n">
        <v>0.1172</v>
      </c>
    </row>
    <row r="1710">
      <c r="A1710" t="inlineStr">
        <is>
          <t>retrofit</t>
        </is>
      </c>
      <c r="B1710" t="inlineStr">
        <is>
          <t>retrofit-mock/src/main/java/retrofit2/mock/Calls.java</t>
        </is>
      </c>
      <c r="C1710">
        <f>HYPERLINK("https://github.com/square/retrofit/blob/master/retrofit-mock/src/main/java/retrofit2/mock/Calls.java")</f>
        <v/>
      </c>
      <c r="D1710" t="inlineStr">
        <is>
          <t>The code provided is a mock implementation of Retrofit 2's Call interface using OkHttp under the Apache License version 2.0. It provides factory methods for creating instances that immediately respond or fail to network requests. The license details are also included at the top of the file which states it can be used in compliance with the terms and conditions mentioned on their official website.</t>
        </is>
      </c>
      <c r="E1710" t="n">
        <v>0.0028</v>
      </c>
      <c r="F1710" t="n">
        <v>0.0533</v>
      </c>
      <c r="G1710" t="n">
        <v>0.1095</v>
      </c>
      <c r="H1710" t="inlineStr">
        <is>
          <t>The provided code is a Java class that uses Retrofit 2 to create mock calls for testing purposes. The class contains several factory methods (static methods) which return instances of Call objects immediately responding or failing based on certain conditions.
The `create()` method creates an instance of the Call object and returns it with predefined responses. This can be useful in unit tests where</t>
        </is>
      </c>
      <c r="I1710" t="n">
        <v>0.0034</v>
      </c>
      <c r="J1710" t="n">
        <v>0.0278</v>
      </c>
      <c r="K1710" t="n">
        <v>0.1103</v>
      </c>
      <c r="L1710" t="inlineStr">
        <is>
          <t>ThegivenJavaSourceCodeFileincludesaClassnamedRetrofit2MockthatusesOkHttp3librarytogeneratesimmediateresponsesortofailuresusingfactorymethodspattern.Ithasvariouspropertiesandmethodsincludingprivatefieldslikerequest,timeout,callablesetc. andpublicmethodslikeexecute(),cancel() etc. Theclassalsofollowsthreadsafehandlingme</t>
        </is>
      </c>
      <c r="M1710" t="n">
        <v>0</v>
      </c>
      <c r="N1710" t="n">
        <v>0</v>
      </c>
      <c r="O1710" t="n">
        <v>0</v>
      </c>
    </row>
    <row r="1711">
      <c r="A1711" t="inlineStr">
        <is>
          <t>retrofit</t>
        </is>
      </c>
      <c r="B1711" t="inlineStr">
        <is>
          <t>retrofit-mock/src/main/java/retrofit2/mock/BehaviorCall.java</t>
        </is>
      </c>
      <c r="C1711">
        <f>HYPERLINK("https://github.com/square/retrofit/blob/master/retrofit-mock/src/main/java/retrofit2/mock/BehaviorCall.java")</f>
        <v/>
      </c>
      <c r="D1711" t="inlineStr">
        <is>
          <t>The code provided is a mock implementation of Retrofit 2 using OkHttp for network communication in Java language. It's licensed under Apache License Version 2.0 and includes various conditions that need to be met before it can be used effectively. The license permits distribution but requires certain conditions like compliance with the license terms and attribution of copyright notice.
It appears to serve as</t>
        </is>
      </c>
      <c r="E1711" t="n">
        <v>0.0028</v>
      </c>
      <c r="F1711" t="n">
        <v>0.0541</v>
      </c>
      <c r="G1711" t="n">
        <v>0.1103</v>
      </c>
      <c r="H1711" t="inlineStr">
        <is>
          <t>The provided code is a Java class that uses Retrofit 2 to make HTTP requests and mock the responses for testing purposes. It's licensed under Apache License Version 2.0. The copyright notice at the top of the file mentions "Â© 2015 Square, Inc.". This repository contains backend software components implementing core algorithms.
The main method in this class</t>
        </is>
      </c>
      <c r="I1711" t="n">
        <v>0.0045</v>
      </c>
      <c r="J1711" t="n">
        <v>0.1194</v>
      </c>
      <c r="K1711" t="n">
        <v>0.328</v>
      </c>
      <c r="L1711" t="inlineStr">
        <is>
          <t>The code in question is a mock implementation of Retrofit 2 using OkHttp for network communication. It provides an interface to create and execute HTTP requests with various methods (GET, POST etc.). The main purpose of this class is to simulate server responses by returning predefined results or exceptions based on the provided conditions.
It uses CountDownLatch for synchronization between different threads</t>
        </is>
      </c>
      <c r="M1711" t="n">
        <v>0.0029</v>
      </c>
      <c r="N1711" t="n">
        <v>0.0571</v>
      </c>
      <c r="O1711" t="n">
        <v>0.1493</v>
      </c>
    </row>
    <row r="1712">
      <c r="A1712" t="inlineStr">
        <is>
          <t>retrofit</t>
        </is>
      </c>
      <c r="B1712" t="inlineStr">
        <is>
          <t>retrofit-mock/src/main/java/retrofit2/mock/package-info.java</t>
        </is>
      </c>
      <c r="C1712">
        <f>HYPERLINK("https://github.com/square/retrofit/blob/master/retrofit-mock/src/main/java/retrofit2/mock/package-info.java")</f>
        <v/>
      </c>
      <c r="D1712" t="inlineStr">
        <is>
          <t>The code provided is a mock implementation of Retrofit 2's internal package for testing purposes. It contains backend software components and implements core algorithms used in network communication. The complexity of the code is O(N), indicating linear time complexity due to its nature of looping through elements (N being number of elements). This repository also includes initial commit details about the size of the code base which</t>
        </is>
      </c>
      <c r="E1712" t="n">
        <v>0.0072</v>
      </c>
      <c r="F1712" t="n">
        <v>0.0779</v>
      </c>
      <c r="G1712" t="n">
        <v>0.3068</v>
      </c>
      <c r="H1712" t="inlineStr">
        <is>
          <t>The repository contains backend software components that implement core algorithms for the application. The code size is 64 and its complexity is O(N). It's implemented with retrofit2.internal.EverythingIsNonNull package which ensures all objects are non-null to prevent potential null pointer exceptions in runtime.
```java
@Retention(RUNTIME)
public @interface</t>
        </is>
      </c>
      <c r="I1712" t="n">
        <v>0.0053</v>
      </c>
      <c r="J1712" t="n">
        <v>0.1333</v>
      </c>
      <c r="K1712" t="n">
        <v>0.1695</v>
      </c>
      <c r="L1712" t="inlineStr">
        <is>
          <t>The provided code is a part of the Retrofit 2 library in Java and it's responsible for mocking HTTP requests using OkHttp as an engine to execute these mocks. It provides various functionalities such as setting up request/response behaviors, validating network calls etc. The main purpose of this module seems to be providing tools for testing Android applications that use Retrofit by sim</t>
        </is>
      </c>
      <c r="M1712" t="n">
        <v>0.0034</v>
      </c>
      <c r="N1712" t="n">
        <v>0.0548</v>
      </c>
      <c r="O1712" t="n">
        <v>0.1481</v>
      </c>
    </row>
    <row r="1713">
      <c r="A1713" t="inlineStr">
        <is>
          <t>retrofit</t>
        </is>
      </c>
      <c r="B1713" t="inlineStr">
        <is>
          <t>retrofit-mock/src/main/java/retrofit2/mock/KotlinExtensions.kt</t>
        </is>
      </c>
      <c r="C1713">
        <f>HYPERLINK("https://github.com/square/retrofit/blob/master/retrofit-mock/src/main/java/retrofit2/mock/KotlinExtensions.kt")</f>
        <v/>
      </c>
      <c r="D1713" t="inlineStr">
        <is>
          <t>The code provided is a part of Retrofit library's source code for creating mock objects using Behavior delegate pattern in Kotlin language. It defines the function create() that creates an instance of T and returns it wrapped with behavior delegate which allows defining behaviors for different types of requests to server. The complexity of this implementation is O(n), where n represents number of classes being created by</t>
        </is>
      </c>
      <c r="E1713" t="n">
        <v>0.0027</v>
      </c>
      <c r="F1713" t="n">
        <v>0.0519</v>
      </c>
      <c r="G1713" t="n">
        <v>0.1439</v>
      </c>
      <c r="H1713" t="inlineStr">
        <is>
          <t>The code provided is a mock implementation of the Retrofit library's create method which creates an instance of T for use with Retrofit. The function uses reified generics to specify the type parameter T at runtime and returns a BehaviorDelegate object that can be used to control behavior during testing. This allows you to simulate network responses or other side effects in your tests without making actual HTTP</t>
        </is>
      </c>
      <c r="I1713" t="n">
        <v>0.0032</v>
      </c>
      <c r="J1713" t="n">
        <v>0.0779</v>
      </c>
      <c r="K1713" t="n">
        <v>0.1786</v>
      </c>
      <c r="L1713" t="inlineStr">
        <is>
          <t>Thegivensourcecodefileimplentsafunctionthatcreatesinstancesofabehaviourdelegatesusingreflectioninthetokensubstitutionpattern.Itdoesthisviainvokingthe`create()`methodfromthe`MockRetrofit`objectpassingitthetypeofTthroughinvoke. Theresultinginstanceisusedtomocknetworkcallsinlinewithunitests</t>
        </is>
      </c>
      <c r="M1713" t="n">
        <v>0</v>
      </c>
      <c r="N1713" t="n">
        <v>0</v>
      </c>
      <c r="O1713" t="n">
        <v>0</v>
      </c>
    </row>
    <row r="1714">
      <c r="A1714" t="inlineStr">
        <is>
          <t>retrofit</t>
        </is>
      </c>
      <c r="B1714" t="inlineStr">
        <is>
          <t>retrofit-mock/src/main/java/retrofit2/mock/BehaviorDelegate.java</t>
        </is>
      </c>
      <c r="C1714">
        <f>HYPERLINK("https://github.com/square/retrofit/blob/master/retrofit-mock/src/main/java/retrofit2/mock/BehaviorDelegate.java")</f>
        <v/>
      </c>
      <c r="D1714" t="inlineStr">
        <is>
          <t>The provided code is a mock implementation of Retrofit 2's service interface generator using Java reflection and proxies for handling network requests in an asynchronous manner. It also includes Apache License information at the top to ensure compliance with licensing requirements. The functionality allows generating services from interfaces annotated with @GET or @POST methods through which HTTP requests are made. This process involves obtaining method</t>
        </is>
      </c>
      <c r="E1714" t="n">
        <v>0.0037</v>
      </c>
      <c r="F1714" t="n">
        <v>0.0541</v>
      </c>
      <c r="G1714" t="n">
        <v>0.146</v>
      </c>
      <c r="H1714" t="inlineStr">
        <is>
          <t>The code provided is a Java class that uses the Retrofit library to create mock objects for interfaces defined in Kotlin. The purpose of this class seems to be testing or setting up infrastructure where network requests are made and responses are expected.
Here's an overview of what it does: 
It defines several classes related to creating mock services with Retrofit using J</t>
        </is>
      </c>
      <c r="I1714" t="n">
        <v>0.0029</v>
      </c>
      <c r="J1714" t="n">
        <v>0.0556</v>
      </c>
      <c r="K1714" t="n">
        <v>0.1111</v>
      </c>
      <c r="L1714" t="inlineStr">
        <is>
          <t>The provided code is a mock implementation of the Retrofit library in Java. It provides an interface for defining and managing HTTP requests to REST endpoints using annotation processing at compile time. The main purpose of this code seems to be creating proxies that intercept method calls on interfaces annotated with `@Rest` or `@GET`, `@POST` etc. These methods are</t>
        </is>
      </c>
      <c r="M1714" t="n">
        <v>0.0031</v>
      </c>
      <c r="N1714" t="n">
        <v>0.0597</v>
      </c>
      <c r="O1714" t="n">
        <v>0.1527</v>
      </c>
    </row>
    <row r="1715">
      <c r="A1715" t="inlineStr">
        <is>
          <t>retrofit</t>
        </is>
      </c>
      <c r="B1715" t="inlineStr">
        <is>
          <t>retrofit-mock/src/main/java/retrofit2/mock/NetworkBehavior.java</t>
        </is>
      </c>
      <c r="C1715">
        <f>HYPERLINK("https://github.com/square/retrofit/blob/master/retrofit-mock/src/main/java/retrofit2/mock/NetworkBehavior.java")</f>
        <v/>
      </c>
      <c r="D1715" t="inlineStr">
        <is>
          <t>The code you provided appears to be a mock class for simulating network calls using Retrofit 2 library in Java. This class models three properties of an HTTP response including the status code, body and delay time. The class also includes methods to set these properties as well as simulate delayed responses. However, it's not clear what your question is regarding this specific piece of code. Could you</t>
        </is>
      </c>
      <c r="E1715" t="n">
        <v>0.0032</v>
      </c>
      <c r="F1715" t="n">
        <v>0.0519</v>
      </c>
      <c r="G1715" t="n">
        <v>0.1071</v>
      </c>
      <c r="H1715" t="inlineStr">
        <is>
          <t>```plaintext
The code you provided is a Java class that simulates the behavior of network calls using Retrofit 2 library and OkHttp. It's licensed under Apache License Version 2.0 which means it can be used freely for any purpose as long as proper attribution is given to its original author (Square Inc.). The license also specifies conditions on red</t>
        </is>
      </c>
      <c r="I1715" t="n">
        <v>0.0031</v>
      </c>
      <c r="J1715" t="n">
        <v>0.029</v>
      </c>
      <c r="K1715" t="n">
        <v>0.07630000000000001</v>
      </c>
      <c r="L1715" t="inlineStr">
        <is>
          <t>Theresponsereceivedfromtheserver.**&lt;li&gt;&lt;b&gt;Successful:&lt;/b&gt;Indicateswhethertherequestwassuccessfullyprocessed.&lt;/li&gt;&lt;li&gt;&lt;b&gt;Delay:&lt;/b&gt;Representshowlongtheclientshouldwaitbeforeattemptingtorequestagain.&lt;/li&gt;&lt;li&gt;&lt;b&gt;Data:&lt;/b&gt;Containsanydata</t>
        </is>
      </c>
      <c r="M1715" t="n">
        <v>0</v>
      </c>
      <c r="N1715" t="n">
        <v>0</v>
      </c>
      <c r="O1715" t="n">
        <v>0</v>
      </c>
    </row>
    <row r="1716">
      <c r="A1716" t="inlineStr">
        <is>
          <t>retrofit</t>
        </is>
      </c>
      <c r="B1716" t="inlineStr">
        <is>
          <t>retrofit-mock/src/main/java/retrofit2/mock/MockRetrofitIOException.java</t>
        </is>
      </c>
      <c r="C1716">
        <f>HYPERLINK("https://github.com/square/retrofit/blob/master/retrofit-mock/src/main/java/retrofit2/mock/MockRetrofitIOException.java")</f>
        <v/>
      </c>
      <c r="D1716" t="inlineStr">
        <is>
          <t>The code provided is a custom IOException class that extends the standard Java IOException class and provides its own message when thrown. It appears to be part of an HTTP client library called Retrofit 2 with mock functionality. The exception is used for triggering failures in network behavior simulation during testing or development. This could help developers understand how their application behaves under different scenarios by simulating various types of errors</t>
        </is>
      </c>
      <c r="E1716" t="n">
        <v>0.003</v>
      </c>
      <c r="F1716" t="n">
        <v>0.0253</v>
      </c>
      <c r="G1716" t="n">
        <v>0.1049</v>
      </c>
      <c r="H1716" t="inlineStr">
        <is>
          <t>The code provided is a simple addition function in Python named 'add'. It takes two parameters and returns their sum. The time complexity of this operation is O(1), meaning it always executes the same number of steps regardless of input size.
The README file explains that this repository contains backend software components related to retrofit 2 mocking library for testing network calls. The implementation</t>
        </is>
      </c>
      <c r="I1716" t="n">
        <v>0.0034</v>
      </c>
      <c r="J1716" t="n">
        <v>0.0822</v>
      </c>
      <c r="K1716" t="n">
        <v>0.1838</v>
      </c>
      <c r="L1716" t="inlineStr">
        <is>
          <t>The given source code file is a custom exception class `MockRetrofitIOException` that extends the standard Java IOException. This class represents an IO Exception specifically designed for use with Mock Retrofit library in Android development. The purpose of this class seems to be to provide more meaningful error messages when network behavior defined by Mock Retrofit triggers failures. It does not seem to contain any logic or operations</t>
        </is>
      </c>
      <c r="M1716" t="n">
        <v>0.0027</v>
      </c>
      <c r="N1716" t="n">
        <v>0.0533</v>
      </c>
      <c r="O1716" t="n">
        <v>0.07190000000000001</v>
      </c>
    </row>
    <row r="1717">
      <c r="A1717" t="inlineStr">
        <is>
          <t>retrofit</t>
        </is>
      </c>
      <c r="B1717" t="inlineStr">
        <is>
          <t>retrofit-mock/src/main/java/retrofit2/mock/MockRetrofit.java</t>
        </is>
      </c>
      <c r="C1717">
        <f>HYPERLINK("https://github.com/square/retrofit/blob/master/retrofit-mock/src/main/java/retrofit2/mock/MockRetrofit.java")</f>
        <v/>
      </c>
      <c r="D1717" t="inlineStr">
        <is>
          <t>The code provided is a Java class named "MockRetrofit". It's part of the Retrofit library for Android and provides mocking capabilities to simulate network responses during development or testing. The MockRetrofit object takes three parameters in its constructor - an instance of Retrofit (which represents the actual API client), a Network Behavior that defines how the requests should behave (like</t>
        </is>
      </c>
      <c r="E1717" t="n">
        <v>0.003</v>
      </c>
      <c r="F1717" t="n">
        <v>0.0294</v>
      </c>
      <c r="G1717" t="n">
        <v>0.07580000000000001</v>
      </c>
      <c r="H1717" t="inlineStr">
        <is>
          <t>The code you provided is a Java class named `MockRetrofit` that uses Retrofit for mocking HTTP requests in unit tests. It has four private fields and one public constructor. The first three are instances of the classes `Retrofit`, `NetworkBehavior`, and an instance of `ExecutorService` respectively.
The main functionality of this class appears to</t>
        </is>
      </c>
      <c r="I1717" t="n">
        <v>0.0041</v>
      </c>
      <c r="J1717" t="n">
        <v>0.0328</v>
      </c>
      <c r="K1717" t="n">
        <v>0.12</v>
      </c>
      <c r="L1717" t="inlineStr">
        <is>
          <t>The provided code is a Java class named `MockRetrofit` that acts as a mock implementation of the Retrofit library for testing network requests in an Android application.
It has four private fields: 
1. A final field `retrofit` which holds the instance of the actual retrofit object being used to make real API calls. This is typically created with</t>
        </is>
      </c>
      <c r="M1717" t="n">
        <v>0.0031</v>
      </c>
      <c r="N1717" t="n">
        <v>0.0303</v>
      </c>
      <c r="O1717" t="n">
        <v>0.1154</v>
      </c>
    </row>
    <row r="1718">
      <c r="A1718" t="inlineStr">
        <is>
          <t>retrofit</t>
        </is>
      </c>
      <c r="B1718" t="inlineStr">
        <is>
          <t>retrofit-mock/src/test/java/retrofit2/mock/MockRetrofitTest.java</t>
        </is>
      </c>
      <c r="C1718">
        <f>HYPERLINK("https://github.com/square/retrofit/blob/master/retrofit-mock/src/test/java/retrofit2/mock/MockRetrofitTest.java")</f>
        <v/>
      </c>
      <c r="D1718" t="inlineStr">
        <is>
          <t>The provided code is a JUnit test class for testing the functionality of `MockRetrofit` from Retrofit 2 library. The tests are written to ensure that certain conditions (like passing null values during object creation or checking if the retrofit instance passed in constructor and returned by method match) throw expected exceptions/errors. There's also an assertion check ensuring that the same instance of</t>
        </is>
      </c>
      <c r="E1718" t="n">
        <v>0.0035</v>
      </c>
      <c r="F1718" t="n">
        <v>0.0556</v>
      </c>
      <c r="G1718" t="n">
        <v>0.0746</v>
      </c>
      <c r="H1718" t="inlineStr">
        <is>
          <t>The provided code is a JUnit test for the MockRetrofit library in Java. It tests two things: 
- The first test method `retrofitNullThrows()` checks if passing null to the constructor of the MockRetrofit builder throws an exception with message "retrofit==null". This indicates that retrofit cannot be null when creating a new instance</t>
        </is>
      </c>
      <c r="I1718" t="n">
        <v>0.0035</v>
      </c>
      <c r="J1718" t="n">
        <v>0.0333</v>
      </c>
      <c r="K1718" t="n">
        <v>0.0403</v>
      </c>
      <c r="L1718" t="inlineStr">
        <is>
          <t>The code provided is a JUnit test suite for the MockRetrofit library in Java. It tests two functionalities of this library - null retrofit check and retrofit propagation. 
Here's an overview of its functionality:
1. The first test case `retrofitNullThrows` attempts to create a new instance of MockRetrofit with a null</t>
        </is>
      </c>
      <c r="M1718" t="n">
        <v>0.0036</v>
      </c>
      <c r="N1718" t="n">
        <v>0.0678</v>
      </c>
      <c r="O1718" t="n">
        <v>0.122</v>
      </c>
    </row>
    <row r="1719">
      <c r="A1719" t="inlineStr">
        <is>
          <t>retrofit</t>
        </is>
      </c>
      <c r="B1719" t="inlineStr">
        <is>
          <t>retrofit-mock/src/test/java/retrofit2/mock/CallsTest.java</t>
        </is>
      </c>
      <c r="C1719">
        <f>HYPERLINK("https://github.com/square/retrofit/blob/master/retrofit-mock/src/test/java/retrofit2/mock/CallsTest.java")</f>
        <v/>
      </c>
      <c r="D1719" t="inlineStr">
        <is>
          <t>```plaintext
// Copyright (C) 2017 Square, Inc. Licensed under the Apache License, Version 2.0 (the "License"); you may not use this file except in compliance with the License. You can obtain a copy of the License at http://www.apache.org/licenses/LICENSE-2.0 Unless required by</t>
        </is>
      </c>
      <c r="E1719" t="n">
        <v>0</v>
      </c>
      <c r="F1719" t="n">
        <v>0.0357</v>
      </c>
      <c r="G1719" t="n">
        <v>0.0885</v>
      </c>
      <c r="H1719" t="inlineStr">
        <is>
          <t>The code you provided is a Java function for addition of two numbers using the `+` operator. The functionality of this code can be summarized as follows: This function takes in two parameters (numbers), adds them together and returns the result. It has a time complexity of O(1).
Here's an example usage: 
```java
int sum = add(</t>
        </is>
      </c>
      <c r="I1719" t="n">
        <v>0.0042</v>
      </c>
      <c r="J1719" t="n">
        <v>0.09229999999999999</v>
      </c>
      <c r="K1719" t="n">
        <v>0.155</v>
      </c>
      <c r="L1719" t="inlineStr">
        <is>
          <t>The provided code is a mock implementation of Retrofit 2's Response class in Java. It uses Google Truth for assertions and JUnit for more specific assertion checks. The main purpose of this code seems to be testing the functionality of the response object returned by an API call using Retrofit library.
Here are some key operations performed during execution:
1. Assert</t>
        </is>
      </c>
      <c r="M1719" t="n">
        <v>0.0036</v>
      </c>
      <c r="N1719" t="n">
        <v>0.0571</v>
      </c>
      <c r="O1719" t="n">
        <v>0.1504</v>
      </c>
    </row>
    <row r="1720">
      <c r="A1720" t="inlineStr">
        <is>
          <t>retrofit</t>
        </is>
      </c>
      <c r="B1720" t="inlineStr">
        <is>
          <t>retrofit-mock/src/test/java/retrofit2/mock/NetworkBehaviorTest.java</t>
        </is>
      </c>
      <c r="C1720">
        <f>HYPERLINK("https://github.com/square/retrofit/blob/master/retrofit-mock/src/test/java/retrofit2/mock/NetworkBehaviorTest.java")</f>
        <v/>
      </c>
      <c r="D1720" t="inlineStr">
        <is>
          <t>The code provided is a mock implementation of Retrofit 2 using OkHttp for testing purposes. It includes unit tests and assertions to verify the correctness of the HTTP requests made by Retrofit. The license under which this software can be used is Apache License Version 2.0.
&lt;jreadme&gt;
"""
This repository contains backend software components. Complexity</t>
        </is>
      </c>
      <c r="E1720" t="n">
        <v>0.0044</v>
      </c>
      <c r="F1720" t="n">
        <v>0.0635</v>
      </c>
      <c r="G1720" t="n">
        <v>0.1969</v>
      </c>
      <c r="H1720" t="inlineStr">
        <is>
          <t>The provided code is a Java implementation of the add function which adds two numbers together and returns their sum. The complexity of this operation is O(1), meaning it performs a constant number of operations regardless of input size. This function doesn't throw any exceptions as per standard java coding practices.
The copyright notice at the top indicates that this software is licensed under Apache License 2.</t>
        </is>
      </c>
      <c r="I1720" t="n">
        <v>0.0036</v>
      </c>
      <c r="J1720" t="n">
        <v>0.0779</v>
      </c>
      <c r="K1720" t="n">
        <v>0.2676</v>
      </c>
      <c r="L1720" t="inlineStr">
        <is>
          <t>The provided code is a mock implementation of Retrofit 2 using OkHttp for network requests in Java. It uses Google Truth library to assert the expected response against actual one and Junit framework for testing purposes. The main purpose of this code seems to be to simulate slow or unresponsive server responses by introducing delays before sending back the response. This can help with testing how your application behaves under</t>
        </is>
      </c>
      <c r="M1720" t="n">
        <v>0.0031</v>
      </c>
      <c r="N1720" t="n">
        <v>0.0513</v>
      </c>
      <c r="O1720" t="n">
        <v>0.1408</v>
      </c>
    </row>
    <row r="1721">
      <c r="A1721" t="inlineStr">
        <is>
          <t>retrofit</t>
        </is>
      </c>
      <c r="B1721" t="inlineStr">
        <is>
          <t>retrofit-mock/src/test/java/retrofit2/mock/BehaviorDelegateKotlinTest.kt</t>
        </is>
      </c>
      <c r="C1721">
        <f>HYPERLINK("https://github.com/square/retrofit/blob/master/retrofit-mock/src/test/java/retrofit2/mock/BehaviorDelegateKotlinTest.kt")</f>
        <v/>
      </c>
      <c r="D1721" t="inlineStr">
        <is>
          <t>The code is a mock Retrofit 2 client that tests the behavior of an API endpoint using Kotlin's coroutine framework and Google Truth for assertions. The complexity is O(n), indicating linear time complexity due to the use of loops or recursion in testing each individual response from the server. It uses Apache License version 2.0 which allows users to modify and</t>
        </is>
      </c>
      <c r="E1721" t="n">
        <v>0.003</v>
      </c>
      <c r="F1721" t="n">
        <v>0.0278</v>
      </c>
      <c r="G1721" t="n">
        <v>0.0752</v>
      </c>
      <c r="H1721" t="inlineStr">
        <is>
          <t>The code you provided is a simple function that adds two numbers together in Python. It takes as input parameters 'a' and 'b', performs the addition operation on them and returns the result. The time complexity of this function is O(1), meaning it executes in constant time regardless of the size of the inputs.
Here are some key points about the code:
-</t>
        </is>
      </c>
      <c r="I1721" t="n">
        <v>0.0029</v>
      </c>
      <c r="J1721" t="n">
        <v>0.0563</v>
      </c>
      <c r="K1721" t="n">
        <v>0.1111</v>
      </c>
      <c r="L1721" t="inlineStr">
        <is>
          <t>The provided code is a Kotlin test class named `BehaviorDelegateKotlinTest` that tests the behavior of an API using Retrofit and Mockito libraries for mocking HTTP requests. The purpose of this class seems to be to verify the correctness of certain behaviors related to network responses from APIs. 
Here's what it does in general steps:</t>
        </is>
      </c>
      <c r="M1721" t="n">
        <v>0.0034</v>
      </c>
      <c r="N1721" t="n">
        <v>0.0317</v>
      </c>
      <c r="O1721" t="n">
        <v>0.119</v>
      </c>
    </row>
    <row r="1722">
      <c r="A1722" t="inlineStr">
        <is>
          <t>retrofit</t>
        </is>
      </c>
      <c r="B1722" t="inlineStr">
        <is>
          <t>retrofit-mock/src/test/java/retrofit2/mock/BehaviorDelegateTest.java</t>
        </is>
      </c>
      <c r="C1722">
        <f>HYPERLINK("https://github.com/square/retrofit/blob/master/retrofit-mock/src/test/java/retrofit2/mock/BehaviorDelegateTest.java")</f>
        <v/>
      </c>
      <c r="D1722" t="inlineStr">
        <is>
          <t>The code provided is a mock implementation of Retrofit 2 library for testing purposes and it's licensed under Apache License Version 2.0 (see link in the first line). It contains comments explaining some core algorithms used in this project. The repository consists of backend software components with complexity O(N), where N represents number of lines of codes.
It uses Google Truth framework</t>
        </is>
      </c>
      <c r="E1722" t="n">
        <v>0.0039</v>
      </c>
      <c r="F1722" t="n">
        <v>0.0548</v>
      </c>
      <c r="G1722" t="n">
        <v>0.2239</v>
      </c>
      <c r="H1722" t="inlineStr">
        <is>
          <t>The code provided is a simple addition function in Java named `add` that takes two parameters and returns their sum. The functionality of the code can be summarized as follows:
It accepts two numbers (integers or floating point), adds them together, and then returns the result. 
Here's how it looks like:
```Java
public class Main {</t>
        </is>
      </c>
      <c r="I1722" t="n">
        <v>0.0039</v>
      </c>
      <c r="J1722" t="n">
        <v>0.0625</v>
      </c>
      <c r="K1722" t="n">
        <v>0.0781</v>
      </c>
      <c r="L1722" t="inlineStr">
        <is>
          <t>The provided code is a mock implementation of Retrofit 2 library's response system in Java. It uses Google Truth for assertions and Junit for testing. The main purpose of this code seems to be to simulate network responses with varying delays or failure rates using CountDownLatches and Thread sleep methods.
It provides an interface MockNetworkService that has two functions - getDelay</t>
        </is>
      </c>
      <c r="M1722" t="n">
        <v>0.003</v>
      </c>
      <c r="N1722" t="n">
        <v>0.058</v>
      </c>
      <c r="O1722" t="n">
        <v>0.1504</v>
      </c>
    </row>
    <row r="1723">
      <c r="A1723" t="inlineStr">
        <is>
          <t>retrofit</t>
        </is>
      </c>
      <c r="B1723" t="inlineStr">
        <is>
          <t>retrofit-adapters/rxjava/src/main/java/retrofit2/adapter/rxjava/HttpException.java</t>
        </is>
      </c>
      <c r="C1723">
        <f>HYPERLINK("https://github.com/square/retrofit/blob/master/retrofit-adapters/rxjava/src/main/java/retrofit2/adapter/rxjava/HttpException.java")</f>
        <v/>
      </c>
      <c r="D1723" t="inlineStr">
        <is>
          <t>The provided code is a deprecated version of HttpException class in Retrofit 2 library for Java. This class extends the functionality of retrofit2.HttpException and takes Response object as an argument to its constructor. The purpose of this class seems to be to provide additional information about HTTP exceptions that occur during API requests made using Retrofit. However, it's not used directly by</t>
        </is>
      </c>
      <c r="E1723" t="n">
        <v>0.0039</v>
      </c>
      <c r="F1723" t="n">
        <v>0.0833</v>
      </c>
      <c r="G1723" t="n">
        <v>0.1119</v>
      </c>
      <c r="H1723" t="inlineStr">
        <is>
          <t>The code provided is a deprecated HttpException class from the retrofit2 library in Java. The @Deprecated annotation indicates that this class should not be used and suggests to use another class instead (retrofit2.HttpException). 
In the constructor of the class, it takes a Response object as an argument which represents the HTTP response received by Retrofit after making</t>
        </is>
      </c>
      <c r="I1723" t="n">
        <v>0.0032</v>
      </c>
      <c r="J1723" t="n">
        <v>0.0606</v>
      </c>
      <c r="K1723" t="n">
        <v>0.1163</v>
      </c>
      <c r="L1723" t="inlineStr">
        <is>
          <t>The provided code is a deprecated class named HttpException that extends the base retrofit 2 HttpException class. This class takes in a Response object as an argument during instantiation and passes it to its parent class for further processing. The purpose of this class seems to be to provide more specific error handling capabilities by extending Retrofit's built-in exception handling mechanism with additional functionality.</t>
        </is>
      </c>
      <c r="M1723" t="n">
        <v>0.0034</v>
      </c>
      <c r="N1723" t="n">
        <v>0.0541</v>
      </c>
      <c r="O1723" t="n">
        <v>0.0735</v>
      </c>
    </row>
    <row r="1724">
      <c r="A1724" t="inlineStr">
        <is>
          <t>retrofit</t>
        </is>
      </c>
      <c r="B1724" t="inlineStr">
        <is>
          <t>retrofit-adapters/rxjava/src/main/java/retrofit2/adapter/rxjava/package-info.java</t>
        </is>
      </c>
      <c r="C1724">
        <f>HYPERLINK("https://github.com/square/retrofit/blob/master/retrofit-adapters/rxjava/src/main/java/retrofit2/adapter/rxjava/package-info.java")</f>
        <v/>
      </c>
      <c r="D1724" t="inlineStr">
        <is>
          <t>The provided code is part of the Retrofit 2 library and it contains backend software components related to implementation of core algorithms using RxJava. The complexity of this repository appears to be O(N), indicating that there might be some form of iteration or recursion in place based on the number of elements N. There are also initial commits present which could indicate an ongoing development process. However</t>
        </is>
      </c>
      <c r="E1724" t="n">
        <v>0.0036</v>
      </c>
      <c r="F1724" t="n">
        <v>0.0789</v>
      </c>
      <c r="G1724" t="n">
        <v>0.2158</v>
      </c>
      <c r="H1724" t="inlineStr">
        <is>
          <t>The code you provided is for a Retrofit 2 adapter using RxJava. It's designed to handle backend software components and implement core algorithms. The complexity of this implementation can be considered O(N), where N represents the number of requests being processed in parallel.
Please provide more specific details or context about what functionality you would like summarized from your code so I may</t>
        </is>
      </c>
      <c r="I1724" t="n">
        <v>0.0041</v>
      </c>
      <c r="J1724" t="n">
        <v>0.1096</v>
      </c>
      <c r="K1724" t="n">
        <v>0.2222</v>
      </c>
      <c r="L1724" t="inlineStr">
        <is>
          <t>The provided code is a part of the Retrofit library in Java. It's used to convert HTTP API responses into usable data types within your application using RxJava asynchronous calls. The main purpose of this package and its functionality lies in transforming raw network requests (HTTP GET/POST) into observable streams that can be subscribed on for further processing. This makes it possible to</t>
        </is>
      </c>
      <c r="M1724" t="n">
        <v>0.0038</v>
      </c>
      <c r="N1724" t="n">
        <v>0.0548</v>
      </c>
      <c r="O1724" t="n">
        <v>0.1111</v>
      </c>
    </row>
    <row r="1725">
      <c r="A1725" t="inlineStr">
        <is>
          <t>retrofit</t>
        </is>
      </c>
      <c r="B1725" t="inlineStr">
        <is>
          <t>retrofit-adapters/rxjava/src/main/java/retrofit2/adapter/rxjava/RxJavaCallAdapterFactory.java</t>
        </is>
      </c>
      <c r="C1725">
        <f>HYPERLINK("https://github.com/square/retrofit/blob/master/retrofit-adapters/rxjava/src/main/java/retrofit2/adapter/rxjava/RxJavaCallAdapterFactory.java")</f>
        <v/>
      </c>
      <c r="D1725" t="inlineStr">
        <is>
          <t>The code you provided appears to be a Java class file for an adapter that converts Retrofit calls into RxJava Observables or Completables. The copyright notice indicates it's licensed under the Apache License 2.0 and provides details on how users may use, distribute, modify, etc., with certain conditions. It seems like this is part of a larger system where backend software components</t>
        </is>
      </c>
      <c r="E1725" t="n">
        <v>0.0035</v>
      </c>
      <c r="F1725" t="n">
        <v>0.0556</v>
      </c>
      <c r="G1725" t="n">
        <v>0.1493</v>
      </c>
      <c r="H1725" t="inlineStr">
        <is>
          <t>The provided code is a Retrofit 2 adapter for RxJava that converts the HTTP response into an Observable object in RxJava. The license at the top of the file states it's licensed under Apache License Version 2.0 and you may not use this file except in compliance with the License. You can obtain a copy of the License at http://www.apache</t>
        </is>
      </c>
      <c r="I1725" t="n">
        <v>0.003</v>
      </c>
      <c r="J1725" t="n">
        <v>0.0278</v>
      </c>
      <c r="K1725" t="n">
        <v>0.1136</v>
      </c>
      <c r="L1725" t="inlineStr">
        <is>
          <t>t. This code is an implementation of a Retrofit CallAdapter that converts the response to RxJava Observables or Completables. It does this by implementing the `convert` method which takes in a call and returns either an observable or completable depending on whether the return type of the API endpoint is void (which would result in a Completable). The logic for converting the response into</t>
        </is>
      </c>
      <c r="M1725" t="n">
        <v>0.0034</v>
      </c>
      <c r="N1725" t="n">
        <v>0.1111</v>
      </c>
      <c r="O1725" t="n">
        <v>0.1103</v>
      </c>
    </row>
    <row r="1726">
      <c r="A1726" t="inlineStr">
        <is>
          <t>retrofit</t>
        </is>
      </c>
      <c r="B1726" t="inlineStr">
        <is>
          <t>retrofit-adapters/rxjava/src/main/java/retrofit2/adapter/rxjava/CallExecuteOnSubscribe.java</t>
        </is>
      </c>
      <c r="C1726">
        <f>HYPERLINK("https://github.com/square/retrofit/blob/master/retrofit-adapters/rxjava/src/main/java/retrofit2/adapter/rxjava/CallExecuteOnSubscribe.java")</f>
        <v/>
      </c>
      <c r="D1726" t="inlineStr">
        <is>
          <t>The code provided is for a custom implementation of an RxJava Observable that wraps around Retrofit's Call object to execute the network request and return its response asynchronously in an RxJava observable sequence. The purpose seems to be to abstract away some complexity related with handling callbacks or promises from Retrofit into something more reactive like using observables. It essentially provides</t>
        </is>
      </c>
      <c r="E1726" t="n">
        <v>0.003</v>
      </c>
      <c r="F1726" t="n">
        <v>0.0571</v>
      </c>
      <c r="G1726" t="n">
        <v>0.1128</v>
      </c>
      <c r="H1726" t="inlineStr">
        <is>
          <t>The code you provided is a Java implementation of the OnSubscribe interface from RxJava for Retrofit 2. It's used to convert a Call object (from Retrofit library), which represents an asynchronous HTTP request, into an Observable that can be subscribed and handled in reactive programming style with RxJava. This class takes care of executing the original call and</t>
        </is>
      </c>
      <c r="I1726" t="n">
        <v>0.0037</v>
      </c>
      <c r="J1726" t="n">
        <v>0.0597</v>
      </c>
      <c r="K1726" t="n">
        <v>0.1538</v>
      </c>
      <c r="L1726" t="inlineStr">
        <is>
          <t>The given code is an implementation of the `OnSubscribe` interface from RxJava for Retrofit 2. It's a custom Observable that wraps around a Retrofit Call object and executes it on subscribe. The purpose of this class seems to be to execute network requests in a non-blocking way by using RxJava observables.
It</t>
        </is>
      </c>
      <c r="M1726" t="n">
        <v>0.0035</v>
      </c>
      <c r="N1726" t="n">
        <v>0.0645</v>
      </c>
      <c r="O1726" t="n">
        <v>0.1613</v>
      </c>
    </row>
    <row r="1727">
      <c r="A1727" t="inlineStr">
        <is>
          <t>retrofit</t>
        </is>
      </c>
      <c r="B1727" t="inlineStr">
        <is>
          <t>retrofit-adapters/rxjava/src/main/java/retrofit2/adapter/rxjava/RxJavaCallAdapter.java</t>
        </is>
      </c>
      <c r="C1727">
        <f>HYPERLINK("https://github.com/square/retrofit/blob/master/retrofit-adapters/rxjava/src/main/java/retrofit2/adapter/rxjava/RxJavaCallAdapter.java")</f>
        <v/>
      </c>
      <c r="D1727" t="inlineStr">
        <is>
          <t>The code you provided is a Java class named RxJavaCallAdapter that implements the CallAdapter interface from Retrofit 2 library and adapts Observables to Retrofit calls using RxJava for asynchronous operations. The adapter converts an API call into an observable stream of responses which can be subscribed on different threads depending upon the scheduler passed in. It also handles error cases</t>
        </is>
      </c>
      <c r="E1727" t="n">
        <v>0.0036</v>
      </c>
      <c r="F1727" t="n">
        <v>0.0588</v>
      </c>
      <c r="G1727" t="n">
        <v>0.1136</v>
      </c>
      <c r="H1727" t="inlineStr">
        <is>
          <t>The code you provided is a Java implementation of an RxJava call adapter for Retrofit 2. It's used to convert the response from a network request into an Observable that can be subscribed and handled in a reactive programming style. The license at the top indicates it's licensed under Apache License Version 2.0 which means it's free to use, modify</t>
        </is>
      </c>
      <c r="I1727" t="n">
        <v>0.003</v>
      </c>
      <c r="J1727" t="n">
        <v>0.0556</v>
      </c>
      <c r="K1727" t="n">
        <v>0.1136</v>
      </c>
      <c r="L1727" t="inlineStr">
        <is>
          <t>The provided code is a Java implementation of the RxJava Call Adapter for Retrofit 2. This adapter converts Retrofit's `Call` objects into Observables that can be used with RxJava.
Here are some key points about this code snippet:
1. The purpose of the class is to convert an instance of `Retro</t>
        </is>
      </c>
      <c r="M1727" t="n">
        <v>0.0036</v>
      </c>
      <c r="N1727" t="n">
        <v>0.0333</v>
      </c>
      <c r="O1727" t="n">
        <v>0.122</v>
      </c>
    </row>
    <row r="1728">
      <c r="A1728" t="inlineStr">
        <is>
          <t>retrofit</t>
        </is>
      </c>
      <c r="B1728" t="inlineStr">
        <is>
          <t>retrofit-adapters/rxjava/src/main/java/retrofit2/adapter/rxjava/ResultOnSubscribe.java</t>
        </is>
      </c>
      <c r="C1728">
        <f>HYPERLINK("https://github.com/square/retrofit/blob/master/retrofit-adapters/rxjava/src/main/java/retrofit2/adapter/rxjava/ResultOnSubscribe.java")</f>
        <v/>
      </c>
      <c r="D1728" t="inlineStr">
        <is>
          <t>The code you provided is a Java class named `ResultOnSubscribe` which implements the RxJava OnSubscribe interface for use with Retrofit 2's response handling. It takes in a Call object and emits its result as an Observable of Response objects. If there are any exceptions during execution (network errors or similar), they are caught and wrapped into CompositeExceptions</t>
        </is>
      </c>
      <c r="E1728" t="n">
        <v>0.0038</v>
      </c>
      <c r="F1728" t="n">
        <v>0.0606</v>
      </c>
      <c r="G1728" t="n">
        <v>0.1163</v>
      </c>
      <c r="H1728" t="inlineStr">
        <is>
          <t>The code you provided is a Java implementation of the add function using RxJava's Observables and Subscribers for asynchronous programming. The `ResultOnSubscr` class implements an `OnSubscribe&lt;T&gt;` interface that defines how to subscribe on the observable by providing logic to produce results or handle errors.
In this case, it appears to be a custom adapter</t>
        </is>
      </c>
      <c r="I1728" t="n">
        <v>0.004</v>
      </c>
      <c r="J1728" t="n">
        <v>0.125</v>
      </c>
      <c r="K1728" t="n">
        <v>0.1587</v>
      </c>
      <c r="L1728" t="inlineStr">
        <is>
          <t>The code provided is a part of the Retrofit 2 library for Android which uses RxJava to handle network requests asynchronously. The main purpose of this class `ResultOnSubscribe` seems to be converting an Observable&lt;Response&gt; into another Observable that emits either Response's body or throws its error depending on whether it was successful (HTTP status codes in range [</t>
        </is>
      </c>
      <c r="M1728" t="n">
        <v>0</v>
      </c>
      <c r="N1728" t="n">
        <v>0.0299</v>
      </c>
      <c r="O1728" t="n">
        <v>0.0769</v>
      </c>
    </row>
    <row r="1729">
      <c r="A1729" t="inlineStr">
        <is>
          <t>retrofit</t>
        </is>
      </c>
      <c r="B1729" t="inlineStr">
        <is>
          <t>retrofit-adapters/rxjava/src/main/java/retrofit2/adapter/rxjava/BodyOnSubscribe.java</t>
        </is>
      </c>
      <c r="C1729">
        <f>HYPERLINK("https://github.com/square/retrofit/blob/master/retrofit-adapters/rxjava/src/main/java/retrofit2/adapter/rxjava/BodyOnSubscribe.java")</f>
        <v/>
      </c>
      <c r="D1729" t="inlineStr">
        <is>
          <t>The code you provided is a Java class that implements the OnSubscribe interface from RxJava library for use with Retrofit 2 to handle asynchronous HTTP requests and responses. It's used in conjunction with Observables (a type of reactive programming construct), allowing it to subscribe to an observable source and emit items or errors based on its execution. The implementation seems to be handling exceptions</t>
        </is>
      </c>
      <c r="E1729" t="n">
        <v>0.0034</v>
      </c>
      <c r="F1729" t="n">
        <v>0.0548</v>
      </c>
      <c r="G1729" t="n">
        <v>0.1103</v>
      </c>
      <c r="H1729" t="inlineStr">
        <is>
          <t>The code you provided is a Java implementation of the add function using RxJava's Observables and OnSubscribe interface to perform addition operation asynchronously. The complexity of this code snippet is O(1), meaning it has constant time complexity since there are no loops or recursive calls in the method. This means that regardless of the input size, the execution time remains relatively consistent</t>
        </is>
      </c>
      <c r="I1729" t="n">
        <v>0.0035</v>
      </c>
      <c r="J1729" t="n">
        <v>0.0833</v>
      </c>
      <c r="K1729" t="n">
        <v>0.1493</v>
      </c>
      <c r="L1729" t="inlineStr">
        <is>
          <t>The provided code is a part of the Retrofit 2 library's RxJava adapter implementation. It creates an Observable from retrofit calls by subscribing to them and emitting their responses or errors as observable events. The main purpose of this class seems to be converting retrofit callbacks into rxjava observables for easier chaining and error handling in reactive programming paradigm</t>
        </is>
      </c>
      <c r="M1729" t="n">
        <v>0.0031</v>
      </c>
      <c r="N1729" t="n">
        <v>0.0588</v>
      </c>
      <c r="O1729" t="n">
        <v>0.1145</v>
      </c>
    </row>
    <row r="1730">
      <c r="A1730" t="inlineStr">
        <is>
          <t>retrofit</t>
        </is>
      </c>
      <c r="B1730" t="inlineStr">
        <is>
          <t>retrofit-adapters/rxjava/src/main/java/retrofit2/adapter/rxjava/CallArbiter.java</t>
        </is>
      </c>
      <c r="C1730">
        <f>HYPERLINK("https://github.com/square/retrofit/blob/master/retrofit-adapters/rxjava/src/main/java/retrofit2/adapter/rxjava/CallArbiter.java")</f>
        <v/>
      </c>
      <c r="D1730" t="inlineStr">
        <is>
          <t>The code you provided is a license for the Apache License 2.0 (ALv2). It specifies conditions under which users may use and distribute software using Retrofit with RxJava adapters. The ALv2 allows free redistribution of original source code but requires preservation of copyright notice and disclaimers in derived works. This ensures that any modifications or derivatives made to this</t>
        </is>
      </c>
      <c r="E1730" t="n">
        <v>0.0041</v>
      </c>
      <c r="F1730" t="n">
        <v>0.0588</v>
      </c>
      <c r="G1730" t="n">
        <v>0.1527</v>
      </c>
      <c r="H1730" t="inlineStr">
        <is>
          <t>The code you provided is a Java implementation of the addition operation using Retrofit 2 and RxJava. It defines an `add` method that takes two parameters (numbers to be added), performs the addition, and returns the result asynchronously via a Call object in Retrofit 2. The complexity of this function appears to be O(N). The license at the top</t>
        </is>
      </c>
      <c r="I1730" t="n">
        <v>0.0031</v>
      </c>
      <c r="J1730" t="n">
        <v>0.0588</v>
      </c>
      <c r="K1730" t="n">
        <v>0.1527</v>
      </c>
      <c r="L1730" t="inlineStr">
        <is>
          <t>The code you've provided is for an implementation of a Retrofit adapter that uses RxJava to handle asynchronous network calls and responses. 
Here are the main functionalities it provides:
1. It wraps Retrofit Call objects in Observables which can be subscribed to by RxJava subscribers. This allows for more flexible handling of async operations</t>
        </is>
      </c>
      <c r="M1730" t="n">
        <v>0.004</v>
      </c>
      <c r="N1730" t="n">
        <v>0.0635</v>
      </c>
      <c r="O1730" t="n">
        <v>0.1587</v>
      </c>
    </row>
    <row r="1731">
      <c r="A1731" t="inlineStr">
        <is>
          <t>retrofit</t>
        </is>
      </c>
      <c r="B1731" t="inlineStr">
        <is>
          <t>retrofit-adapters/rxjava/src/main/java/retrofit2/adapter/rxjava/Result.java</t>
        </is>
      </c>
      <c r="C1731">
        <f>HYPERLINK("https://github.com/square/retrofit/blob/master/retrofit-adapters/rxjava/src/main/java/retrofit2/adapter/rxjava/Result.java")</f>
        <v/>
      </c>
      <c r="D1731" t="inlineStr">
        <is>
          <t>A concise summary of the functionality of this code snippet is as follows:
```plaintext
This class represents the result of executing an HTTP request and contains information about whether the request was successful or not along with any error that occurred during execution. The response from the server (which can be null if there's no such response), status code, headers, etc., are</t>
        </is>
      </c>
      <c r="E1731" t="n">
        <v>0.0039</v>
      </c>
      <c r="F1731" t="n">
        <v>0.0563</v>
      </c>
      <c r="G1731" t="n">
        <v>0.1119</v>
      </c>
      <c r="H1731" t="inlineStr">
        <is>
          <t>A response object from Retrofit 2 that encapsulates the HTTP response and body data along with metadata about the request such as URL, headers etc., plus any error information in case of a failure.
```java
public final class Response&lt;T&gt; {
    private T body; // The deserialized response body or null if there was an error.
    @</t>
        </is>
      </c>
      <c r="I1731" t="n">
        <v>0.0033</v>
      </c>
      <c r="J1731" t="n">
        <v>0.0323</v>
      </c>
      <c r="K1731" t="n">
        <v>0.0391</v>
      </c>
      <c r="L1731" t="inlineStr">
        <is>
          <t>The Result class in Retrofit 2 is a generic container for the result of executing an HTTP request. It encapsulates both the response and any error that occurred during execution. This class provides methods to access these components and also checks if there was an error or not.
 Code Size: 786 LOC (Source code lines).
 Purpose: To provide</t>
        </is>
      </c>
      <c r="M1731" t="n">
        <v>0.0037</v>
      </c>
      <c r="N1731" t="n">
        <v>0.0606</v>
      </c>
      <c r="O1731" t="n">
        <v>0.0769</v>
      </c>
    </row>
    <row r="1732">
      <c r="A1732" t="inlineStr">
        <is>
          <t>retrofit</t>
        </is>
      </c>
      <c r="B1732" t="inlineStr">
        <is>
          <t>retrofit-adapters/rxjava/src/main/java/retrofit2/adapter/rxjava/CallEnqueueOnSubscribe.java</t>
        </is>
      </c>
      <c r="C1732">
        <f>HYPERLINK("https://github.com/square/retrofit/blob/master/retrofit-adapters/rxjava/src/main/java/retrofit2/adapter/rxjava/CallEnqueueOnSubscribe.java")</f>
        <v/>
      </c>
      <c r="D1732" t="inlineStr">
        <is>
          <t>The provided code is a custom implementation of the RxJava Observable pattern for Retrofit 2's Call object. It subscribes to an original call and emits responses or errors when the call completes. The purpose seems to be to handle asynchronous calls in a reactive programming style using RxJava instead of traditional callbacks. This could potentially simplify error handling and chaining multiple</t>
        </is>
      </c>
      <c r="E1732" t="n">
        <v>0.0036</v>
      </c>
      <c r="F1732" t="n">
        <v>0.0571</v>
      </c>
      <c r="G1732" t="n">
        <v>0.1504</v>
      </c>
      <c r="H1732" t="inlineStr">
        <is>
          <t>The code you provided is a Java implementation of the RxJava Observable pattern for Retrofit 2's Call object. It subscribes to an original call and emits responses when it has been enqueued onto a thread pool by Retrofit. The copyright information at the top indicates that this software may be licensed under Apache License Version 2.0.
Please</t>
        </is>
      </c>
      <c r="I1732" t="n">
        <v>0.0038</v>
      </c>
      <c r="J1732" t="n">
        <v>0.0597</v>
      </c>
      <c r="K1732" t="n">
        <v>0.2447</v>
      </c>
      <c r="L1732" t="inlineStr">
        <is>
          <t>The provided code is for a custom RxJava Observable that wraps the enqueuing of Retrofit 2 calls. This class implements `OnSubscribe` from RxJava and provides an instance to be used in creating observables with the subscribe method. The purpose of this observable is to handle asynchronous execution by wrapping the call to Retrofit's enqueue method</t>
        </is>
      </c>
      <c r="M1732" t="n">
        <v>0.0044</v>
      </c>
      <c r="N1732" t="n">
        <v>0.09379999999999999</v>
      </c>
      <c r="O1732" t="n">
        <v>0.1575</v>
      </c>
    </row>
    <row r="1733">
      <c r="A1733" t="inlineStr">
        <is>
          <t>retrofit</t>
        </is>
      </c>
      <c r="B1733" t="inlineStr">
        <is>
          <t>retrofit-adapters/rxjava/src/test/java/retrofit2/adapter/rxjava/SingleTest.java</t>
        </is>
      </c>
      <c r="C1733">
        <f>HYPERLINK("https://github.com/square/retrofit/blob/master/retrofit-adapters/rxjava/src/test/java/retrofit2/adapter/rxjava/SingleTest.java")</f>
        <v/>
      </c>
      <c r="D1733" t="inlineStr">
        <is>
          <t>The provided code is a Java implementation of an Apache License 2.0 and it's related to the Retrofit library for network communication with RxJava asynchronous adapter. The license provides rights for anyone who wants to use or modify this software under certain conditions specified in the license text. It also includes provisions about disclaimers and limitations.
Please note that I can only</t>
        </is>
      </c>
      <c r="E1733" t="n">
        <v>0.0035</v>
      </c>
      <c r="F1733" t="n">
        <v>0.0833</v>
      </c>
      <c r="G1733" t="n">
        <v>0.2776</v>
      </c>
      <c r="H1733" t="inlineStr">
        <is>
          <t>The code you provided is a simple addition function in Python named `add` that takes two parameters and returns their sum. The time complexity of this operation is O(1), meaning it always executes the same number of steps regardless of input size.
The README file explains what the repository contains (backend software components implementing core algorithms). It also provides licensing information under Apache</t>
        </is>
      </c>
      <c r="I1733" t="n">
        <v>0.0038</v>
      </c>
      <c r="J1733" t="n">
        <v>0.1111</v>
      </c>
      <c r="K1733" t="n">
        <v>0.3158</v>
      </c>
      <c r="L1733" t="inlineStr">
        <is>
          <t>The provided code is a Java implementation of an HTTP client using the Retrofit library and RxJava for asynchronous programming. The main purpose of this code seems to be making API calls from Android applications. It uses MockWebServer for mocking network responses during testing. 
The `get` method in the class makes GET requests to the specified URL with optional parameters. The response</t>
        </is>
      </c>
      <c r="M1733" t="n">
        <v>0.0029</v>
      </c>
      <c r="N1733" t="n">
        <v>0.0571</v>
      </c>
      <c r="O1733" t="n">
        <v>0.1493</v>
      </c>
    </row>
    <row r="1734">
      <c r="A1734" t="inlineStr">
        <is>
          <t>retrofit</t>
        </is>
      </c>
      <c r="B1734" t="inlineStr">
        <is>
          <t>retrofit-adapters/rxjava/src/test/java/retrofit2/adapter/rxjava/RxJavaCallAdapterFactoryTest.java</t>
        </is>
      </c>
      <c r="C1734">
        <f>HYPERLINK("https://github.com/square/retrofit/blob/master/retrofit-adapters/rxjava/src/test/java/retrofit2/adapter/rxjava/RxJavaCallAdapterFactoryTest.java")</f>
        <v/>
      </c>
      <c r="D1734" t="inlineStr">
        <is>
          <t>The code you provided appears to be a license for an open source software package named Retrofit 2 with RxJava adapter. It's licensed under the Apache License version 2.0 and includes conditions that require compliance or obtaining a copy of the license from specific URL. The code also contains copyright information and disclaimers about limitations under the license.
&lt;jupyter</t>
        </is>
      </c>
      <c r="E1734" t="n">
        <v>0.0037</v>
      </c>
      <c r="F1734" t="n">
        <v>0.058</v>
      </c>
      <c r="G1734" t="n">
        <v>0.07630000000000001</v>
      </c>
      <c r="H1734" t="inlineStr">
        <is>
          <t>The code you provided is a simple addition function in Python named `add` that takes two parameters and returns their sum. The time complexity of this operation is O(1), meaning it always executes in the same amount of time regardless of input size.
&lt;jupyter_text&gt;
Task 4: Code Review (6 points)Please review the following piece of JavaScript code</t>
        </is>
      </c>
      <c r="I1734" t="n">
        <v>0.0032</v>
      </c>
      <c r="J1734" t="n">
        <v>0.0588</v>
      </c>
      <c r="K1734" t="n">
        <v>0.1163</v>
      </c>
      <c r="L1734" t="inlineStr">
        <is>
          <t>ThegivenJavaSourceFileusesRxJavaframeworktogenerateobservablesfromRetrofitresponses.ItincludesunitestsforvalidatingresponseobjectsandconvertingthemintotheexpectedformatusingaCustomCallAdapter.
```java
public class RxErrorHandlingCallAdapterFactory extends CallAdapter.Factory {
  private final boolean propagateCancellation;</t>
        </is>
      </c>
      <c r="M1734" t="n">
        <v>0</v>
      </c>
      <c r="N1734" t="n">
        <v>0</v>
      </c>
      <c r="O1734" t="n">
        <v>0</v>
      </c>
    </row>
    <row r="1735">
      <c r="A1735" t="inlineStr">
        <is>
          <t>retrofit</t>
        </is>
      </c>
      <c r="B1735" t="inlineStr">
        <is>
          <t>retrofit-adapters/rxjava/src/test/java/retrofit2/adapter/rxjava/ResultTest.java</t>
        </is>
      </c>
      <c r="C1735">
        <f>HYPERLINK("https://github.com/square/retrofit/blob/master/retrofit-adapters/rxjava/src/test/java/retrofit2/adapter/rxjava/ResultTest.java")</f>
        <v/>
      </c>
      <c r="D1735" t="inlineStr">
        <is>
          <t>Atestcaseforvalidatingaresponseobjectconversiontoretrorift'sresultobject.Thetestcaseusesaguaratextestinglibrarytopassafailureifthereisanomalyinthetetestedmethod.Italsoutilizesacommonutilityfromguavaformakingassertionsabouttheexpectedoutput.
```java
// Copyright (C)</t>
        </is>
      </c>
      <c r="E1735" t="n">
        <v>0</v>
      </c>
      <c r="F1735" t="n">
        <v>0</v>
      </c>
      <c r="G1735" t="n">
        <v>0</v>
      </c>
      <c r="H1735" t="inlineStr">
        <is>
          <t>Code:def response():    return Response&lt;String&gt;.success("Hi") README: This repository contains backend software components. Complexity: O(N). Comments: Implementation of core algorithms. Commits: Initial code base commit. Code Size: 1000 Summary: The implementation of the core algorithm for handling responses in a server environment.
# You are</t>
        </is>
      </c>
      <c r="I1735" t="n">
        <v>0.0056</v>
      </c>
      <c r="J1735" t="n">
        <v>0.1455</v>
      </c>
      <c r="K1735" t="n">
        <v>0.1739</v>
      </c>
      <c r="L1735" t="inlineStr">
        <is>
          <t>Hi}t.testSuccess()throwsException{Response&lt;String&gt; response = Response.success("Hi"); Result&lt;String&gt; result = Result.response(response); assertThat(result).hasMessage("Hi").isSuccess(); fail("Should not reach here.");}}
```
## Summary 
The code provided is a JUnit test for the `Result` class in Retrofit</t>
        </is>
      </c>
      <c r="M1735" t="n">
        <v>0</v>
      </c>
      <c r="N1735" t="n">
        <v>0</v>
      </c>
      <c r="O1735" t="n">
        <v>0</v>
      </c>
    </row>
    <row r="1736">
      <c r="A1736" t="inlineStr">
        <is>
          <t>retrofit</t>
        </is>
      </c>
      <c r="B1736" t="inlineStr">
        <is>
          <t>retrofit-adapters/rxjava/src/test/java/retrofit2/adapter/rxjava/RxJavaPluginsResetRule.java</t>
        </is>
      </c>
      <c r="C1736">
        <f>HYPERLINK("https://github.com/square/retrofit/blob/master/retrofit-adapters/rxjava/src/test/java/retrofit2/adapter/rxjava/RxJavaPluginsResetRule.java")</f>
        <v/>
      </c>
      <c r="D1736" t="inlineStr">
        <is>
          <t>The provided code is a JUnit rule that resets RxJava plugins before and after each test to ensure tests are isolated from one another. The reset process ensures the original behavior of RxJava does not interfere with other tests or future runs. This helps maintain stability in testing by ensuring consistency across different executions. It also provides isolation between unit tests which enhances reliability as it prevents side effects</t>
        </is>
      </c>
      <c r="E1736" t="n">
        <v>0.0031</v>
      </c>
      <c r="F1736" t="n">
        <v>0.026</v>
      </c>
      <c r="G1736" t="n">
        <v>0.1064</v>
      </c>
      <c r="H1736" t="inlineStr">
        <is>
          <t>The provided code is a JUnit rule that resets RxJava plugins before and after each test to ensure tests are isolated from one another. It does this by implementing the TestRule interface which includes methods for applying statements (tests) around descriptions of those statements. The resetting happens in both 'apply' method calls where it first applies the base statement then description. This ensures proper isolation between different</t>
        </is>
      </c>
      <c r="I1736" t="n">
        <v>0.0032</v>
      </c>
      <c r="J1736" t="n">
        <v>0.0533</v>
      </c>
      <c r="K1736" t="n">
        <v>0.1079</v>
      </c>
      <c r="L1736" t="inlineStr">
        <is>
          <t>The provided code is a JUnit rule named RxJavaPluginsResetRule that resets the plugins of RxJava before and after each test to ensure tests are isolated from each other. The purpose of this class seems to be testing specific behaviors related to RxJava or its integration with Retrofit 2. It does not seem to have any inputs or outputs as it directly interact</t>
        </is>
      </c>
      <c r="M1736" t="n">
        <v>0.0029</v>
      </c>
      <c r="N1736" t="n">
        <v>0.0286</v>
      </c>
      <c r="O1736" t="n">
        <v>0.0746</v>
      </c>
    </row>
    <row r="1737">
      <c r="A1737" t="inlineStr">
        <is>
          <t>retrofit</t>
        </is>
      </c>
      <c r="B1737" t="inlineStr">
        <is>
          <t>retrofit-adapters/rxjava/src/test/java/retrofit2/adapter/rxjava/StringConverterFactory.java</t>
        </is>
      </c>
      <c r="C1737">
        <f>HYPERLINK("https://github.com/square/retrofit/blob/master/retrofit-adapters/rxjava/src/test/java/retrofit2/adapter/rxjava/StringConverterFactory.java")</f>
        <v/>
      </c>
      <c r="D1737" t="inlineStr">
        <is>
          <t>The code you provided is a custom converter factory for Retrofit 2 using RxJava and OkHttp. It extends the Converter.Factory class from retrofit2 library in Java programming language. This specific instance of this class provides converters to convert ResponseBody instances into String instances. The conversion process involves transforming the content of the response body into plain text strings.
The</t>
        </is>
      </c>
      <c r="E1737" t="n">
        <v>0.0037</v>
      </c>
      <c r="F1737" t="n">
        <v>0.0294</v>
      </c>
      <c r="G1737" t="n">
        <v>0.1145</v>
      </c>
      <c r="H1737" t="inlineStr">
        <is>
          <t>The code you provided is a Retrofit converter factory for converting `ResponseBody` to String. It's licensed under the Apache License 2.0 and includes comments explaining its purpose and license details. The complexity of this function appears to be O(n), as it iterates over each character in the input string once. Summary: This repository contains backend software components that convert ResponseBody objects</t>
        </is>
      </c>
      <c r="I1737" t="n">
        <v>0.0039</v>
      </c>
      <c r="J1737" t="n">
        <v>0.0556</v>
      </c>
      <c r="K1737" t="n">
        <v>0.1504</v>
      </c>
      <c r="L1737" t="inlineStr">
        <is>
          <t>The code provided is a custom converter factory for Retrofit 2 that converts ResponseBody objects to String using OkHttp's Request and Response body conversion capabilities. The main purpose of this class seems to be providing an efficient way to handle the transformation from binary data (ResponseBody) into text format (String). This could potentially help in reducing network traffic by eliminating unnecessary conversions between different</t>
        </is>
      </c>
      <c r="M1737" t="n">
        <v>0.0034</v>
      </c>
      <c r="N1737" t="n">
        <v>0.0274</v>
      </c>
      <c r="O1737" t="n">
        <v>0.1103</v>
      </c>
    </row>
    <row r="1738">
      <c r="A1738" t="inlineStr">
        <is>
          <t>retrofit</t>
        </is>
      </c>
      <c r="B1738" t="inlineStr">
        <is>
          <t>retrofit-adapters/rxjava/src/test/java/retrofit2/adapter/rxjava/CancelDisposeTest.java</t>
        </is>
      </c>
      <c r="C1738">
        <f>HYPERLINK("https://github.com/square/retrofit/blob/master/retrofit-adapters/rxjava/src/test/java/retrofit2/adapter/rxjava/CancelDisposeTest.java")</f>
        <v/>
      </c>
      <c r="D1738" t="inlineStr">
        <is>
          <t>The code provided is a Java implementation of Retrofit 2 with RxJava adapter using OkHttp client for network communication and MockWebServer for mocking HTTP server responses in unit tests. It's licensed under the Apache License version 2.0. The license allows users to use this file except where it violates the terms of the license. This software can be distributed on an "</t>
        </is>
      </c>
      <c r="E1738" t="n">
        <v>0.0069</v>
      </c>
      <c r="F1738" t="n">
        <v>0.0563</v>
      </c>
      <c r="G1738" t="n">
        <v>0.2776</v>
      </c>
      <c r="H1738" t="inlineStr">
        <is>
          <t>The code you provided is a simple addition function in Python named `add` that takes two parameters and returns their sum. The time complexity of this operation is O(1), indicating it performs a constant number of operations regardless of the size of the input data.
Here's your summary for reference: 
```plaintext
Functionality: Adds two numbers together.
Input</t>
        </is>
      </c>
      <c r="I1738" t="n">
        <v>0.0032</v>
      </c>
      <c r="J1738" t="n">
        <v>0.0597</v>
      </c>
      <c r="K1738" t="n">
        <v>0.1163</v>
      </c>
      <c r="L1738" t="inlineStr">
        <is>
          <t>The code provided is a part of Retrofit 2 library's RxJava adapter implementation in Java. It uses OkHttp for networking and MockWebServer for unit testing. The main purpose of this component seems to be handling network requests using the Retrofit interface definitions with Observables (RxJava).
Here are some key operations identified from the source code:</t>
        </is>
      </c>
      <c r="M1738" t="n">
        <v>0.0033</v>
      </c>
      <c r="N1738" t="n">
        <v>0.0625</v>
      </c>
      <c r="O1738" t="n">
        <v>0.1575</v>
      </c>
    </row>
    <row r="1739">
      <c r="A1739" t="inlineStr">
        <is>
          <t>retrofit</t>
        </is>
      </c>
      <c r="B1739" t="inlineStr">
        <is>
          <t>retrofit-adapters/rxjava/src/test/java/retrofit2/adapter/rxjava/AsyncTest.java</t>
        </is>
      </c>
      <c r="C1739">
        <f>HYPERLINK("https://github.com/square/retrofit/blob/master/retrofit-adapters/rxjava/src/test/java/retrofit2/adapter/rxjava/AsyncTest.java")</f>
        <v/>
      </c>
      <c r="D1739" t="inlineStr">
        <is>
          <t>The code provided is a copyright notice and license statement for the Apache License version 2.0 (ALv2). It also includes some specific conditions under which certain actions are allowed or disallowed. The repository contains backend software components implemented using core algorithms. Its complexity is O(N), indicating linear time complexity due to its size of 1000 lines. There have been initial commits</t>
        </is>
      </c>
      <c r="E1739" t="n">
        <v>0.0039</v>
      </c>
      <c r="F1739" t="n">
        <v>0.08450000000000001</v>
      </c>
      <c r="G1739" t="n">
        <v>0.188</v>
      </c>
      <c r="H1739" t="inlineStr">
        <is>
          <t>The code provided is a simple function for addition of two numbers in Python named add(). It takes as input parameters 'a' and 'b', performs the operation 'a + b', and returns the result. The time complexity of this function is O(1), meaning it executes in constant time regardless of the size of inputs.
&lt;jupyter_output&gt;
&lt;empty_</t>
        </is>
      </c>
      <c r="I1739" t="n">
        <v>0.0033</v>
      </c>
      <c r="J1739" t="n">
        <v>0.0615</v>
      </c>
      <c r="K1739" t="n">
        <v>0.1172</v>
      </c>
      <c r="L1739" t="inlineStr">
        <is>
          <t>The provided code is a part of Retrofit 2's RxJava adapter implementation in Java. The main purpose of this code seems to be handling network requests using OkHttp and converting the responses into Observables for use with libraries like RxAndroid or other frameworks that support reactive programming models.
There are several key operations involved here such as making HTTP requests (using</t>
        </is>
      </c>
      <c r="M1739" t="n">
        <v>0.003</v>
      </c>
      <c r="N1739" t="n">
        <v>0.0571</v>
      </c>
      <c r="O1739" t="n">
        <v>0.1504</v>
      </c>
    </row>
    <row r="1740">
      <c r="A1740" t="inlineStr">
        <is>
          <t>retrofit</t>
        </is>
      </c>
      <c r="B1740" t="inlineStr">
        <is>
          <t>retrofit-adapters/rxjava/src/test/java/retrofit2/adapter/rxjava/ObservableTest.java</t>
        </is>
      </c>
      <c r="C1740">
        <f>HYPERLINK("https://github.com/square/retrofit/blob/master/retrofit-adapters/rxjava/src/test/java/retrofit2/adapter/rxjava/ObservableTest.java")</f>
        <v/>
      </c>
      <c r="D1740" t="inlineStr">
        <is>
          <t>The code you provided is a Java class that defines an adapter for Retrofit 2 to use with RxJava. It's licensed under the Apache License version 2.0 and includes some tests using JUnit framework. The purpose of this code seems to be handling network requests in a reactive way by utilizing OkHttp as its networking library.
Please provide more specific details</t>
        </is>
      </c>
      <c r="E1740" t="n">
        <v>0.003</v>
      </c>
      <c r="F1740" t="n">
        <v>0.0282</v>
      </c>
      <c r="G1740" t="n">
        <v>0.1128</v>
      </c>
      <c r="H1740" t="inlineStr">
        <is>
          <t>The provided code is a simple addition function in Python named `add` that takes two parameters and returns their sum. The time complexity of this operation is O(1), meaning it performs constant amount of work regardless of the size of input data.
&lt;jupyter_text&gt;
Task 4: Fibonacci Sequence Code Generation (Python)Generate python</t>
        </is>
      </c>
      <c r="I1740" t="n">
        <v>0.0036</v>
      </c>
      <c r="J1740" t="n">
        <v>0.0645</v>
      </c>
      <c r="K1740" t="n">
        <v>0.122</v>
      </c>
      <c r="L1740" t="inlineStr">
        <is>
          <t>The code provided is a part of the Retrofit 2 library's RxJava adapter implementation in Java. It uses Google Truth for assertions and OkHttp MockWebServer to mock network responses during testing. The main purpose of this class seems to be handling HTTP requests using Retrofit with RxJava and validating the response using Google Truth.
The `create()</t>
        </is>
      </c>
      <c r="M1740" t="n">
        <v>0.0033</v>
      </c>
      <c r="N1740" t="n">
        <v>0.0615</v>
      </c>
      <c r="O1740" t="n">
        <v>0.1563</v>
      </c>
    </row>
    <row r="1741">
      <c r="A1741" t="inlineStr">
        <is>
          <t>retrofit</t>
        </is>
      </c>
      <c r="B1741" t="inlineStr">
        <is>
          <t>retrofit-adapters/rxjava/src/test/java/retrofit2/adapter/rxjava/SingleThrowingTest.java</t>
        </is>
      </c>
      <c r="C1741">
        <f>HYPERLINK("https://github.com/square/retrofit/blob/master/retrofit-adapters/rxjava/src/test/java/retrofit2/adapter/rxjava/SingleThrowingTest.java")</f>
        <v/>
      </c>
      <c r="D1741" t="inlineStr">
        <is>
          <t>ThegivenJava code is a part of the Retrofit 2 library's RxJava adapter implementation for testing purposes using MockWebServer from Square, Inc., which provides an HTTP server API to test network calls in isolation. The purpose of this code seems to be to simulate different scenarios during unit tests such as successful responses, failed requests due to disconnection or timeout etc. It also includes</t>
        </is>
      </c>
      <c r="E1741" t="n">
        <v>0</v>
      </c>
      <c r="F1741" t="n">
        <v>0.0278</v>
      </c>
      <c r="G1741" t="n">
        <v>0.1111</v>
      </c>
      <c r="H1741" t="inlineStr">
        <is>
          <t>The code you provided is a simple addition function in Python named `add` that takes two parameters and returns their sum. It has a time complexity of O(1), meaning it performs a fixed number of operations regardless of the input size. The Apache License 2.0 applies to this code as per your request.
Here's the summary for the add function:
```python</t>
        </is>
      </c>
      <c r="I1741" t="n">
        <v>0.003</v>
      </c>
      <c r="J1741" t="n">
        <v>0.0556</v>
      </c>
      <c r="K1741" t="n">
        <v>0.1128</v>
      </c>
      <c r="L1741" t="inlineStr">
        <is>
          <t>The code provided is a part of the Retrofit 2 library's RxJava adapter implementation in Java. It uses Google Truth for assertions and OkHttp MockWebServer to mock HTTP server responses for testing purposes. The main purpose of this class seems to be handling network requests using Observables (RxJava).
The `get` method takes an API endpoint URL as</t>
        </is>
      </c>
      <c r="M1741" t="n">
        <v>0.0032</v>
      </c>
      <c r="N1741" t="n">
        <v>0.0606</v>
      </c>
      <c r="O1741" t="n">
        <v>0.155</v>
      </c>
    </row>
    <row r="1742">
      <c r="A1742" t="inlineStr">
        <is>
          <t>retrofit</t>
        </is>
      </c>
      <c r="B1742" t="inlineStr">
        <is>
          <t>retrofit-adapters/rxjava/src/test/java/retrofit2/adapter/rxjava/RecordingSubscriber.java</t>
        </is>
      </c>
      <c r="C1742">
        <f>HYPERLINK("https://github.com/square/retrofit/blob/master/retrofit-adapters/rxjava/src/test/java/retrofit2/adapter/rxjava/RecordingSubscriber.java")</f>
        <v/>
      </c>
      <c r="D1742" t="inlineStr">
        <is>
          <t>The code provided is a Java class that uses the Guava Truth library for assertions in unit tests. It's part of Retrofit 2 and RxJava adapters, which are used to test network requests made by applications using these libraries. The copyright information indicates this software may be licensed under Apache License version 2.0. This license requires compliance with conditions specified at http://</t>
        </is>
      </c>
      <c r="E1742" t="n">
        <v>0.0039</v>
      </c>
      <c r="F1742" t="n">
        <v>0.0556</v>
      </c>
      <c r="G1742" t="n">
        <v>0.1493</v>
      </c>
      <c r="H1742" t="inlineStr">
        <is>
          <t>The code you provided is a simple function for addition in Python named `add` which takes two parameters and returns their sum. The complexity of this operation is O(1), meaning it always executes the same number of steps regardless of input size.
Here's a concise summary: 
```python
# Function to add two numbers
def add(a, b</t>
        </is>
      </c>
      <c r="I1742" t="n">
        <v>0.0033</v>
      </c>
      <c r="J1742" t="n">
        <v>0.0606</v>
      </c>
      <c r="K1742" t="n">
        <v>0.1172</v>
      </c>
      <c r="L1742" t="inlineStr">
        <is>
          <t>The provided code is an implementation of a custom JUnit rule for testing Retrofit 2 services using RxJava. The main purpose of this code seems to be the creation and execution of a chain of statements (a Deque&lt;Statement&gt;). Each statement represents a test case that should be executed sequentially in order.
The inputs are instances of Statement objects representing different</t>
        </is>
      </c>
      <c r="M1742" t="n">
        <v>0.003</v>
      </c>
      <c r="N1742" t="n">
        <v>0.058</v>
      </c>
      <c r="O1742" t="n">
        <v>0.1515</v>
      </c>
    </row>
    <row r="1743">
      <c r="A1743" t="inlineStr">
        <is>
          <t>retrofit</t>
        </is>
      </c>
      <c r="B1743" t="inlineStr">
        <is>
          <t>retrofit-adapters/rxjava/src/test/java/retrofit2/adapter/rxjava/CompletableWithSchedulerTest.java</t>
        </is>
      </c>
      <c r="C1743">
        <f>HYPERLINK("https://github.com/square/retrofit/blob/master/retrofit-adapters/rxjava/src/test/java/retrofit2/adapter/rxjava/CompletableWithSchedulerTest.java")</f>
        <v/>
      </c>
      <c r="D1743" t="inlineStr">
        <is>
          <t>The code provided is a JUnit test for an RxJava Completable with scheduler using MockWebServer and OkHttp. It tests the functionality of making HTTP GET requests to mock servers and checking if they complete successfully or not. The server rule allows creation of a local testing web server that can simulate network responses. This setup enables unit testing without actual network calls which improves performance and reliability of the</t>
        </is>
      </c>
      <c r="E1743" t="n">
        <v>0.0035</v>
      </c>
      <c r="F1743" t="n">
        <v>0.0519</v>
      </c>
      <c r="G1743" t="n">
        <v>0.1064</v>
      </c>
      <c r="H1743" t="inlineStr">
        <is>
          <t>ThegivencodeisacomplexJavaapplicationthatusesRxJavaforasynchronousprogrammingandOkHttpfornetworking.ItalsoutilizesJUnit4fortestingsetupandassertions. The code includes a class called CompletableWithSchedulerTest that tests the functionality of an asynchronous method using RxJava's TestScheduler for controlling time and synchronization in testing scenarios</t>
        </is>
      </c>
      <c r="I1743" t="n">
        <v>0.0083</v>
      </c>
      <c r="J1743" t="n">
        <v>0.1081</v>
      </c>
      <c r="K1743" t="n">
        <v>0.101</v>
      </c>
      <c r="L1743" t="inlineStr">
        <is>
          <t>ThegivenJavaSourceFileincludesaunittestforamethodthatusesRxJava'sCompletabletypefromthelibrary.ItutilizesaninstanceofMockWebServerforsettingupmockserviceduringtesting. Themethodbeingtestreturnsacompletableobjectwhichsignifiescompletionofasynchronousoperation. Italsousesaninstancetestschedulerformultithread</t>
        </is>
      </c>
      <c r="M1743" t="n">
        <v>0</v>
      </c>
      <c r="N1743" t="n">
        <v>0</v>
      </c>
      <c r="O1743" t="n">
        <v>0</v>
      </c>
    </row>
    <row r="1744">
      <c r="A1744" t="inlineStr">
        <is>
          <t>retrofit</t>
        </is>
      </c>
      <c r="B1744" t="inlineStr">
        <is>
          <t>retrofit-adapters/rxjava/src/test/java/retrofit2/adapter/rxjava/SingleWithSchedulerTest.java</t>
        </is>
      </c>
      <c r="C1744">
        <f>HYPERLINK("https://github.com/square/retrofit/blob/master/retrofit-adapters/rxjava/src/test/java/retrofit2/adapter/rxjava/SingleWithSchedulerTest.java")</f>
        <v/>
      </c>
      <c r="D1744" t="inlineStr">
        <is>
          <t>The code is a JUnit test for an RxJava adapter using Retrofit and OkHttp's MockWebServer. The purpose of this test is to verify the functionality of the Single class from RxJava library which allows asynchronous programming in Java by providing operators that work with Observables but return single values instead of streams. It also tests how different schedulers can be used when</t>
        </is>
      </c>
      <c r="E1744" t="n">
        <v>0.0035</v>
      </c>
      <c r="F1744" t="n">
        <v>0.0563</v>
      </c>
      <c r="G1744" t="n">
        <v>0.1119</v>
      </c>
      <c r="H1744" t="inlineStr">
        <is>
          <t>Thegivenreadmeappears to be a part of a larger code base and not self contained. It seems like it's related to testing Retrofit with RxJava using OkHttp Mock Web Server. The README mentions about the license at the top which is Apache 2.0 licensed. However, there are no function definitions or method calls in this snippet provided. Therefore</t>
        </is>
      </c>
      <c r="I1744" t="n">
        <v>0.0032</v>
      </c>
      <c r="J1744" t="n">
        <v>0.0299</v>
      </c>
      <c r="K1744" t="n">
        <v>0.1163</v>
      </c>
      <c r="L1744" t="inlineStr">
        <is>
          <t>Mock Summary
 You are a senior software engineer with expertise in code readability, maintainability and program comprehension. Given a source code file along with contextual information, generate a clear and concise code summary. Do not repeat the code. 
 The provided code is for testing an HTTP request using Retrofit's RxJava adapter. It uses OkHttpâĢĻs</t>
        </is>
      </c>
      <c r="M1744" t="n">
        <v>0.004</v>
      </c>
      <c r="N1744" t="n">
        <v>0.0625</v>
      </c>
      <c r="O1744" t="n">
        <v>0.119</v>
      </c>
    </row>
    <row r="1745">
      <c r="A1745" t="inlineStr">
        <is>
          <t>retrofit</t>
        </is>
      </c>
      <c r="B1745" t="inlineStr">
        <is>
          <t>retrofit-adapters/rxjava/src/test/java/retrofit2/adapter/rxjava/CompletableTest.java</t>
        </is>
      </c>
      <c r="C1745">
        <f>HYPERLINK("https://github.com/square/retrofit/blob/master/retrofit-adapters/rxjava/src/test/java/retrofit2/adapter/rxjava/CompletableTest.java")</f>
        <v/>
      </c>
      <c r="D1745" t="inlineStr">
        <is>
          <t>The code provided is a Java class that uses the Retrofit library for networking and RxJava for asynchronous programming in Android applications. It also includes some unit tests using JUnit framework. The copyright information at the top of each file indicates it's licensed under Apache License 2.0. This software may be used except in compliance with this license agreement.
The MockWeb</t>
        </is>
      </c>
      <c r="E1745" t="n">
        <v>0.007</v>
      </c>
      <c r="F1745" t="n">
        <v>0.0563</v>
      </c>
      <c r="G1745" t="n">
        <v>0.1504</v>
      </c>
      <c r="H1745" t="inlineStr">
        <is>
          <t>The code you provided is a simple addition function in Python named `add` that takes two parameters and returns their sum. The time complexity of this operation is O(1), meaning it always executes the same number of operations regardless of input size.
Here's a brief summary of its functionality:
```python
# Copyright (C) 2016 Square,</t>
        </is>
      </c>
      <c r="I1745" t="n">
        <v>0.0033</v>
      </c>
      <c r="J1745" t="n">
        <v>0.0625</v>
      </c>
      <c r="K1745" t="n">
        <v>0.1181</v>
      </c>
      <c r="L1745" t="inlineStr">
        <is>
          <t>The provided code is a part of Retrofit 2's RxJava adapter implementation in Java. It uses OkHttp MockWebServer for testing network requests and responses. The main purpose of this code seems to be setting up the mock server with specific policies (like disconnection after request).
The input could be any URL path that needs to be tested against. Upon receiving such</t>
        </is>
      </c>
      <c r="M1745" t="n">
        <v>0.003</v>
      </c>
      <c r="N1745" t="n">
        <v>0.0571</v>
      </c>
      <c r="O1745" t="n">
        <v>0.1504</v>
      </c>
    </row>
    <row r="1746">
      <c r="A1746" t="inlineStr">
        <is>
          <t>retrofit</t>
        </is>
      </c>
      <c r="B1746" t="inlineStr">
        <is>
          <t>retrofit-adapters/rxjava/src/test/java/retrofit2/adapter/rxjava/CompletableThrowingTest.java</t>
        </is>
      </c>
      <c r="C1746">
        <f>HYPERLINK("https://github.com/square/retrofit/blob/master/retrofit-adapters/rxjava/src/test/java/retrofit2/adapter/rxjava/CompletableThrowingTest.java")</f>
        <v/>
      </c>
      <c r="D1746" t="inlineStr">
        <is>
          <t>The code provided is a Java implementation of an RxJava adapter for Retrofit 2 using OkHttp's MockWebServer for testing purposes. It covers the Apache License version 2.0 and has some basic unit tests written with JUnit. The purpose seems to be creating mock responses from HTTP requests in order to test network calls made by applications built on top of this library without actually</t>
        </is>
      </c>
      <c r="E1746" t="n">
        <v>0.0028</v>
      </c>
      <c r="F1746" t="n">
        <v>0.0541</v>
      </c>
      <c r="G1746" t="n">
        <v>0.1471</v>
      </c>
      <c r="H1746" t="inlineStr">
        <is>
          <t>The provided code is a simple addition function in Python named `add` that takes two arguments and returns their sum. The time complexity of this operation is O(1), which means it performs the same number of operations regardless of the size of input data.
Here's an example usage:
```python
result = add(5, 7) # result will be 1</t>
        </is>
      </c>
      <c r="I1746" t="n">
        <v>0.0031</v>
      </c>
      <c r="J1746" t="n">
        <v>0.0597</v>
      </c>
      <c r="K1746" t="n">
        <v>0.1154</v>
      </c>
      <c r="L1746" t="inlineStr">
        <is>
          <t>The code provided is a Retrofit 2 adapter for RxJava that uses OkHttp's MockWebServer to mock HTTP responses during unit tests. The main purpose of the code seems to be setting up and running these tests using JUnit rules.
Here are some key operations performed by this class:
1. Setting up an instance of `MockWebServer` which</t>
        </is>
      </c>
      <c r="M1746" t="n">
        <v>0.0033</v>
      </c>
      <c r="N1746" t="n">
        <v>0.0308</v>
      </c>
      <c r="O1746" t="n">
        <v>0.1172</v>
      </c>
    </row>
    <row r="1747">
      <c r="A1747" t="inlineStr">
        <is>
          <t>retrofit</t>
        </is>
      </c>
      <c r="B1747" t="inlineStr">
        <is>
          <t>retrofit-adapters/rxjava/src/test/java/retrofit2/adapter/rxjava/ForwardingSubscriber.java</t>
        </is>
      </c>
      <c r="C1747">
        <f>HYPERLINK("https://github.com/square/retrofit/blob/master/retrofit-adapters/rxjava/src/test/java/retrofit2/adapter/rxjava/ForwardingSubscriber.java")</f>
        <v/>
      </c>
      <c r="D1747" t="inlineStr">
        <is>
          <t>The code provided is a Java class named ForwardingSubscriber that extends the RxJava Subscriber class. This class provides forwarding functionality for events from an Observable to another subscriber (delegate). The purpose of this could be to abstract away some common logic or operations when subscribing to observables in RxJava. It does not repeat any code and its complexity</t>
        </is>
      </c>
      <c r="E1747" t="n">
        <v>0.0041</v>
      </c>
      <c r="F1747" t="n">
        <v>0.09089999999999999</v>
      </c>
      <c r="G1747" t="n">
        <v>0.1154</v>
      </c>
      <c r="H1747" t="inlineStr">
        <is>
          <t>The provided code is a Java implementation of the Forwarding Subscriber design pattern in RxJava (Reactive Extensions for Java). It extends an existing subscriber and delegates all onNext() calls to it while also passing through onComplete(). The copyright notice at the top indicates that this software may be licensed under Apache 2.0 license terms.
Please provide a</t>
        </is>
      </c>
      <c r="I1747" t="n">
        <v>0.0038</v>
      </c>
      <c r="J1747" t="n">
        <v>0.0606</v>
      </c>
      <c r="K1747" t="n">
        <v>0.2447</v>
      </c>
      <c r="L1747" t="inlineStr">
        <is>
          <t>The provided code is an implementation of a custom RxJava subscriber that forwards calls to its delegate Subscriber object. This class extends the functionality of the base RxJava Subscriber by overriding some methods (`onNext()` and `onCompleted()`). The purpose of this class seems to be to provide additional behavior or control flow in response to certain events triggered</t>
        </is>
      </c>
      <c r="M1747" t="n">
        <v>0.0042</v>
      </c>
      <c r="N1747" t="n">
        <v>0.09229999999999999</v>
      </c>
      <c r="O1747" t="n">
        <v>0.155</v>
      </c>
    </row>
    <row r="1748">
      <c r="A1748" t="inlineStr">
        <is>
          <t>retrofit</t>
        </is>
      </c>
      <c r="B1748" t="inlineStr">
        <is>
          <t>retrofit-adapters/rxjava/src/test/java/retrofit2/adapter/rxjava/ObservableWithSchedulerTest.java</t>
        </is>
      </c>
      <c r="C1748">
        <f>HYPERLINK("https://github.com/square/retrofit/blob/master/retrofit-adapters/rxjava/src/test/java/retrofit2/adapter/rxjava/ObservableWithSchedulerTest.java")</f>
        <v/>
      </c>
      <c r="D1748" t="inlineStr">
        <is>
          <t>The code is a JUnit test for an Observable with RxJava scheduler in Retrofit 2 using MockWebServer to mock HTTP responses. It tests the functionality of making network requests and processing them asynchronously on different threads using RxJava's Scheduler class. The license at the top indicates that this software can be used under Apache License version 2.0</t>
        </is>
      </c>
      <c r="E1748" t="n">
        <v>0.0042</v>
      </c>
      <c r="F1748" t="n">
        <v>0.0597</v>
      </c>
      <c r="G1748" t="n">
        <v>0.2447</v>
      </c>
      <c r="H1748" t="inlineStr">
        <is>
          <t>ThegivencodeisacompletedJavaapplicationthatusesRxJavaforasynchronousprogramming.ItincludesunitTestsusingJUnit4. The code is licensed under the Apache License 2.0 and can be used for educational purposes.
```java
package retrofit2.adapter.rxjava;
import okhttp3.mockwebserver.MockResponse;</t>
        </is>
      </c>
      <c r="I1748" t="n">
        <v>0.008699999999999999</v>
      </c>
      <c r="J1748" t="n">
        <v>0.0556</v>
      </c>
      <c r="K1748" t="n">
        <v>0.1064</v>
      </c>
      <c r="L1748" t="inlineStr">
        <is>
          <t>The code provided is a JUnit test for an Observable with RxJava scheduler in Retrofit 2 using OkHttp's MockWebServer. The purpose of the class `ObservableWithSchedulerTest` is to verify that the HTTP requests made by Retrofit are correctly handled and processed asynchronously on different threads. It does this through mocking network responses from a</t>
        </is>
      </c>
      <c r="M1748" t="n">
        <v>0.0035</v>
      </c>
      <c r="N1748" t="n">
        <v>0.0323</v>
      </c>
      <c r="O1748" t="n">
        <v>0.12</v>
      </c>
    </row>
    <row r="1749">
      <c r="A1749" t="inlineStr">
        <is>
          <t>retrofit</t>
        </is>
      </c>
      <c r="B1749" t="inlineStr">
        <is>
          <t>retrofit-adapters/rxjava/src/test/java/retrofit2/adapter/rxjava/ObservableThrowingTest.java</t>
        </is>
      </c>
      <c r="C1749">
        <f>HYPERLINK("https://github.com/square/retrofit/blob/master/retrofit-adapters/rxjava/src/test/java/retrofit2/adapter/rxjava/ObservableThrowingTest.java")</f>
        <v/>
      </c>
      <c r="D1749" t="inlineStr">
        <is>
          <t>The code provided is a copyright notice and license information for the Apache License 2.0 (ALv2). It also contains some documentation about the repository's structure and its complexity level. The implementation of core algorithms isnâĢĻt visible in this snippet but it could be found elsewhere in the project or on other repositories linked from here. There are no commits yet to indicate that</t>
        </is>
      </c>
      <c r="E1749" t="n">
        <v>0.0034</v>
      </c>
      <c r="F1749" t="n">
        <v>0.0541</v>
      </c>
      <c r="G1749" t="n">
        <v>0.1481</v>
      </c>
      <c r="H1749" t="inlineStr">
        <is>
          <t>The code you provided is a simple function for addition in Python named `add` that takes two arguments and returns their sum. The time complexity of this operation is O(1), meaning it performs a constant number of operations regardless of the size of the input data.
The README file explains what the repository contains along with its complexities. It also mentions about implementation of core algorithms used</t>
        </is>
      </c>
      <c r="I1749" t="n">
        <v>0.0032</v>
      </c>
      <c r="J1749" t="n">
        <v>0.0789</v>
      </c>
      <c r="K1749" t="n">
        <v>0.1799</v>
      </c>
      <c r="L1749" t="inlineStr">
        <is>
          <t>The code provided is a Java implementation of an HTTP client using the OkHttp library and Retrofit 2 for API requests. The main purpose of this code is to provide asynchronous network calls with error handling capabilities. It uses RxJava for managing observables and subscribers.
The input to the code are mock server responses from which it extracts data in JSON format. These</t>
        </is>
      </c>
      <c r="M1749" t="n">
        <v>0.0029</v>
      </c>
      <c r="N1749" t="n">
        <v>0.0563</v>
      </c>
      <c r="O1749" t="n">
        <v>0.1481</v>
      </c>
    </row>
    <row r="1750">
      <c r="A1750" t="inlineStr">
        <is>
          <t>retrofit</t>
        </is>
      </c>
      <c r="B1750" t="inlineStr">
        <is>
          <t>retrofit-adapters/rxjava/src/test/java/retrofit2/adapter/rxjava/CompletableThrowingSafeSubscriberTest.java</t>
        </is>
      </c>
      <c r="C1750">
        <f>HYPERLINK("https://github.com/square/retrofit/blob/master/retrofit-adapters/rxjava/src/test/java/retrofit2/adapter/rxjava/CompletableThrowingSafeSubscriberTest.java")</f>
        <v/>
      </c>
      <c r="D1750" t="inlineStr">
        <is>
          <t>The code provided is a Java class for testing Retrofit with RxJava using MockWebServer from the OkHttp library. It uses Google Truth to assert that certain conditions are met in response to HTTP requests made by Retrofit's service interface. The test rule `@Rule` allows JUnit 4 tests to be modified before and after each method annotated with @Test. This</t>
        </is>
      </c>
      <c r="E1750" t="n">
        <v>0.0037</v>
      </c>
      <c r="F1750" t="n">
        <v>0.0294</v>
      </c>
      <c r="G1750" t="n">
        <v>0.1145</v>
      </c>
      <c r="H1750" t="inlineStr">
        <is>
          <t>The code you provided is a simple function for addition of two numbers in Python. It takes two parameters 'a' and 'b', adds them together and returns the result. The time complexity of this operation is O(1), meaning it performs a constant number of operations regardless of the size of the input data.
Here are some examples to test your add method:
```python</t>
        </is>
      </c>
      <c r="I1750" t="n">
        <v>0.0029</v>
      </c>
      <c r="J1750" t="n">
        <v>0.0556</v>
      </c>
      <c r="K1750" t="n">
        <v>0.1111</v>
      </c>
      <c r="L1750" t="inlineStr">
        <is>
          <t>The code provided is a part of Retrofit's RxJava adapter implementation in Java. The main purpose of the code seems to be setting up and managing an HTTP server using MockWebServer for testing purposes. 
There are several key operations performed by this code including creating mock responses with specific status codes and headers, starting and stopping the web server, and making GET requests to</t>
        </is>
      </c>
      <c r="M1750" t="n">
        <v>0.0028</v>
      </c>
      <c r="N1750" t="n">
        <v>0.0548</v>
      </c>
      <c r="O1750" t="n">
        <v>0.1471</v>
      </c>
    </row>
    <row r="1751">
      <c r="A1751" t="inlineStr">
        <is>
          <t>retrofit</t>
        </is>
      </c>
      <c r="B1751" t="inlineStr">
        <is>
          <t>retrofit-adapters/rxjava/src/test/java/retrofit2/adapter/rxjava/ObservableThrowingSafeSubscriberTest.java</t>
        </is>
      </c>
      <c r="C1751">
        <f>HYPERLINK("https://github.com/square/retrofit/blob/master/retrofit-adapters/rxjava/src/test/java/retrofit2/adapter/rxjava/ObservableThrowingSafeSubscriberTest.java")</f>
        <v/>
      </c>
      <c r="D1751" t="inlineStr">
        <is>
          <t>The code you've provided is a license header for an Apache 2.0 licensed software component named Retrofit with RxJava adapter. It contains terms of use and conditions under which the software can be used or modified. The copyright notice also mentions Square Inc., indicating that it was developed by them. This repository appears to contain backend software components implementing core algorithms.
I am</t>
        </is>
      </c>
      <c r="E1751" t="n">
        <v>0.0041</v>
      </c>
      <c r="F1751" t="n">
        <v>0.1096</v>
      </c>
      <c r="G1751" t="n">
        <v>0.3158</v>
      </c>
      <c r="H1751" t="inlineStr">
        <is>
          <t>The code you provided is a simple addition function in Python named `add` which takes two parameters and returns their sum. The time complexity of this operation is O(1), meaning it always executes in the same amount of time regardless of input size.
Here's your summary for the add function:
```python
# Function to add two numbers
def add(a</t>
        </is>
      </c>
      <c r="I1751" t="n">
        <v>0.0031</v>
      </c>
      <c r="J1751" t="n">
        <v>0.058</v>
      </c>
      <c r="K1751" t="n">
        <v>0.1145</v>
      </c>
      <c r="L1751" t="inlineStr">
        <is>
          <t>The code provided is a Java implementation of an HTTP client using OkHttp and Retrofit libraries for Android development. It uses RxJava to handle asynchronous operations. The main purpose of this code seems to be testing the functionality of these libraries with MockWebServer.
Here are some key components involved in this code:
1. `@Rule` - A JUnit rule</t>
        </is>
      </c>
      <c r="M1751" t="n">
        <v>0.0037</v>
      </c>
      <c r="N1751" t="n">
        <v>0.0615</v>
      </c>
      <c r="O1751" t="n">
        <v>0.1538</v>
      </c>
    </row>
    <row r="1752">
      <c r="A1752" t="inlineStr">
        <is>
          <t>retrofit</t>
        </is>
      </c>
      <c r="B1752" t="inlineStr">
        <is>
          <t>retrofit-adapters/rxjava3/src/main/java/retrofit2/adapter/rxjava3/BodyObservable.java</t>
        </is>
      </c>
      <c r="C1752">
        <f>HYPERLINK("https://github.com/square/retrofit/blob/master/retrofit-adapters/rxjava3/src/main/java/retrofit2/adapter/rxjava3/BodyObservable.java")</f>
        <v/>
      </c>
      <c r="D1752" t="inlineStr">
        <is>
          <t>The code provided is a Java implementation of an Observable class using RxJava 3 and Retrofit 2 for network requests. The license at the top indicates that this software can be used under certain conditions as specified by Apache License Version 2.0 (http://www.apache.org/licenses/LICENSE-2.0). This observable class manages backend communication via</t>
        </is>
      </c>
      <c r="E1752" t="n">
        <v>0.0048</v>
      </c>
      <c r="F1752" t="n">
        <v>0.0606</v>
      </c>
      <c r="G1752" t="n">
        <v>0.2049</v>
      </c>
      <c r="H1752" t="inlineStr">
        <is>
          <t>The provided code is a Java implementation of the RxJava 3 adapter for Retrofit 2. It extends an Observable class to handle backend software components and core algorithms. The complexity of this function is O(N), where N represents the number of elements in the observable sequence. This code does not repeat any existing code but instead adds new functionality by extending or modifying the original classes</t>
        </is>
      </c>
      <c r="I1752" t="n">
        <v>0.0041</v>
      </c>
      <c r="J1752" t="n">
        <v>0.08</v>
      </c>
      <c r="K1752" t="n">
        <v>0.2174</v>
      </c>
      <c r="L1752" t="inlineStr">
        <is>
          <t>The given code is a Retrofit 2 adapter for RxJava 3 that converts the response from an API call into an Observable object in ReactiveX Java library format. The main purpose of this class seems to be converting network responses (Retrofit's Response type) into observable sequences which can then be subscribed and manipulated using operators provided by the reactive streams</t>
        </is>
      </c>
      <c r="M1752" t="n">
        <v>0.003</v>
      </c>
      <c r="N1752" t="n">
        <v>0.058</v>
      </c>
      <c r="O1752" t="n">
        <v>0.1136</v>
      </c>
    </row>
    <row r="1753">
      <c r="A1753" t="inlineStr">
        <is>
          <t>retrofit</t>
        </is>
      </c>
      <c r="B1753" t="inlineStr">
        <is>
          <t>retrofit-adapters/rxjava3/src/main/java/retrofit2/adapter/rxjava3/HttpException.java</t>
        </is>
      </c>
      <c r="C1753">
        <f>HYPERLINK("https://github.com/square/retrofit/blob/master/retrofit-adapters/rxjava3/src/main/java/retrofit2/adapter/rxjava3/HttpException.java")</f>
        <v/>
      </c>
      <c r="D1753" t="inlineStr">
        <is>
          <t>The code you provided is a deprecated class named HttpException that extends the Retrofit's HttpException. It has been marked as @Deprecated and suggests it may be used for handling HTTP responses in an application but its usage might not be recommended due to potential issues with error handling or compatibility with newer versions of libraries like RxJava 3. The license at the top indicates this software</t>
        </is>
      </c>
      <c r="E1753" t="n">
        <v>0.0033</v>
      </c>
      <c r="F1753" t="n">
        <v>0.0533</v>
      </c>
      <c r="G1753" t="n">
        <v>0.2287</v>
      </c>
      <c r="H1753" t="inlineStr">
        <is>
          <t>The provided code is a Java class named HttpException that extends the Retrofit's HttpException and it has been deprecated as per your request. The function of this class seems to be handling HTTP exceptions by extending the functionality from its parent class (RetrofitâĢĻs Http Exception). It takes in a Response object during initialization which may contain information about an HTTP error response.</t>
        </is>
      </c>
      <c r="I1753" t="n">
        <v>0.0035</v>
      </c>
      <c r="J1753" t="n">
        <v>0.0556</v>
      </c>
      <c r="K1753" t="n">
        <v>0.1119</v>
      </c>
      <c r="L1753" t="inlineStr">
        <is>
          <t>The given code is a deprecated class `HttpException` in the package `retrofit2.adapter.rxjava3` of Retrofit library for Java. This class extends from another deprecated class named `HttpException` which itself extends from an unmodified class named `HttpException` from the same library but under different packages (i.e., retrofit2).</t>
        </is>
      </c>
      <c r="M1753" t="n">
        <v>0.0041</v>
      </c>
      <c r="N1753" t="n">
        <v>0.0357</v>
      </c>
      <c r="O1753" t="n">
        <v>0.0427</v>
      </c>
    </row>
    <row r="1754">
      <c r="A1754" t="inlineStr">
        <is>
          <t>retrofit</t>
        </is>
      </c>
      <c r="B1754" t="inlineStr">
        <is>
          <t>retrofit-adapters/rxjava3/src/main/java/retrofit2/adapter/rxjava3/RxJava3CallAdapterFactory.java</t>
        </is>
      </c>
      <c r="C1754">
        <f>HYPERLINK("https://github.com/square/retrofit/blob/master/retrofit-adapters/rxjava3/src/main/java/retrofit2/adapter/rxjava3/RxJava3CallAdapterFactory.java")</f>
        <v/>
      </c>
      <c r="D1754" t="inlineStr">
        <is>
          <t>The provided code is a part of the Retrofit 2 library with RxJava 3 integration. It contains several import statements for different types from ReactiveX (RxJava's version 3). The license at the top states that this software may be used under Apache License Version 2.0 which requires compliance and permits obtaining a copy of the license at http://www.</t>
        </is>
      </c>
      <c r="E1754" t="n">
        <v>0.0037</v>
      </c>
      <c r="F1754" t="n">
        <v>0.08699999999999999</v>
      </c>
      <c r="G1754" t="n">
        <v>0.2428</v>
      </c>
      <c r="H1754" t="inlineStr">
        <is>
          <t>The code you provided is a Java package for Retrofit 2 with RxJava 3 adapter. It contains several classes and interfaces related to network requests using the Reactive Extensions (Rx). The copyright notice at the top of each file indicates that it's licensed under Apache License Version 2.0.
Here are some key components in this package:</t>
        </is>
      </c>
      <c r="I1754" t="n">
        <v>0.0033</v>
      </c>
      <c r="J1754" t="n">
        <v>0.0303</v>
      </c>
      <c r="K1754" t="n">
        <v>0.1172</v>
      </c>
      <c r="L1754" t="inlineStr">
        <is>
          <t>The provided code is a part of Retrofit 2's RxJava 3 adapter implementation in Java. The main purpose of this code seems to be the creation and execution of HTTP requests using Retrofit while also utilizing Reactive Extensions (Rx).
It defines several classes for handling different types of responses from server such as `Completable`, `Flowable</t>
        </is>
      </c>
      <c r="M1754" t="n">
        <v>0.0033</v>
      </c>
      <c r="N1754" t="n">
        <v>0.0625</v>
      </c>
      <c r="O1754" t="n">
        <v>0.1575</v>
      </c>
    </row>
    <row r="1755">
      <c r="A1755" t="inlineStr">
        <is>
          <t>retrofit</t>
        </is>
      </c>
      <c r="B1755" t="inlineStr">
        <is>
          <t>retrofit-adapters/rxjava3/src/main/java/retrofit2/adapter/rxjava3/package-info.java</t>
        </is>
      </c>
      <c r="C1755">
        <f>HYPERLINK("https://github.com/square/retrofit/blob/master/retrofit-adapters/rxjava3/src/main/java/retrofit2/adapter/rxjava3/package-info.java")</f>
        <v/>
      </c>
      <c r="D1755" t="inlineStr">
        <is>
          <t>The code you provided appears to be a part of the Retrofit 2 library for Java and RxJava 3 integration. It's used in creating REST API calls with asynchronous programming support using Observables from RxJava 3. The package `@retrofit2.internal.EverythingIsNonNull` contains internal classes that are not meant to be accessed directly by</t>
        </is>
      </c>
      <c r="E1755" t="n">
        <v>0.0036</v>
      </c>
      <c r="F1755" t="n">
        <v>0.0323</v>
      </c>
      <c r="G1755" t="n">
        <v>0.0813</v>
      </c>
      <c r="H1755" t="inlineStr">
        <is>
          <t>ThegivencodeispartofRetrofit2librarywhichusesRXJava3forasynchronouscommunication.Itimplementsallmethodsnon-nullcheckbeforeprocessingrequestsoreponses.
```python
@retrofit2.internal.EverythingIsNonNull
package retrofit2.adapter.rxjava3;
``` 
In this code sn</t>
        </is>
      </c>
      <c r="I1755" t="n">
        <v>0</v>
      </c>
      <c r="J1755" t="n">
        <v>0.08699999999999999</v>
      </c>
      <c r="K1755" t="n">
        <v>0.061</v>
      </c>
      <c r="L1755" t="inlineStr">
        <is>
          <t>The provided code is a part of the Retrofit 2 library and specifically focuses on adapting HTTP requests to RxJava 3 observables for non-blocking asynchronous programming in Android applications. The main purpose of this component is to convert network responses into Observable objects that can be handled by RxJava's operators for efficient data manipulation and handling backpressure scenarios effectively</t>
        </is>
      </c>
      <c r="M1755" t="n">
        <v>0.0031</v>
      </c>
      <c r="N1755" t="n">
        <v>0.058</v>
      </c>
      <c r="O1755" t="n">
        <v>0.1527</v>
      </c>
    </row>
    <row r="1756">
      <c r="A1756" t="inlineStr">
        <is>
          <t>retrofit</t>
        </is>
      </c>
      <c r="B1756" t="inlineStr">
        <is>
          <t>retrofit-adapters/rxjava3/src/main/java/retrofit2/adapter/rxjava3/CallEnqueueObservable.java</t>
        </is>
      </c>
      <c r="C1756">
        <f>HYPERLINK("https://github.com/square/retrofit/blob/master/retrofit-adapters/rxjava3/src/main/java/retrofit2/adapter/rxjava3/CallEnqueueObservable.java")</f>
        <v/>
      </c>
      <c r="D1756" t="inlineStr">
        <is>
          <t>The code provided is a Java implementation of an RxJava adapter for Retrofit 2. It's licensed under the Apache License version 2.0 and it provides functionality to convert Retrofit Call objects into Observables which can be subscribed by Observers in reactive programming style. The code also includes error handling mechanisms using RxJava plugins such as `RxJavaPl</t>
        </is>
      </c>
      <c r="E1756" t="n">
        <v>0.0039</v>
      </c>
      <c r="F1756" t="n">
        <v>0.0606</v>
      </c>
      <c r="G1756" t="n">
        <v>0.1172</v>
      </c>
      <c r="H1756" t="inlineStr">
        <is>
          <t>The provided code is a Java implementation of the addition function using Retrofit 2 and RxJava 3 for network requests. It defines an `add` method that takes two numbers as parameters and returns their sum. The complexity of this operation is O(1), meaning it performs a fixed number of operations regardless of input size.
The Apache License version 2.0 govern</t>
        </is>
      </c>
      <c r="I1756" t="n">
        <v>0.003</v>
      </c>
      <c r="J1756" t="n">
        <v>0.0857</v>
      </c>
      <c r="K1756" t="n">
        <v>0.1515</v>
      </c>
      <c r="L1756" t="inlineStr">
        <is>
          <t>The provided code is a part of Retrofit's RxJava 3 adapter implementation in Java. The main purpose of this code seems to be converting the Call object returned by Retrofit into an Observable that can be used with libraries like RxJava for asynchronous programming and event handling.
Here are key operations identified from the logic:
1. It uses</t>
        </is>
      </c>
      <c r="M1756" t="n">
        <v>0.0031</v>
      </c>
      <c r="N1756" t="n">
        <v>0.0896</v>
      </c>
      <c r="O1756" t="n">
        <v>0.1538</v>
      </c>
    </row>
    <row r="1757">
      <c r="A1757" t="inlineStr">
        <is>
          <t>retrofit</t>
        </is>
      </c>
      <c r="B1757" t="inlineStr">
        <is>
          <t>retrofit-adapters/rxjava3/src/main/java/retrofit2/adapter/rxjava3/CallExecuteObservable.java</t>
        </is>
      </c>
      <c r="C1757">
        <f>HYPERLINK("https://github.com/square/retrofit/blob/master/retrofit-adapters/rxjava3/src/main/java/retrofit2/adapter/rxjava3/CallExecuteObservable.java")</f>
        <v/>
      </c>
      <c r="D1757" t="inlineStr">
        <is>
          <t>The code provided is a Java class that implements the RxJava 3 adapter for Retrofit 2. It's licensed under Apache License Version 2.0 and it contains comments explaining its functionality and complexity (denoted as O(N)). The repository also includes backend software components which are complex algorithms implemented in the form of classes or methods. This implementation allows conversion between Retrofit</t>
        </is>
      </c>
      <c r="E1757" t="n">
        <v>0.0081</v>
      </c>
      <c r="F1757" t="n">
        <v>0.08450000000000001</v>
      </c>
      <c r="G1757" t="n">
        <v>0.2818</v>
      </c>
      <c r="H1757" t="inlineStr">
        <is>
          <t>The code you provided is a Java implementation of the addition function using RxJava 3. The functionality it provides includes performing an addition operation between two numbers and returning the result asynchronously via Observable. This code follows Apache License version 2.0 which allows for reuse and modification under certain conditions.
Please provide your own code to be summarized or explain what you want</t>
        </is>
      </c>
      <c r="I1757" t="n">
        <v>0.0038</v>
      </c>
      <c r="J1757" t="n">
        <v>0.0833</v>
      </c>
      <c r="K1757" t="n">
        <v>0.1481</v>
      </c>
      <c r="L1757" t="inlineStr">
        <is>
          <t>ThegivenRetrofit2+RxJava3+Adapter's+source+code+summarizes+its+role+as+a+wrapper+around+the+original+call+made+using+Retrofit2.+It+transforms+the+observable+returned+from+the+execution+of+the+request+into+an</t>
        </is>
      </c>
      <c r="M1757" t="n">
        <v>0</v>
      </c>
      <c r="N1757" t="n">
        <v>0</v>
      </c>
      <c r="O1757" t="n">
        <v>0</v>
      </c>
    </row>
    <row r="1758">
      <c r="A1758" t="inlineStr">
        <is>
          <t>retrofit</t>
        </is>
      </c>
      <c r="B1758" t="inlineStr">
        <is>
          <t>retrofit-adapters/rxjava3/src/main/java/retrofit2/adapter/rxjava3/ResultObservable.java</t>
        </is>
      </c>
      <c r="C1758">
        <f>HYPERLINK("https://github.com/square/retrofit/blob/master/retrofit-adapters/rxjava3/src/main/java/retrofit2/adapter/rxjava3/ResultObservable.java")</f>
        <v/>
      </c>
      <c r="D1758" t="inlineStr">
        <is>
          <t>The code provided is a custom implementation of an Observable in RxJava 3 that handles HTTP responses from Retrofit 2. It's designed to convert the response into an observable stream and handle any exceptions or errors that may occur during this process. The license at the top indicates it's licensed under Apache License Version 2.0 which means you can use, modify, and</t>
        </is>
      </c>
      <c r="E1758" t="n">
        <v>0.0029</v>
      </c>
      <c r="F1758" t="n">
        <v>0.0548</v>
      </c>
      <c r="G1758" t="n">
        <v>0.1119</v>
      </c>
      <c r="H1758" t="inlineStr">
        <is>
          <t>The provided code is a Java implementation of the RxJava 3 version of Retrofit 2's adapter for Observable types. The function `ResultObservable` takes in an instance of `Call` and returns an observable that emits either a response or error from the network call as per the retrofit documentation.
Here are some key points about this piece of code</t>
        </is>
      </c>
      <c r="I1758" t="n">
        <v>0.0031</v>
      </c>
      <c r="J1758" t="n">
        <v>0.0896</v>
      </c>
      <c r="K1758" t="n">
        <v>0.1538</v>
      </c>
      <c r="L1758" t="inlineStr">
        <is>
          <t>The code you provided is an implementation of a custom Observable adapter in Retrofit 2 using RxJava 3. The purpose of this class seems to be to transform the response from Retrofit into an observable that can be used with RxJava operators for asynchronous programming.
It does so by implementing the Observer interface and overriding its methods (`onSub</t>
        </is>
      </c>
      <c r="M1758" t="n">
        <v>0.0031</v>
      </c>
      <c r="N1758" t="n">
        <v>0.09089999999999999</v>
      </c>
      <c r="O1758" t="n">
        <v>0.1538</v>
      </c>
    </row>
    <row r="1759">
      <c r="A1759" t="inlineStr">
        <is>
          <t>retrofit</t>
        </is>
      </c>
      <c r="B1759" t="inlineStr">
        <is>
          <t>retrofit-adapters/rxjava3/src/main/java/retrofit2/adapter/rxjava3/RxJava3CallAdapter.java</t>
        </is>
      </c>
      <c r="C1759">
        <f>HYPERLINK("https://github.com/square/retrofit/blob/master/retrofit-adapters/rxjava3/src/main/java/retrofit2/adapter/rxjava3/RxJava3CallAdapter.java")</f>
        <v/>
      </c>
      <c r="D1759" t="inlineStr">
        <is>
          <t>The provided code is a Java implementation of an RxJava 3 adapter for Retrofit 2. It provides the functionality to convert Retrofit's Call objects into Observables that can be used with reactive programming paradigms like RXJava 3. The code is licensed under Apache License Version 2.0 and it may not be used except in compliance with this license.</t>
        </is>
      </c>
      <c r="E1759" t="n">
        <v>0.0037</v>
      </c>
      <c r="F1759" t="n">
        <v>0.0882</v>
      </c>
      <c r="G1759" t="n">
        <v>0.1538</v>
      </c>
      <c r="H1759" t="inlineStr">
        <is>
          <t>The code you provided is a Retrofit 2 adapter for RxJava 3 that converts the Call&lt;T&gt; returned by Retrofit into an Observable&lt;T&gt;. It's using Apache License version 2.0 which means it can be used freely under certain conditions as specified in the license text. The complexity of this code seems to be O(n), where</t>
        </is>
      </c>
      <c r="I1759" t="n">
        <v>0</v>
      </c>
      <c r="J1759" t="n">
        <v>0.0299</v>
      </c>
      <c r="K1759" t="n">
        <v>0.0794</v>
      </c>
      <c r="L1759" t="inlineStr">
        <is>
          <t>The provided code is a Java implementation of the RxJava 3 Call adapter for Retrofit 2. It's designed to adapt Retrofit calls into Observables that can be used with reactive programming paradigms like RxJava 3. The main purpose of this class seems to be converting an asynchronous network call (represented by `Call` object in Retro</t>
        </is>
      </c>
      <c r="M1759" t="n">
        <v>0</v>
      </c>
      <c r="N1759" t="n">
        <v>0.0312</v>
      </c>
      <c r="O1759" t="n">
        <v>0.1181</v>
      </c>
    </row>
    <row r="1760">
      <c r="A1760" t="inlineStr">
        <is>
          <t>retrofit</t>
        </is>
      </c>
      <c r="B1760" t="inlineStr">
        <is>
          <t>retrofit-adapters/rxjava3/src/main/java/retrofit2/adapter/rxjava3/Result.java</t>
        </is>
      </c>
      <c r="C1760">
        <f>HYPERLINK("https://github.com/square/retrofit/blob/master/retrofit-adapters/rxjava3/src/main/java/retrofit2/adapter/rxjava3/Result.java")</f>
        <v/>
      </c>
      <c r="D1760" t="inlineStr">
        <is>
          <t>```plaintext
The code is a Java class named Result that represents the result of executing an HTTP request in Retrofit 2 with RxJava 3. It has three possible states for its data - success (response received and parsed successfully), failure (exception occurred during execution or response parsing failed), and error (network exception). The class contains methods to create instances based</t>
        </is>
      </c>
      <c r="E1760" t="n">
        <v>0.003</v>
      </c>
      <c r="F1760" t="n">
        <v>0.0299</v>
      </c>
      <c r="G1760" t="n">
        <v>0.0379</v>
      </c>
      <c r="H1760" t="inlineStr">
        <is>
          <t>```python
from typing import Optional
def add_two_numbers(l1: Optional[ListNode], l2: Optional[ListNode]) -&gt; Optional[ListNode]:
    """
    You are given two non-empty linked lists representing two non-negative integers. 
    The digits are stored in reverse order and each of their nodes contain a single</t>
        </is>
      </c>
      <c r="I1760" t="n">
        <v>0.0047</v>
      </c>
      <c r="J1760" t="n">
        <v>0.0377</v>
      </c>
      <c r="K1760" t="n">
        <v>0.045</v>
      </c>
      <c r="L1760" t="inlineStr">
        <is>
          <t>Returnstheresponsecontainingthebody,headers,etc.,fromtheexecutionofaHTTPrequest.*/privatefinalResponse&lt;T&gt;response;}...}
```
# Code Summary
This code is a Java class named `Result` that encapsulates the result of executing an HTTP request using Retrofit 2 and RxJava 3 libraries. It provides methods to create</t>
        </is>
      </c>
      <c r="M1760" t="n">
        <v>0.0065</v>
      </c>
      <c r="N1760" t="n">
        <v>0.08699999999999999</v>
      </c>
      <c r="O1760" t="n">
        <v>0.1415</v>
      </c>
    </row>
    <row r="1761">
      <c r="A1761" t="inlineStr">
        <is>
          <t>retrofit</t>
        </is>
      </c>
      <c r="B1761" t="inlineStr">
        <is>
          <t>retrofit-adapters/rxjava3/src/test/java/retrofit2/adapter/rxjava3/SingleTest.java</t>
        </is>
      </c>
      <c r="C1761">
        <f>HYPERLINK("https://github.com/square/retrofit/blob/master/retrofit-adapters/rxjava3/src/test/java/retrofit2/adapter/rxjava3/SingleTest.java")</f>
        <v/>
      </c>
      <c r="D1761" t="inlineStr">
        <is>
          <t>The code provided is a Java implementation of an HTTP client using Retrofit 2 and RxJava 3 for network requests. It includes unit tests to verify the functionality of these components. The license at the top specifies that it's licensed under Apache License Version 2.0 which restricts its usage unless in compliance with this license. This code has been written by Square, Inc.,</t>
        </is>
      </c>
      <c r="E1761" t="n">
        <v>0.0038</v>
      </c>
      <c r="F1761" t="n">
        <v>0.0548</v>
      </c>
      <c r="G1761" t="n">
        <v>0.1481</v>
      </c>
      <c r="H1761" t="inlineStr">
        <is>
          <t>The provided code is a Java function for adding two numbers using the `+` operator in an RxJava 3 environment with Mockito testing framework. The complexity of this operation is O(1), meaning it takes constant time to execute regardless of input size.
The copyright information at the top states that the software may be used under Apache License Version 2.0 terms and conditions</t>
        </is>
      </c>
      <c r="I1761" t="n">
        <v>0.0034</v>
      </c>
      <c r="J1761" t="n">
        <v>0.0833</v>
      </c>
      <c r="K1761" t="n">
        <v>0.1481</v>
      </c>
      <c r="L1761" t="inlineStr">
        <is>
          <t>The provided code is a Java implementation of an RxJava adapter for Retrofit 2 using OkHttp as the networking library. The main purpose of this code is to provide a way to make network requests and handle responses in a reactive manner. It does so by creating mock servers that mimic network conditions during testing and provides assertions on whether certain operations have been performed correctly.</t>
        </is>
      </c>
      <c r="M1761" t="n">
        <v>0.0028</v>
      </c>
      <c r="N1761" t="n">
        <v>0.0541</v>
      </c>
      <c r="O1761" t="n">
        <v>0.1449</v>
      </c>
    </row>
    <row r="1762">
      <c r="A1762" t="inlineStr">
        <is>
          <t>retrofit</t>
        </is>
      </c>
      <c r="B1762" t="inlineStr">
        <is>
          <t>retrofit-adapters/rxjava3/src/test/java/retrofit2/adapter/rxjava3/CancelDisposeTestSync.java</t>
        </is>
      </c>
      <c r="C1762">
        <f>HYPERLINK("https://github.com/square/retrofit/blob/master/retrofit-adapters/rxjava3/src/test/java/retrofit2/adapter/rxjava3/CancelDisposeTestSync.java")</f>
        <v/>
      </c>
      <c r="D1762" t="inlineStr">
        <is>
          <t>The code provided is a JUnit test for an OkHTTP client using the Retrofit library with RxJava 3 adapter. It tests whether cancel(), dispose() and shutdown() methods work as expected in different scenarios. The license at the top of the file states that it's licensed under Apache License Version 2.0.
The main part of this code involves setting</t>
        </is>
      </c>
      <c r="E1762" t="n">
        <v>0.0031</v>
      </c>
      <c r="F1762" t="n">
        <v>0.0294</v>
      </c>
      <c r="G1762" t="n">
        <v>0.1154</v>
      </c>
      <c r="H1762" t="inlineStr">
        <is>
          <t>The code you provided is a Java class named `CancelDisposeTestSync` that uses RxJava 3 and Retrofit for network requests. It contains several methods related to handling observables in the context of synchronous testing. Some key components include:
1. The use of an OkHttp client with MockWebServer for mocking HTTP responses during tests.
2.</t>
        </is>
      </c>
      <c r="I1762" t="n">
        <v>0.0035</v>
      </c>
      <c r="J1762" t="n">
        <v>0.0328</v>
      </c>
      <c r="K1762" t="n">
        <v>0.08</v>
      </c>
      <c r="L1762" t="inlineStr">
        <is>
          <t>The provided code is a JUnit test class named `CancelDisposeTestSync` that tests the functionality of an HTTP client using Retrofit and RxJava 3. The main purpose of this class is to verify if calling cancel on Observables created by Retrofit's Call objects results in dispose being called on the underlying OkHttp call.
```java
public</t>
        </is>
      </c>
      <c r="M1762" t="n">
        <v>0.004</v>
      </c>
      <c r="N1762" t="n">
        <v>0.0635</v>
      </c>
      <c r="O1762" t="n">
        <v>0.119</v>
      </c>
    </row>
    <row r="1763">
      <c r="A1763" t="inlineStr">
        <is>
          <t>retrofit</t>
        </is>
      </c>
      <c r="B1763" t="inlineStr">
        <is>
          <t>retrofit-adapters/rxjava3/src/test/java/retrofit2/adapter/rxjava3/ResultTest.java</t>
        </is>
      </c>
      <c r="C1763">
        <f>HYPERLINK("https://github.com/square/retrofit/blob/master/retrofit-adapters/rxjava3/src/test/java/retrofit2/adapter/rxjava3/ResultTest.java")</f>
        <v/>
      </c>
      <c r="D1763" t="inlineStr">
        <is>
          <t>The code is a JUnit test for the Result class in Retrofit 2's RxJava3 adapter package. The test checks if the response from an API call (a success with "Hi") correctly converts to a `Result` object and validates that it contains the expected data ("Hi"). It also verifies that there are no exceptions thrown during this process.</t>
        </is>
      </c>
      <c r="E1763" t="n">
        <v>0.0032</v>
      </c>
      <c r="F1763" t="n">
        <v>0.0303</v>
      </c>
      <c r="G1763" t="n">
        <v>0.0775</v>
      </c>
      <c r="H1763" t="inlineStr">
        <is>
          <t>Themethodshouldbeinvokedwithasuccessfulresponsecontainingastringvalue.Thestringvaluemustbesetintotheresultobject.Ifanyerroroccurswhileprocessing,thenasecondaryexceptionmustbegenerated.Tests:Itshardcodetoensurethattherearenothavingerrorswhencallingthismethod. It's expected to return a Result object with the value</t>
        </is>
      </c>
      <c r="I1763" t="n">
        <v>0</v>
      </c>
      <c r="J1763" t="n">
        <v>0</v>
      </c>
      <c r="K1763" t="n">
        <v>0</v>
      </c>
      <c r="L1763" t="inlineStr">
        <is>
          <t>The code provided is a JUnit test for the `Result` class in Retrofit 2's RxJava3 adapter. This class seems to be used as a wrapper around responses from network calls and provides utility methods like success or error checking.
The main purpose of this class appears to be encapsulating an HTTP response with additional information about whether it was successful (a</t>
        </is>
      </c>
      <c r="M1763" t="n">
        <v>0.0036</v>
      </c>
      <c r="N1763" t="n">
        <v>0.0571</v>
      </c>
      <c r="O1763" t="n">
        <v>0.1128</v>
      </c>
    </row>
    <row r="1764">
      <c r="A1764" t="inlineStr">
        <is>
          <t>retrofit</t>
        </is>
      </c>
      <c r="B1764" t="inlineStr">
        <is>
          <t>retrofit-adapters/rxjava3/src/test/java/retrofit2/adapter/rxjava3/RxJava3CallAdapterFactoryTest.java</t>
        </is>
      </c>
      <c r="C1764">
        <f>HYPERLINK("https://github.com/square/retrofit/blob/master/retrofit-adapters/rxjava3/src/test/java/retrofit2/adapter/rxjava3/RxJava3CallAdapterFactoryTest.java")</f>
        <v/>
      </c>
      <c r="D1764" t="inlineStr">
        <is>
          <t>The code provided is a license header for Apache License 2.0 and it's written in Java. It includes copyright information about the software (Square Inc.), licensing details, conditions of use, disclaimers, etc., which are necessary to distribute or modify any software under an open source license like Apache 2.0. The license also specifies certain limitations on how you can use</t>
        </is>
      </c>
      <c r="E1764" t="n">
        <v>0.0036</v>
      </c>
      <c r="F1764" t="n">
        <v>0.0282</v>
      </c>
      <c r="G1764" t="n">
        <v>0.1136</v>
      </c>
      <c r="H1764" t="inlineStr">
        <is>
          <t>The code provided is a Java package named retrofit2.adapter.rxjava3 which contains adapters for RxJava 3 to work with Retrofit 2. The copyright notice at the top of this file states that it's licensed under Apache License Version 2.0 and provides links to more information about its terms and conditions.
The main functionality of these</t>
        </is>
      </c>
      <c r="I1764" t="n">
        <v>0.004</v>
      </c>
      <c r="J1764" t="n">
        <v>0.0606</v>
      </c>
      <c r="K1764" t="n">
        <v>0.119</v>
      </c>
      <c r="L1764" t="inlineStr">
        <is>
          <t>The code provided is for an RxJava 3 adapter in Retrofit 2. The purpose of this module seems to be the conversion between different types of network requests (like Observables, Singles or Flowables from RxJava library and their corresponding HTTP responses).
It starts with a copyright notice at the top which states that it's licensed under Apache License Version</t>
        </is>
      </c>
      <c r="M1764" t="n">
        <v>0.0037</v>
      </c>
      <c r="N1764" t="n">
        <v>0.0882</v>
      </c>
      <c r="O1764" t="n">
        <v>0.1145</v>
      </c>
    </row>
    <row r="1765">
      <c r="A1765" t="inlineStr">
        <is>
          <t>retrofit</t>
        </is>
      </c>
      <c r="B1765" t="inlineStr">
        <is>
          <t>retrofit-adapters/rxjava3/src/test/java/retrofit2/adapter/rxjava3/RecordingObserver.java</t>
        </is>
      </c>
      <c r="C1765">
        <f>HYPERLINK("https://github.com/square/retrofit/blob/master/retrofit-adapters/rxjava3/src/test/java/retrofit2/adapter/rxjava3/RecordingObserver.java")</f>
        <v/>
      </c>
      <c r="D1765" t="inlineStr">
        <is>
          <t>The code you provided appears to be a license header for an Apache 2.0 licensed software component using RxJava3 and Retrofit2 libraries. It's not specific to any functionality or coding problem but rather the standard formatting of such licenses. The summary could include details about its purpose (license information), complexity (indicating it is O(N)), comments on implementation of</t>
        </is>
      </c>
      <c r="E1765" t="n">
        <v>0.0041</v>
      </c>
      <c r="F1765" t="n">
        <v>0.058</v>
      </c>
      <c r="G1765" t="n">
        <v>0.1538</v>
      </c>
      <c r="H1765" t="inlineStr">
        <is>
          <t>The provided code is a Java implementation of the add function for two integers using RxJava 3. The complexity is O(1), meaning it performs constant time operations regardless of input size. It's licensed under Apache License Version 2.0 and includes comments explaining its functionality as well as copyright information at the top.
Here are some key points about this piece of code:</t>
        </is>
      </c>
      <c r="I1765" t="n">
        <v>0.0035</v>
      </c>
      <c r="J1765" t="n">
        <v>0.0822</v>
      </c>
      <c r="K1765" t="n">
        <v>0.1493</v>
      </c>
      <c r="L1765" t="inlineStr">
        <is>
          <t>The provided code is a part of the Retrofit 2 library's RxJava 3 adapter implementation in Java. The main purpose seems to be converting network requests into observable sequences that can be handled by RxJava.
It does this through an Observer pattern where it observes notifications from the original Observable and converts them into Notifications emitted by its own</t>
        </is>
      </c>
      <c r="M1765" t="n">
        <v>0.0031</v>
      </c>
      <c r="N1765" t="n">
        <v>0.0588</v>
      </c>
      <c r="O1765" t="n">
        <v>0.1527</v>
      </c>
    </row>
    <row r="1766">
      <c r="A1766" t="inlineStr">
        <is>
          <t>retrofit</t>
        </is>
      </c>
      <c r="B1766" t="inlineStr">
        <is>
          <t>retrofit-adapters/rxjava3/src/test/java/retrofit2/adapter/rxjava3/FlowableThrowingTest.java</t>
        </is>
      </c>
      <c r="C1766">
        <f>HYPERLINK("https://github.com/square/retrofit/blob/master/retrofit-adapters/rxjava3/src/test/java/retrofit2/adapter/rxjava3/FlowableThrowingTest.java")</f>
        <v/>
      </c>
      <c r="D1766" t="inlineStr">
        <is>
          <t>The code provided appears to be a license header for Apache License 2.0 and it's not clear what the purpose of this is without more context or additional information about the software components in question. The license details state that any use must comply with these terms unless agreed otherwise by applicable law. It also mentions conditions such as limitations under the license which need further clarification. This repository contains backend</t>
        </is>
      </c>
      <c r="E1766" t="n">
        <v>0.0034</v>
      </c>
      <c r="F1766" t="n">
        <v>0.0494</v>
      </c>
      <c r="G1766" t="n">
        <v>0.1399</v>
      </c>
      <c r="H1766" t="inlineStr">
        <is>
          <t>The provided code is a Java function named "add". It takes two parameters (numbers), adds them together and returns the result. The functionality of this code can be summarized as follows: This function performs addition operation on two numbers and returns their sum. Its time complexity is O(1).
Please note that this summary does not include any comments or explanations about the license information at</t>
        </is>
      </c>
      <c r="I1766" t="n">
        <v>0.0037</v>
      </c>
      <c r="J1766" t="n">
        <v>0.08110000000000001</v>
      </c>
      <c r="K1766" t="n">
        <v>0.1095</v>
      </c>
      <c r="L1766" t="inlineStr">
        <is>
          <t>The code provided is an implementation of a Retrofit 2 adapter for RxJava 3 that uses OkHttp as the networking library and Guava for truth assertions. The main purpose seems to be converting network requests into Observables (from RxJava).
It starts by defining two utility classes `RetryWithDelay` and `ErrorHandlingCallAdapterFactory` which</t>
        </is>
      </c>
      <c r="M1766" t="n">
        <v>0.0037</v>
      </c>
      <c r="N1766" t="n">
        <v>0.06900000000000001</v>
      </c>
      <c r="O1766" t="n">
        <v>0.123</v>
      </c>
    </row>
    <row r="1767">
      <c r="A1767" t="inlineStr">
        <is>
          <t>retrofit</t>
        </is>
      </c>
      <c r="B1767" t="inlineStr">
        <is>
          <t>retrofit-adapters/rxjava3/src/test/java/retrofit2/adapter/rxjava3/RecordingSingleObserver.java</t>
        </is>
      </c>
      <c r="C1767">
        <f>HYPERLINK("https://github.com/square/retrofit/blob/master/retrofit-adapters/rxjava3/src/test/java/retrofit2/adapter/rxjava3/RecordingSingleObserver.java")</f>
        <v/>
      </c>
      <c r="D1767" t="inlineStr">
        <is>
          <t>The code provided is a Java implementation of the RxJava 3 Adapter for Retrofit 2. It's licensed under Apache License Version 2.0 and it provides an adapter to convert Retrofit callbacks into Observables or Single that can be used with libraries like RxJava. The license details are also included at the top of this file which states conditions under which</t>
        </is>
      </c>
      <c r="E1767" t="n">
        <v>0.003</v>
      </c>
      <c r="F1767" t="n">
        <v>0.0571</v>
      </c>
      <c r="G1767" t="n">
        <v>0.1515</v>
      </c>
      <c r="H1767" t="inlineStr">
        <is>
          <t>The provided code is a Java implementation of an add function using the Apache License 2.0. It defines a method called `add` that takes two parameters and returns their sum. The time complexity of this operation is O(1), meaning it performs constant amount of work regardless of input size.
Here's the summary for your reference:
```plaintext
Function Name:</t>
        </is>
      </c>
      <c r="I1767" t="n">
        <v>0.0031</v>
      </c>
      <c r="J1767" t="n">
        <v>0.08699999999999999</v>
      </c>
      <c r="K1767" t="n">
        <v>0.1538</v>
      </c>
      <c r="L1767" t="inlineStr">
        <is>
          <t>The provided code is an implementation of a custom RxJava 3 adapter for Retrofit 2. It uses Google Truth library to provide assertions in tests and it's licensed under Apache License Version 2.0. The main purpose of this code seems to be the transformation of network requests into Observables that can be subscribed by consumers. This allows asynchronous handling of these requests</t>
        </is>
      </c>
      <c r="M1767" t="n">
        <v>0.0035</v>
      </c>
      <c r="N1767" t="n">
        <v>0.0556</v>
      </c>
      <c r="O1767" t="n">
        <v>0.1493</v>
      </c>
    </row>
    <row r="1768">
      <c r="A1768" t="inlineStr">
        <is>
          <t>rxandroid</t>
        </is>
      </c>
      <c r="B1768" t="inlineStr">
        <is>
          <t>rxandroid/src/main/java/io/reactivex/rxjava3/android/MainThreadDisposable.java</t>
        </is>
      </c>
      <c r="C1768">
        <f>HYPERLINK("https://github.com/ReactiveX/RxAndroid/blob/master/rxandroid/src/main/java/io/reactivex/rxjava3/android/MainThreadDisposable.java")</f>
        <v/>
      </c>
      <c r="D1768" t="inlineStr">
        <is>
          <t>The provided code is a Disposable implementation that ensures its dispose action gets executed on the main thread using RxJava 3's Android Schedulers. The class has been annotated with @Override to indicate it overrides an existing method from another class or interface and provides new functionality. It also contains license information at the top of the file which states under what</t>
        </is>
      </c>
      <c r="E1768" t="n">
        <v>0.003</v>
      </c>
      <c r="F1768" t="n">
        <v>0.0571</v>
      </c>
      <c r="G1768" t="n">
        <v>0.1128</v>
      </c>
      <c r="H1768" t="inlineStr">
        <is>
          <t>The function provided is a simple addition operation that takes two numbers as input and returns their sum. It operates with complexity O(1), meaning it performs the task in constant time regardless of the size of inputs. The code does not repeat itself or contain any redundancy.
```python
def add(a, b):
    return a + b
``` 
This repository contains backend software</t>
        </is>
      </c>
      <c r="I1768" t="n">
        <v>0.0039</v>
      </c>
      <c r="J1768" t="n">
        <v>0.058</v>
      </c>
      <c r="K1768" t="n">
        <v>0.1504</v>
      </c>
      <c r="L1768" t="inlineStr">
        <is>
          <t>ThegivenJavaRX code is a Disposable implementation that ensures its onDispose action gets executed on the main thread (UI Thread). It's designed to be used in Android applications where it guarantees that any actions performed within the `onDispose` method will run on the UI thread even if they are triggered from other threads. The purpose of this class is to handle resources properly and</t>
        </is>
      </c>
      <c r="M1768" t="n">
        <v>0.0029</v>
      </c>
      <c r="N1768" t="n">
        <v>0.0556</v>
      </c>
      <c r="O1768" t="n">
        <v>0.1481</v>
      </c>
    </row>
    <row r="1769">
      <c r="A1769" t="inlineStr">
        <is>
          <t>rxandroid</t>
        </is>
      </c>
      <c r="B1769" t="inlineStr">
        <is>
          <t>rxandroid/src/main/java/io/reactivex/rxjava3/android/schedulers/AndroidSchedulers.java</t>
        </is>
      </c>
      <c r="C1769">
        <f>HYPERLINK("https://github.com/ReactiveX/RxAndroid/blob/master/rxandroid/src/main/java/io/reactivex/rxjava3/android/schedulers/AndroidSchedulers.java")</f>
        <v/>
      </c>
      <c r="D1769" t="inlineStr">
        <is>
          <t>The code you provided is a Java class named "AndroidSchedulers". This class provides Android specific Schedulers for RxJava 3 library. The README file in the MainHolder class states that this repository contains backend software components and implements core algorithms. It also mentions complexity as O(N), indicating linear time complexity based on number of elements. There are comments explaining implementation details about</t>
        </is>
      </c>
      <c r="E1769" t="n">
        <v>0.007900000000000001</v>
      </c>
      <c r="F1769" t="n">
        <v>0.1143</v>
      </c>
      <c r="G1769" t="n">
        <v>0.2797</v>
      </c>
      <c r="H1769" t="inlineStr">
        <is>
          <t>The provided code is a Java function for adding two numbers (`add()`). It takes in two parameters `a` and `b` and returns their sum. The time complexity of this operation is O(1), meaning it performs the addition operation in constant time regardless of input size.
Here's the summary without repeating any code: 
```plaintext
Function</t>
        </is>
      </c>
      <c r="I1769" t="n">
        <v>0.0034</v>
      </c>
      <c r="J1769" t="n">
        <v>0.0625</v>
      </c>
      <c r="K1769" t="n">
        <v>0.119</v>
      </c>
      <c r="L1769" t="inlineStr">
        <is>
          <t>The provided code is an implementation of Android specific Schedulers for RxJava 3. It uses the core concepts of concurrency and multithreading to manage background tasks in a more efficient manner on Android devices. The main purpose of this class seems to be providing different types of schedulers that can run certain operations at particular times or under certain conditions.
Specifically,</t>
        </is>
      </c>
      <c r="M1769" t="n">
        <v>0.0036</v>
      </c>
      <c r="N1769" t="n">
        <v>0.08699999999999999</v>
      </c>
      <c r="O1769" t="n">
        <v>0.188</v>
      </c>
    </row>
    <row r="1770">
      <c r="A1770" t="inlineStr">
        <is>
          <t>rxandroid</t>
        </is>
      </c>
      <c r="B1770" t="inlineStr">
        <is>
          <t>rxandroid/src/main/java/io/reactivex/rxjava3/android/schedulers/HandlerScheduler.java</t>
        </is>
      </c>
      <c r="C1770">
        <f>HYPERLINK("https://github.com/ReactiveX/RxAndroid/blob/master/rxandroid/src/main/java/io/reactivex/rxjava3/android/schedulers/HandlerScheduler.java")</f>
        <v/>
      </c>
      <c r="D1770" t="inlineStr">
        <is>
          <t>The code you provided is a custom implementation of the RxJava scheduler using Android's Handler class for scheduling tasks on different threads in an asynchronous manner. The license at the top indicates that this software may be used under certain conditions specified by Apache License 2.0. It provides mechanisms to schedule tasks and handle them on specific threads without blocking the main UI thread. However, it</t>
        </is>
      </c>
      <c r="E1770" t="n">
        <v>0.0033</v>
      </c>
      <c r="F1770" t="n">
        <v>0.0789</v>
      </c>
      <c r="G1770" t="n">
        <v>0.2696</v>
      </c>
      <c r="H1770" t="inlineStr">
        <is>
          <t>The code you provided is a Java implementation of the Handler Scheduler from RxJava 3 for Android. It extends the base class `Scheduler` and uses an instance of `Handler` to schedule tasks on the main thread (UI Thread). The complexity of this function appears to be O(n), where n represents the number of scheduled tasks.
Please note that without</t>
        </is>
      </c>
      <c r="I1770" t="n">
        <v>0.0031</v>
      </c>
      <c r="J1770" t="n">
        <v>0.0588</v>
      </c>
      <c r="K1770" t="n">
        <v>0.1527</v>
      </c>
      <c r="L1770" t="inlineStr">
        <is>
          <t>The provided code is a custom implementation of the RxJava Scheduler class using Android's Handler for scheduling tasks on different threads.
Main purpose of this code is to handle and schedule tasks in an asynchronous manner by utilizing Android's Handler. The scheduler can run tasks on either the main thread or any other background thread depending upon the task needs.</t>
        </is>
      </c>
      <c r="M1770" t="n">
        <v>0.003</v>
      </c>
      <c r="N1770" t="n">
        <v>0.0571</v>
      </c>
      <c r="O1770" t="n">
        <v>0.1515</v>
      </c>
    </row>
    <row r="1771">
      <c r="A1771" t="inlineStr">
        <is>
          <t>rxandroid</t>
        </is>
      </c>
      <c r="B1771" t="inlineStr">
        <is>
          <t>rxandroid/src/main/java/io/reactivex/rxjava3/android/plugins/RxAndroidPlugins.java</t>
        </is>
      </c>
      <c r="C1771">
        <f>HYPERLINK("https://github.com/ReactiveX/RxAndroid/blob/master/rxandroid/src/main/java/io/reactivex/rxjava3/android/plugins/RxAndroidPlugins.java")</f>
        <v/>
      </c>
      <c r="D1771" t="inlineStr">
        <is>
          <t>The code provided is a utility class for injecting handlers to certain standard RxJava 3 operations in Android applications. It provides methods for setting custom schedulers for main thread initialization and other related tasks. The license at the top of the file specifies that it's licensed under Apache License Version 2.0. This means you can use this software freely but must comply with its terms</t>
        </is>
      </c>
      <c r="E1771" t="n">
        <v>0.0037</v>
      </c>
      <c r="F1771" t="n">
        <v>0.0533</v>
      </c>
      <c r="G1771" t="n">
        <v>0.2304</v>
      </c>
      <c r="H1771" t="inlineStr">
        <is>
          <t>The provided code is a utility class for injecting handlers to certain standard RxJava operations in Android. The complexity of the function `onInitMainThreadHandler` appears to be O(1), as it doesn't involve any loop or recursive calls that would increase its time complexity based on input size. It uses a volatile variable and static method which ensures thread safety without using synchronization</t>
        </is>
      </c>
      <c r="I1771" t="n">
        <v>0.003</v>
      </c>
      <c r="J1771" t="n">
        <v>0.0563</v>
      </c>
      <c r="K1771" t="n">
        <v>0.0752</v>
      </c>
      <c r="L1771" t="inlineStr">
        <is>
          <t>The provided code is a utility class named `RxAndroidPlugins` that provides the ability to inject handlers for certain standard RxJava operations in Android applications.
Here's an overview of its functionality: 
1. The main purpose of this class seems to be managing and providing custom schedulers (thread configurations) for specific RxJava operations within an</t>
        </is>
      </c>
      <c r="M1771" t="n">
        <v>0.0035</v>
      </c>
      <c r="N1771" t="n">
        <v>0.0645</v>
      </c>
      <c r="O1771" t="n">
        <v>0.08</v>
      </c>
    </row>
    <row r="1772">
      <c r="A1772" t="inlineStr">
        <is>
          <t>rxandroid</t>
        </is>
      </c>
      <c r="B1772" t="inlineStr">
        <is>
          <t>rxandroid/src/test/java/io/reactivex/rxjava3/android/MainThreadDisposableTest.java</t>
        </is>
      </c>
      <c r="C1772">
        <f>HYPERLINK("https://github.com/ReactiveX/RxAndroid/blob/master/rxandroid/src/test/java/io/reactivex/rxjava3/android/MainThreadDisposableTest.java")</f>
        <v/>
      </c>
      <c r="D1772" t="inlineStr">
        <is>
          <t>The code provided is a Java implementation of an Apache License version 2.0 which governs the use and distribution of software distributed under this license. It includes conditions for redistribution such as compliance with the license or obtaining a copy at http://www.apache.org/licenses/LICENSE-2.0. The software can be used in any form but must comply with these terms</t>
        </is>
      </c>
      <c r="E1772" t="n">
        <v>0.0039</v>
      </c>
      <c r="F1772" t="n">
        <v>0.0556</v>
      </c>
      <c r="G1772" t="n">
        <v>0.1953</v>
      </c>
      <c r="H1772" t="inlineStr">
        <is>
          <t>The code provided is a simple function that adds two numbers together using the + operator in Java. The functionality of this code can be summarized as follows: This function takes two integers or floats (depending on your needs), performs an addition operation and returns the result. It has a time complexity of O(1).
In terms of the repository you mentioned, it appears to contain</t>
        </is>
      </c>
      <c r="I1772" t="n">
        <v>0.0037</v>
      </c>
      <c r="J1772" t="n">
        <v>0.0822</v>
      </c>
      <c r="K1772" t="n">
        <v>0.1095</v>
      </c>
      <c r="L1772" t="inlineStr">
        <is>
          <t>The provided code is a part of the Android application's unit test using RxJava 3 and Robolectric for testing reactive streams. The main purpose of this code is to verify if an Observable emitted by a method matches with expected values in a synchronous manner. It uses CountDownLatch to wait until all assertions are done before proceeding further. This functionality ensures that</t>
        </is>
      </c>
      <c r="M1772" t="n">
        <v>0.0039</v>
      </c>
      <c r="N1772" t="n">
        <v>0.0563</v>
      </c>
      <c r="O1772" t="n">
        <v>0.1119</v>
      </c>
    </row>
    <row r="1773">
      <c r="A1773" t="inlineStr">
        <is>
          <t>rxandroid</t>
        </is>
      </c>
      <c r="B1773" t="inlineStr">
        <is>
          <t>rxandroid/src/test/java/io/reactivex/rxjava3/android/schedulers/HandlerSchedulerTest.java</t>
        </is>
      </c>
      <c r="C1773">
        <f>HYPERLINK("https://github.com/ReactiveX/RxAndroid/blob/master/rxandroid/src/test/java/io/reactivex/rxjava3/android/schedulers/HandlerSchedulerTest.java")</f>
        <v/>
      </c>
      <c r="D1773" t="inlineStr">
        <is>
          <t>The provided code is a Java implementation of RxJava 3's Android Schedulers package. It defines custom schedulers that run on the main (UI) thread or background threads using Handler and Looper from Android. The License at the top indicates it is licensed under Apache version 2.0. This software may be used in compliance with this license but can also obtain</t>
        </is>
      </c>
      <c r="E1773" t="n">
        <v>0.0071</v>
      </c>
      <c r="F1773" t="n">
        <v>0.0571</v>
      </c>
      <c r="G1773" t="n">
        <v>0.1894</v>
      </c>
      <c r="H1773" t="inlineStr">
        <is>
          <t>The provided code is a Java implementation of an add function using RxJava 3's Scheduler for Android development. It appears to be licensed under the Apache License Version 2.0 and contains comments explaining its functionality as well as some initial commit information. The complexity seems to be O(N), but without more context it's hard to say exactly what this means in terms of</t>
        </is>
      </c>
      <c r="I1773" t="n">
        <v>0.0034</v>
      </c>
      <c r="J1773" t="n">
        <v>0.08</v>
      </c>
      <c r="K1773" t="n">
        <v>0.1481</v>
      </c>
      <c r="L1773" t="inlineStr">
        <is>
          <t>The provided code is a part of the RxJava library for Android that implements reactive programming principles in an asynchronous manner. It provides a scheduler to run tasks on different threads and also handles thread synchronization using Handler objects. The main purpose of this code seems to be managing concurrency by scheduling tasks and handling UI updates efficiently.
It uses functionalities from RxJava</t>
        </is>
      </c>
      <c r="M1773" t="n">
        <v>0.0034</v>
      </c>
      <c r="N1773" t="n">
        <v>0.0563</v>
      </c>
      <c r="O1773" t="n">
        <v>0.1481</v>
      </c>
    </row>
    <row r="1774">
      <c r="A1774" t="inlineStr">
        <is>
          <t>rxandroid</t>
        </is>
      </c>
      <c r="B1774" t="inlineStr">
        <is>
          <t>rxandroid/src/test/java/io/reactivex/rxjava3/android/schedulers/AndroidSchedulersTest.java</t>
        </is>
      </c>
      <c r="C1774">
        <f>HYPERLINK("https://github.com/ReactiveX/RxAndroid/blob/master/rxandroid/src/test/java/io/reactivex/rxjava3/android/schedulers/AndroidSchedulersTest.java")</f>
        <v/>
      </c>
      <c r="D1774" t="inlineStr">
        <is>
          <t>The code provided is a Java class that implements the RxJava 3 Android schedulers plugin. The purpose of this code seems to be to provide custom scheduling for asynchronous operations in an Android application using ReactiveX. It's licensed under Apache License Version 2.0 and contains comments explaining its functionality and usage.
It appears to use several classes from the android.</t>
        </is>
      </c>
      <c r="E1774" t="n">
        <v>0.0071</v>
      </c>
      <c r="F1774" t="n">
        <v>0.0857</v>
      </c>
      <c r="G1774" t="n">
        <v>0.2391</v>
      </c>
      <c r="H1774" t="inlineStr">
        <is>
          <t>The provided code is a Java class that implements an addition function using RxJava 3 on Android platform. The functionality of the add method performs simple arithmetic operation and returns sum of two numbers. It uses reactive programming paradigm to execute this task in non-blocking way which improves performance by avoiding blocking threads while waiting for I/O operations or other tasks to complete. This implementation has</t>
        </is>
      </c>
      <c r="I1774" t="n">
        <v>0.0039</v>
      </c>
      <c r="J1774" t="n">
        <v>0.0789</v>
      </c>
      <c r="K1774" t="n">
        <v>0.1812</v>
      </c>
      <c r="L1774" t="inlineStr">
        <is>
          <t>The code provided is a part of the RxJava Android library and it's used for testing purposes related to Scheduler functionality in an Android environment. The main purpose of this code seems to be setting up and tearing down test environments before running tests on different schedulers.
Here are some key operations performed by the code: 
1. It sets up a</t>
        </is>
      </c>
      <c r="M1774" t="n">
        <v>0.0036</v>
      </c>
      <c r="N1774" t="n">
        <v>0.0571</v>
      </c>
      <c r="O1774" t="n">
        <v>0.1128</v>
      </c>
    </row>
    <row r="1775">
      <c r="A1775" t="inlineStr">
        <is>
          <t>rxandroid</t>
        </is>
      </c>
      <c r="B1775" t="inlineStr">
        <is>
          <t>rxandroid/src/test/java/io/reactivex/rxjava3/android/plugins/RxAndroidPluginsTest.java</t>
        </is>
      </c>
      <c r="C1775">
        <f>HYPERLINK("https://github.com/ReactiveX/RxAndroid/blob/master/rxandroid/src/test/java/io/reactivex/rxjava3/android/plugins/RxAndroidPluginsTest.java")</f>
        <v/>
      </c>
      <c r="D1775" t="inlineStr">
        <is>
          <t>The code provided is a Java file containing the Apache License 2.0 and some comments about its purpose which are not clear to me without more context. It also contains import statements for RxJava Android plugins along with JUnit testing annotations like @Before, @After, and @Test. The license covers distribution of software under certain conditions but does not provide specific details on how it should be</t>
        </is>
      </c>
      <c r="E1775" t="n">
        <v>0.0033</v>
      </c>
      <c r="F1775" t="n">
        <v>0.0267</v>
      </c>
      <c r="G1775" t="n">
        <v>0.0725</v>
      </c>
      <c r="H1775" t="inlineStr">
        <is>
          <t>The code provided is a simple function for addition of two numbers in Java. The functionality of this code can be summarized as follows:
```plaintext
Function Name : add
Inputs        : Two Numbers (a and b) 
Output        : Sum of the inputs
Complexity    : O(1) - Constant time complexity since it performs only one operation</t>
        </is>
      </c>
      <c r="I1775" t="n">
        <v>0.004</v>
      </c>
      <c r="J1775" t="n">
        <v>0.1017</v>
      </c>
      <c r="K1775" t="n">
        <v>0.1575</v>
      </c>
      <c r="L1775" t="inlineStr">
        <is>
          <t>The provided code is a part of the RxJava 3 Android plugins project. It includes unit tests for various functionalities related to reactive programming and Android development using Robolectric framework.
Here's an overview of what this code does:
1. The code defines several test cases (unit tests) that verify different aspects of functionality in the application. These are annot</t>
        </is>
      </c>
      <c r="M1775" t="n">
        <v>0.0037</v>
      </c>
      <c r="N1775" t="n">
        <v>0.0588</v>
      </c>
      <c r="O1775" t="n">
        <v>0.1145</v>
      </c>
    </row>
    <row r="1776">
      <c r="A1776" t="inlineStr">
        <is>
          <t>rxandroid</t>
        </is>
      </c>
      <c r="B1776" t="inlineStr">
        <is>
          <t>rxandroid/src/test/java/io/reactivex/rxjava3/android/plugins/RxAndroidPluginsNoRobolectricTest.java</t>
        </is>
      </c>
      <c r="C1776">
        <f>HYPERLINK("https://github.com/ReactiveX/RxAndroid/blob/master/rxandroid/src/test/java/io/reactivex/rxjava3/android/plugins/RxAndroidPluginsNoRobolectricTest.java")</f>
        <v/>
      </c>
      <c r="D1776" t="inlineStr">
        <is>
          <t>The provided code is a JUnit test for the RxJava Android Plugin's main thread scheduler replacement functionality. It tests that we can replace the default Main Thread Scheduler with an Empty Schedule and assert if they are indeed same after setting it using `RxAndroidPlugins` class methods. The complexity of this piece of code is O(1), as there</t>
        </is>
      </c>
      <c r="E1776" t="n">
        <v>0.0032</v>
      </c>
      <c r="F1776" t="n">
        <v>0.0597</v>
      </c>
      <c r="G1776" t="n">
        <v>0.1163</v>
      </c>
      <c r="H1776" t="inlineStr">
        <is>
          <t>The provided code is a JUnit test for RxJava's Android Plugin that tests the ability to replace the main thread scheduler with an empty one. The complexity of this operation is O(1), as it involves setting up and tearing down resources in constant time.
In summary, this piece of code does two things: 
1. It resets any</t>
        </is>
      </c>
      <c r="I1776" t="n">
        <v>0.0032</v>
      </c>
      <c r="J1776" t="n">
        <v>0.0597</v>
      </c>
      <c r="K1776" t="n">
        <v>0.0775</v>
      </c>
      <c r="L1776" t="inlineStr">
        <is>
          <t>The provided code is a JUnit test for the RxJava Android plugins in an android application. The purpose of this class `RxAndroidPluginsNoRobolectricTest` is to verify if the main thread scheduler can be replaced using the RxAndroidPlugins library without Robolectric testing framework. 
It sets up and tears down before each</t>
        </is>
      </c>
      <c r="M1776" t="n">
        <v>0.0037</v>
      </c>
      <c r="N1776" t="n">
        <v>0.0702</v>
      </c>
      <c r="O1776" t="n">
        <v>0.124</v>
      </c>
    </row>
    <row r="1777">
      <c r="A1777" t="inlineStr">
        <is>
          <t>rxandroid</t>
        </is>
      </c>
      <c r="B1777" t="inlineStr">
        <is>
          <t>rxandroid/src/test/java/io/reactivex/rxjava3/android/testutil/CountingRunnable.java</t>
        </is>
      </c>
      <c r="C1777">
        <f>HYPERLINK("https://github.com/ReactiveX/RxAndroid/blob/master/rxandroid/src/test/java/io/reactivex/rxjava3/android/testutil/CountingRunnable.java")</f>
        <v/>
      </c>
      <c r="D1777" t="inlineStr">
        <is>
          <t>The code provided is a simple implementation of the Runnable interface in Java using Atomic Integer for thread safety and to count how many times it has been run. The license at the top specifies that this software can be used under certain conditions as specified by Apache 2.0 License. This repository contains backend components with complexity O(1), meaning its performance scales linearly with input size (number of</t>
        </is>
      </c>
      <c r="E1777" t="n">
        <v>0.0035</v>
      </c>
      <c r="F1777" t="n">
        <v>0.0513</v>
      </c>
      <c r="G1777" t="n">
        <v>0.1786</v>
      </c>
      <c r="H1777" t="inlineStr">
        <is>
          <t>The provided code is a Java implementation of an atomic counter that increments its value each time the `run` method is invoked. It's part of a larger project which contains backend software components for Android applications using RxJava 3 and ReactiveX android test utilities. The license at the top specifies Apache License Version 2.0, stating that you may not use this file</t>
        </is>
      </c>
      <c r="I1777" t="n">
        <v>0.0035</v>
      </c>
      <c r="J1777" t="n">
        <v>0.0556</v>
      </c>
      <c r="K1777" t="n">
        <v>0.1866</v>
      </c>
      <c r="L1777" t="inlineStr">
        <is>
          <t>The provided code is a Java class named "CountingRunnable". This class extends the AtomicInteger and implements Runnable interfaces. 
It's designed to count occurrences of an operation or task in concurrency scenarios where multiple threads can execute simultaneously. The run() method increments this counter by one every time it gets invoked. It uses atomic increment operations</t>
        </is>
      </c>
      <c r="M1777" t="n">
        <v>0.0044</v>
      </c>
      <c r="N1777" t="n">
        <v>0.0625</v>
      </c>
      <c r="O1777" t="n">
        <v>0.1575</v>
      </c>
    </row>
    <row r="1778">
      <c r="A1778" t="inlineStr">
        <is>
          <t>rxandroid</t>
        </is>
      </c>
      <c r="B1778" t="inlineStr">
        <is>
          <t>rxandroid/src/test/java/io/reactivex/rxjava3/android/testutil/EmptyScheduler.java</t>
        </is>
      </c>
      <c r="C1778">
        <f>HYPERLINK("https://github.com/ReactiveX/RxAndroid/blob/master/rxandroid/src/test/java/io/reactivex/rxjava3/android/testutil/EmptyScheduler.java")</f>
        <v/>
      </c>
      <c r="D1778" t="inlineStr">
        <is>
          <t>```python
# Licensed under the Apache License, Version 2.0 (the "License");
# you may not use this file except in compliance with the License.
# You may obtain a copy of the License at http://www.apache.org/licenses/LICENSE-2.0
# Unless required by applicable law or agreed to in writing,</t>
        </is>
      </c>
      <c r="E1778" t="n">
        <v>0</v>
      </c>
      <c r="F1778" t="n">
        <v>0.0345</v>
      </c>
      <c r="G1778" t="n">
        <v>0.0847</v>
      </c>
      <c r="H1778" t="inlineStr">
        <is>
          <t>The provided code is a Java class named `EmptyScheduler` that extends the RxJava 3's Scheduler class. This class does not implement any functionality for creating workers which are responsible for executing tasks on different threads in an asynchronous manner. The license at the top of this file states that it may be used under Apache License Version 2.0 (see http://www</t>
        </is>
      </c>
      <c r="I1778" t="n">
        <v>0.0036</v>
      </c>
      <c r="J1778" t="n">
        <v>0.08450000000000001</v>
      </c>
      <c r="K1778" t="n">
        <v>0.1136</v>
      </c>
      <c r="L1778" t="inlineStr">
        <is>
          <t>The provided code is a Java implementation of an RxJava 3 Android test utility class named EmptySchedulerextending the Scheduler abstract class from rxjava3 core package. This class provides functionality to create and manage workers that execute tasks on different threads in an asynchronous manner. The main purpose of this class seems to be providing an empty scheduler for testing purposes where there</t>
        </is>
      </c>
      <c r="M1778" t="n">
        <v>0.0042</v>
      </c>
      <c r="N1778" t="n">
        <v>0.1143</v>
      </c>
      <c r="O1778" t="n">
        <v>0.1866</v>
      </c>
    </row>
    <row r="1779">
      <c r="A1779" t="inlineStr">
        <is>
          <t>rxandroid</t>
        </is>
      </c>
      <c r="B1779" t="inlineStr">
        <is>
          <t>sample-app/src/main/java/io/reactivex/rxjava3/android/samples/MainActivity.java</t>
        </is>
      </c>
      <c r="C1779">
        <f>HYPERLINK("https://github.com/ReactiveX/RxAndroid/blob/master/sample-app/src/main/java/io/reactivex/rxjava3/android/samples/MainActivity.java")</f>
        <v/>
      </c>
      <c r="D1779" t="inlineStr">
        <is>
          <t>The code provided is a Java class that uses the RxJava 3 library for Android to handle asynchronous programming and multithreading tasks in an application. It also includes Apache License information at the top of the file which specifies conditions under which this software may be distributed or modified. The license allows users to use it without restrictions unless otherwise agreed upon by the user.
The main functionality</t>
        </is>
      </c>
      <c r="E1779" t="n">
        <v>0.0035</v>
      </c>
      <c r="F1779" t="n">
        <v>0.0789</v>
      </c>
      <c r="G1779" t="n">
        <v>0.2254</v>
      </c>
      <c r="H1779" t="inlineStr">
        <is>
          <t>The provided code is a Java implementation of the addition operation using RxJava 3 on Android. It's licensed under Apache License Version 2.0 and it adds two numbers together. The complexity is O(1), meaning that the time taken to execute this function does not increase with an increasing input size.
In summary, this repository contains backend software components implementing core algorithms for</t>
        </is>
      </c>
      <c r="I1779" t="n">
        <v>0.0039</v>
      </c>
      <c r="J1779" t="n">
        <v>0.1096</v>
      </c>
      <c r="K1779" t="n">
        <v>0.3182</v>
      </c>
      <c r="L1779" t="inlineStr">
        <is>
          <t>The provided code is a sample implementation of an Android application using RxJava 3 for reactive programming. The main purpose of the code seems to be to demonstrate how Observables can be used with Android's lifecycle events and UI updates.
Here are some key operations and control flow points identified from this code:
1. It uses `Observable` class which</t>
        </is>
      </c>
      <c r="M1779" t="n">
        <v>0.0031</v>
      </c>
      <c r="N1779" t="n">
        <v>0.0588</v>
      </c>
      <c r="O1779" t="n">
        <v>0.1527</v>
      </c>
    </row>
    <row r="1780">
      <c r="A1780" t="inlineStr">
        <is>
          <t>sponge</t>
        </is>
      </c>
      <c r="B1780" t="inlineStr">
        <is>
          <t>src/ap/java/org/spongepowered/plugin/processor/ListenerProcessor.java</t>
        </is>
      </c>
      <c r="C1780">
        <f>HYPERLINK("https://github.com/SpongePowered/SpongeAPI/blob/master/src/ap/java/org/spongepowered/plugin/processor/ListenerProcessor.java")</f>
        <v/>
      </c>
      <c r="D1780" t="inlineStr">
        <is>
          <t>```python
# This file is part of Sponge API and licensed under the MIT License (MIT).
# Copyright (c) 2014-2023 SpongePowered &lt;https://www.spongepowered.org&gt;
# Copyright (c) contributors
# Permission is hereby granted, free of</t>
        </is>
      </c>
      <c r="E1780" t="n">
        <v>0.0067</v>
      </c>
      <c r="F1780" t="n">
        <v>0.09760000000000001</v>
      </c>
      <c r="G1780" t="n">
        <v>0.1429</v>
      </c>
      <c r="H1780" t="inlineStr">
        <is>
          <t>This repository contains backend software components that implement core algorithms for various tasks such as data processing and computation. The code is licensed under the MIT License (MIT), which allows free use, modification, merging, distribution etc., subject to certain conditions specified in the license file.
In terms of complexity, some functions may have a time complexity of O(N) if they involve iterating</t>
        </is>
      </c>
      <c r="I1780" t="n">
        <v>0.0042</v>
      </c>
      <c r="J1780" t="n">
        <v>0.1408</v>
      </c>
      <c r="K1780" t="n">
        <v>0.3182</v>
      </c>
      <c r="L1780" t="inlineStr">
        <is>
          <t>The provided code file is a part of the Sponge API and it's licensed under the MIT License (MIT). It belongs to Sponge Powered &lt;https://www.spongepowered.org&gt;. This software can be freely used by anyone obtaining a copy of this software along with associated documentation files (the "Software"). 
 The Software</t>
        </is>
      </c>
      <c r="M1780" t="n">
        <v>0.008999999999999999</v>
      </c>
      <c r="N1780" t="n">
        <v>0.0667</v>
      </c>
      <c r="O1780" t="n">
        <v>0.1667</v>
      </c>
    </row>
    <row r="1781">
      <c r="A1781" t="inlineStr">
        <is>
          <t>sponge</t>
        </is>
      </c>
      <c r="B1781" t="inlineStr">
        <is>
          <t>src/ap/java/org/spongepowered/plugin/processor/ProcessorUtils.java</t>
        </is>
      </c>
      <c r="C1781">
        <f>HYPERLINK("https://github.com/SpongePowered/SpongeAPI/blob/master/src/ap/java/org/spongepowered/plugin/processor/ProcessorUtils.java")</f>
        <v/>
      </c>
      <c r="D1781" t="inlineStr">
        <is>
          <t># This file is part of Sponge API and licensed under the MIT License (MIT). 
# Copyright (c) SpongePowered https://www.spongepowered.org
# Copyright (c) contributors
# Permission is hereby granted, free of charge, to any person obtaining a copy 
# of this software and associated documentation</t>
        </is>
      </c>
      <c r="E1781" t="n">
        <v>0.0054</v>
      </c>
      <c r="F1781" t="n">
        <v>0.1176</v>
      </c>
      <c r="G1781" t="n">
        <v>0.2698</v>
      </c>
      <c r="H1781" t="inlineStr">
        <is>
          <t>The provided code is a function named "add". This function takes two parameters 'a' and 'b', adds them together and returns the result. The time complexity of this operation is O(1), indicating that it performs a constant amount of work regardless of input size.
In summary, this function implements an addition operation between two numbers in Python. It does not perform any complex algorithms</t>
        </is>
      </c>
      <c r="I1781" t="n">
        <v>0.0037</v>
      </c>
      <c r="J1781" t="n">
        <v>0.0822</v>
      </c>
      <c r="K1781" t="n">
        <v>0.1471</v>
      </c>
      <c r="L1781" t="inlineStr">
        <is>
          <t>```python
# This file is part of SpongeAPI licensed under the MIT License (MIT). 
# Copyright (c) SpongePowered &lt;https://www.spongepowered.org&gt; 
# Copyright (c) contributors 
# Permission is hereby granted, free of charge, to any person obtaining a copy</t>
        </is>
      </c>
      <c r="M1781" t="n">
        <v>0.005</v>
      </c>
      <c r="N1781" t="n">
        <v>0.0455</v>
      </c>
      <c r="O1781" t="n">
        <v>0.0917</v>
      </c>
    </row>
    <row r="1782">
      <c r="A1782" t="inlineStr">
        <is>
          <t>sponge</t>
        </is>
      </c>
      <c r="B1782" t="inlineStr">
        <is>
          <t>src/ap/java/org/spongepowered/plugin/processor/ListenerParameterAnnotation.java</t>
        </is>
      </c>
      <c r="C1782">
        <f>HYPERLINK("https://github.com/SpongePowered/SpongeAPI/blob/master/src/ap/java/org/spongepowered/plugin/processor/ListenerParameterAnnotation.java")</f>
        <v/>
      </c>
      <c r="D1782" t="inlineStr">
        <is>
          <t>```python
# This file is part of Sponge API and licensed under the MIT License (MIT). 
# Copyright (c) SpongePowered &lt;https://www.spongepowered.org&gt; 
# Copyright (c) contributors 
# Permission is hereby granted, free of charge, to any person obtaining a</t>
        </is>
      </c>
      <c r="E1782" t="n">
        <v>0.0058</v>
      </c>
      <c r="F1782" t="n">
        <v>0.08890000000000001</v>
      </c>
      <c r="G1782" t="n">
        <v>0.1364</v>
      </c>
      <c r="H1782" t="inlineStr">
        <is>
          <t>This repository contains backend software components that implement core algorithms for various tasks such as mathematical operations (like addition), data manipulation and more. The code is licensed under the MIT License which allows it to be freely used, modified, merged, distributed etc., subject only to the conditions stated in this license file.
Please provide a concise, clear, and direct summary of the functionality of the</t>
        </is>
      </c>
      <c r="I1782" t="n">
        <v>0.0042</v>
      </c>
      <c r="J1782" t="n">
        <v>0.137</v>
      </c>
      <c r="K1782" t="n">
        <v>0.3112</v>
      </c>
      <c r="L1782" t="inlineStr">
        <is>
          <t>The provided code is part of the Sponge API and it's licensed under the MIT License (MIT). 
 It's a backend software component that provides functionalities related to game mechanics such as physics calculations, world generation, entity interactions etc. This software can be used for any purpose, including commercial use, without restriction, given proper credit to its original authors.</t>
        </is>
      </c>
      <c r="M1782" t="n">
        <v>0.0074</v>
      </c>
      <c r="N1782" t="n">
        <v>0.0588</v>
      </c>
      <c r="O1782" t="n">
        <v>0.2428</v>
      </c>
    </row>
    <row r="1783">
      <c r="A1783" t="inlineStr">
        <is>
          <t>sponge</t>
        </is>
      </c>
      <c r="B1783" t="inlineStr">
        <is>
          <t>src/ap/java/org/spongepowered/plugin/processor/ParameterContext.java</t>
        </is>
      </c>
      <c r="C1783">
        <f>HYPERLINK("https://github.com/SpongePowered/SpongeAPI/blob/master/src/ap/java/org/spongepowered/plugin/processor/ParameterContext.java")</f>
        <v/>
      </c>
      <c r="D1783" t="inlineStr">
        <is>
          <t>```python
# This file is part of Sponge API and licensed under the MIT License (MIT). 
# Copyright (c) SpongePowered https://www.spongepowered.org
# Copyright (c) contributors
# Permission is hereby granted, free of charge, to any person obtaining a copy
# of this</t>
        </is>
      </c>
      <c r="E1783" t="n">
        <v>0.0052</v>
      </c>
      <c r="F1783" t="n">
        <v>0.0833</v>
      </c>
      <c r="G1783" t="n">
        <v>0.1316</v>
      </c>
      <c r="H1783" t="inlineStr">
        <is>
          <t>This repository contains backend software components that implement core algorithms and data structures used in Sponge API (Minecraft), licensed under the MIT License. The code is written in Java and it's designed to be efficient with time complexity of O(N) for certain operations such as sorting or searching. It includes a variety of features like user authentication, inventory management, world generation etc., which are</t>
        </is>
      </c>
      <c r="I1783" t="n">
        <v>0.004</v>
      </c>
      <c r="J1783" t="n">
        <v>0.1351</v>
      </c>
      <c r="K1783" t="n">
        <v>0.3135</v>
      </c>
      <c r="L1783" t="inlineStr">
        <is>
          <t>The provided code file is part of the Sponge API and it's licensed under the MIT License (MIT). It belongs to Sponge Powered &lt;https://www.spongepowered.org&gt;. The copyright information for contributors can be found in this repository. 
By obtaining a copy of this software and associated documentation files (the "Soft</t>
        </is>
      </c>
      <c r="M1783" t="n">
        <v>0.0045</v>
      </c>
      <c r="N1783" t="n">
        <v>0.1</v>
      </c>
      <c r="O1783" t="n">
        <v>0.263</v>
      </c>
    </row>
    <row r="1784">
      <c r="A1784" t="inlineStr">
        <is>
          <t>sponge</t>
        </is>
      </c>
      <c r="B1784" t="inlineStr">
        <is>
          <t>src/main/java/org/spongepowered/api/ResourceKeyed.java</t>
        </is>
      </c>
      <c r="C1784">
        <f>HYPERLINK("https://github.com/SpongePowered/SpongeAPI/blob/master/src/main/java/org/spongepowered/api/ResourceKeyed.java")</f>
        <v/>
      </c>
      <c r="D1784" t="inlineStr">
        <is>
          <t>```python
# This file is part of Sponge API and licensed under the MIT License (MIT). 
# Copyright (c) SpongePowered &lt;https://www.spongepowered.org&gt; 
# Copyright (c) contributors
# Permission is hereby granted, free of charge, to any person obtaining a copy</t>
        </is>
      </c>
      <c r="E1784" t="n">
        <v>0.0056</v>
      </c>
      <c r="F1784" t="n">
        <v>0.08699999999999999</v>
      </c>
      <c r="G1784" t="n">
        <v>0.1351</v>
      </c>
      <c r="H1784" t="inlineStr">
        <is>
          <t>```python
# This file is part of Sponge API, licensed under the MIT License (MIT).
# Copyright (c) 2022-present SpongePowered and contributors
# Permission is hereby granted, free of charge, to any person obtaining a copy
# of this software and associated documentation files (the "Soft</t>
        </is>
      </c>
      <c r="I1784" t="n">
        <v>0.0053</v>
      </c>
      <c r="J1784" t="n">
        <v>0.1176</v>
      </c>
      <c r="K1784" t="n">
        <v>0.2675</v>
      </c>
      <c r="L1784" t="inlineStr">
        <is>
          <t>The provided code file is part of the Sponge API and it's licensed under the MIT License (MIT). It belongs to Sponge Powered &lt;https://www.spongepowered.org&gt;. This software can be freely used by anyone obtaining a copy of this software along with associated documentation files (the "Software"). They may deal in the Software</t>
        </is>
      </c>
      <c r="M1784" t="n">
        <v>0.008399999999999999</v>
      </c>
      <c r="N1784" t="n">
        <v>0.0635</v>
      </c>
      <c r="O1784" t="n">
        <v>0.1626</v>
      </c>
    </row>
    <row r="1785">
      <c r="A1785" t="inlineStr">
        <is>
          <t>sponge</t>
        </is>
      </c>
      <c r="B1785" t="inlineStr">
        <is>
          <t>src/main/java/org/spongepowered/api/SystemSubject.java</t>
        </is>
      </c>
      <c r="C1785">
        <f>HYPERLINK("https://github.com/SpongePowered/SpongeAPI/blob/master/src/main/java/org/spongepowered/api/SystemSubject.java")</f>
        <v/>
      </c>
      <c r="D1785" t="inlineStr">
        <is>
          <t>```python
# This file is part of Sponge API and licensed under the MIT License (MIT). 
# Copyright (c) SpongePowered &lt;https://www.spongepowered.org&gt; 
# Copyright (c) contributors 
# Permission is hereby granted, free of charge, to any person obtaining a copy</t>
        </is>
      </c>
      <c r="E1785" t="n">
        <v>0.0056</v>
      </c>
      <c r="F1785" t="n">
        <v>0.08699999999999999</v>
      </c>
      <c r="G1785" t="n">
        <v>0.1351</v>
      </c>
      <c r="H1785" t="inlineStr">
        <is>
          <t>This repository contains backend software components that implement core algorithms used in Sponge API. The function add() adds two numbers together. It has a time complexity of O(1), meaning it performs a constant number of operations regardless of the size of the input data. This is because addition operation takes place between two fixed operands (numbers in this case).
The README file explains</t>
        </is>
      </c>
      <c r="I1785" t="n">
        <v>0.0038</v>
      </c>
      <c r="J1785" t="n">
        <v>0.1389</v>
      </c>
      <c r="K1785" t="n">
        <v>0.2756</v>
      </c>
      <c r="L1785" t="inlineStr">
        <is>
          <t>The provided code file is part of the Sponge API and it's licensed under the MIT License (MIT). It belongs to the Sponge Powered organization at &lt;https://www.spongepowered.org&gt;. This software can be freely used by anyone obtaining a copy of this software along with associated documentation files (the "Software"). However, they</t>
        </is>
      </c>
      <c r="M1785" t="n">
        <v>0.0086</v>
      </c>
      <c r="N1785" t="n">
        <v>0.0645</v>
      </c>
      <c r="O1785" t="n">
        <v>0.2587</v>
      </c>
    </row>
    <row r="1786">
      <c r="A1786" t="inlineStr">
        <is>
          <t>sponge</t>
        </is>
      </c>
      <c r="B1786" t="inlineStr">
        <is>
          <t>src/main/java/org/spongepowered/api/ResourceKey.java</t>
        </is>
      </c>
      <c r="C1786">
        <f>HYPERLINK("https://github.com/SpongePowered/SpongeAPI/blob/master/src/main/java/org/spongepowered/api/ResourceKey.java")</f>
        <v/>
      </c>
      <c r="D1786" t="inlineStr">
        <is>
          <t>```python
# This file is part of Sponge API and licensed under the MIT License (MIT). 
# Copyright (c) SpongePowered &lt;https://www.spongepowered.org&gt; 
# Copyright (c) contributors 
# Permission is hereby granted, free of charge, to any person obtaining a</t>
        </is>
      </c>
      <c r="E1786" t="n">
        <v>0.0058</v>
      </c>
      <c r="F1786" t="n">
        <v>0.08890000000000001</v>
      </c>
      <c r="G1786" t="n">
        <v>0.1364</v>
      </c>
      <c r="H1786" t="inlineStr">
        <is>
          <t>This repository contains backend software components that implement core algorithms. The complexity of these functions is O(n), where n represents the number of elements in a sequence or array. This means that as the input size increases, the time taken to execute grows linearly with the size of the input. For instance, if we double the size of an array, it would take roughly twice as long for the function to</t>
        </is>
      </c>
      <c r="I1786" t="n">
        <v>0.0034</v>
      </c>
      <c r="J1786" t="n">
        <v>0.125</v>
      </c>
      <c r="K1786" t="n">
        <v>0.2601</v>
      </c>
      <c r="L1786" t="inlineStr">
        <is>
          <t>The provided code file is part of the Sponge API and it's licensed under the MIT License (MIT). It contains backend software components developed by contributors to support various functionalities in a game engine called "Sponge". 
 This repository includes algorithms that manipulate data structures like lists or maps based on specific operations such as sorting, searching etc.</t>
        </is>
      </c>
      <c r="M1786" t="n">
        <v>0.0042</v>
      </c>
      <c r="N1786" t="n">
        <v>0.0606</v>
      </c>
      <c r="O1786" t="n">
        <v>0.155</v>
      </c>
    </row>
    <row r="1787">
      <c r="A1787" t="inlineStr">
        <is>
          <t>sponge</t>
        </is>
      </c>
      <c r="B1787" t="inlineStr">
        <is>
          <t>src/main/java/org/spongepowered/api/Game.java</t>
        </is>
      </c>
      <c r="C1787">
        <f>HYPERLINK("https://github.com/SpongePowered/SpongeAPI/blob/master/src/main/java/org/spongepowered/api/Game.java")</f>
        <v/>
      </c>
      <c r="D1787" t="inlineStr">
        <is>
          <t>```python
# This file is part of Sponge API and licensed under the MIT License (MIT). 
# Copyright (c) SpongePowered &lt;https://www.spongepowered.org&gt; 
# Copyright (c) contributors 
# Permission is hereby granted, free of charge, to any person obtaining a</t>
        </is>
      </c>
      <c r="E1787" t="n">
        <v>0.0058</v>
      </c>
      <c r="F1787" t="n">
        <v>0.08890000000000001</v>
      </c>
      <c r="G1787" t="n">
        <v>0.1364</v>
      </c>
      <c r="H1787" t="inlineStr">
        <is>
          <t>This repository contains backend software components that implement core algorithms used in Sponge API. The functions are licensed under the MIT License (MIT), which allows anyone to obtain a copy of this software and associated documentation files (the "Software") without restriction, including without limitation the rights to use, copy, modify, merge, publish, distribute, sublicense, and sell copies of the Software</t>
        </is>
      </c>
      <c r="I1787" t="n">
        <v>0.0043</v>
      </c>
      <c r="J1787" t="n">
        <v>0.1765</v>
      </c>
      <c r="K1787" t="n">
        <v>0.323</v>
      </c>
      <c r="L1787" t="inlineStr">
        <is>
          <t>The provided code file is part of the Sponge API and it's licensed under the MIT License (MIT). It belongs to a software component that powers game servers like Minecraft. The copyright notice at the top indicates this software can be used freely for any purpose with no restrictions. However, if you modify or distribute the software, please include these same terms in all copies or</t>
        </is>
      </c>
      <c r="M1787" t="n">
        <v>0.0033</v>
      </c>
      <c r="N1787" t="n">
        <v>0.0533</v>
      </c>
      <c r="O1787" t="n">
        <v>0.2287</v>
      </c>
    </row>
    <row r="1788">
      <c r="A1788" t="inlineStr">
        <is>
          <t>sponge</t>
        </is>
      </c>
      <c r="B1788" t="inlineStr">
        <is>
          <t>src/main/java/org/spongepowered/api/Engine.java</t>
        </is>
      </c>
      <c r="C1788">
        <f>HYPERLINK("https://github.com/SpongePowered/SpongeAPI/blob/master/src/main/java/org/spongepowered/api/Engine.java")</f>
        <v/>
      </c>
      <c r="D1788" t="inlineStr">
        <is>
          <t>```python
# This file is part of Sponge API and licensed under the MIT License (MIT). 
# Copyright (c) SpongePowered &lt;https://www.spongepowered.org&gt; 
# Copyright (c) contributors 
# Permission is hereby granted, free of charge, to any person obtaining a copy</t>
        </is>
      </c>
      <c r="E1788" t="n">
        <v>0.0056</v>
      </c>
      <c r="F1788" t="n">
        <v>0.08699999999999999</v>
      </c>
      <c r="G1788" t="n">
        <v>0.1351</v>
      </c>
      <c r="H1788" t="inlineStr">
        <is>
          <t>This code is a function named "add". It takes two parameters (a and b), adds them together, then returns the result. The time complexity of this operation is O(1), meaning it always executes in constant time regardless of input size.
In terms of functionality, this function performs simple addition between two numbers. 
It's part of Sponge API</t>
        </is>
      </c>
      <c r="I1788" t="n">
        <v>0.0038</v>
      </c>
      <c r="J1788" t="n">
        <v>0.0896</v>
      </c>
      <c r="K1788" t="n">
        <v>0.1163</v>
      </c>
      <c r="L1788" t="inlineStr">
        <is>
          <t>This code file is part of the Sponge API and it's licensed under the MIT License (MIT). 
 The software is provided "AS IS," without warranty of any kind express or implied, including but not limited to warranties that the Software will be free of charge for all persons obtaining a copy of this software and associated documentation files ("Software").</t>
        </is>
      </c>
      <c r="M1788" t="n">
        <v>0.0041</v>
      </c>
      <c r="N1788" t="n">
        <v>0.0882</v>
      </c>
      <c r="O1788" t="n">
        <v>0.2409</v>
      </c>
    </row>
    <row r="1789">
      <c r="A1789" t="inlineStr">
        <is>
          <t>sponge</t>
        </is>
      </c>
      <c r="B1789" t="inlineStr">
        <is>
          <t>src/main/java/org/spongepowered/api/package-info.java</t>
        </is>
      </c>
      <c r="C1789">
        <f>HYPERLINK("https://github.com/SpongePowered/SpongeAPI/blob/master/src/main/java/org/spongepowered/api/package-info.java")</f>
        <v/>
      </c>
      <c r="D1789" t="inlineStr">
        <is>
          <t>```python
# This file is part of Sponge API and licensed under the MIT License (MIT). 
# Copyright (c) SpongePowered &lt;https://www.spongepowered.org&gt; 
# Copyright (c) contributors 
# Permission is hereby granted, free of charge, to any person obtaining a copy</t>
        </is>
      </c>
      <c r="E1789" t="n">
        <v>0.0056</v>
      </c>
      <c r="F1789" t="n">
        <v>0.08699999999999999</v>
      </c>
      <c r="G1789" t="n">
        <v>0.1351</v>
      </c>
      <c r="H1789" t="inlineStr">
        <is>
          <t>This repository contains backend software components that implement core algorithms used in Sponge API. The code is licensed under the MIT License (MIT), which allows free use, modification and distribution of the software without restriction provided this notice and permission notices are included with all copies or substantial portions of the Software. This software is provided "as-is," without warranty of any kind, express or implied including</t>
        </is>
      </c>
      <c r="I1789" t="n">
        <v>0.0069</v>
      </c>
      <c r="J1789" t="n">
        <v>0.1333</v>
      </c>
      <c r="K1789" t="n">
        <v>0.3704</v>
      </c>
      <c r="L1789" t="inlineStr">
        <is>
          <t>This code file is part of the Sponge API and it's licensed under the MIT License (MIT). It provides backend software components for a game engine named "Sponge". The purpose of this code seems to be related to core algorithms used in game development like collision detection or physics calculations. 
 The main behavior involves reading inputs from various sources such as players</t>
        </is>
      </c>
      <c r="M1789" t="n">
        <v>0.0042</v>
      </c>
      <c r="N1789" t="n">
        <v>0.08450000000000001</v>
      </c>
      <c r="O1789" t="n">
        <v>0.1866</v>
      </c>
    </row>
    <row r="1790">
      <c r="A1790" t="inlineStr">
        <is>
          <t>sponge</t>
        </is>
      </c>
      <c r="B1790" t="inlineStr">
        <is>
          <t>src/main/java/org/spongepowered/api/Server.java</t>
        </is>
      </c>
      <c r="C1790">
        <f>HYPERLINK("https://github.com/SpongePowered/SpongeAPI/blob/master/src/main/java/org/spongepowered/api/Server.java")</f>
        <v/>
      </c>
      <c r="D1790" t="inlineStr">
        <is>
          <t>```python
# This file is part of Sponge API licensed under the MIT License (MIT). 
# Copyright (c) SpongePowered https://www.spongepowered.org
# Copyright (c) contributors
# Permission is hereby granted, free of charge, to any person obtaining a copy of this software and associated</t>
        </is>
      </c>
      <c r="E1790" t="n">
        <v>0.0056</v>
      </c>
      <c r="F1790" t="n">
        <v>0.12</v>
      </c>
      <c r="G1790" t="n">
        <v>0.2745</v>
      </c>
      <c r="H1790" t="inlineStr">
        <is>
          <t>```python
# This file is part of Sponge API, licensed under the MIT License (MIT).
# Copyright (c) 2022 SpongePowered &lt;https://www.spongepowered.org&gt;
# Copyright (c) contributors
# Permission is hereby granted, free of charge, to any person</t>
        </is>
      </c>
      <c r="I1790" t="n">
        <v>0.0052</v>
      </c>
      <c r="J1790" t="n">
        <v>0.0465</v>
      </c>
      <c r="K1790" t="n">
        <v>0.0926</v>
      </c>
      <c r="L1790" t="inlineStr">
        <is>
          <t>The provided code file is part of the Sponge API and it's licensed under the MIT License (MIT). It belongs to Sponge Powered &lt;https://www.spongepowered.org&gt;. 
 This software allows for free use, modification, merging, distribution, selling, and licensing without restrictions or limitations on rights such as usage</t>
        </is>
      </c>
      <c r="M1790" t="n">
        <v>0.009599999999999999</v>
      </c>
      <c r="N1790" t="n">
        <v>0.1053</v>
      </c>
      <c r="O1790" t="n">
        <v>0.2698</v>
      </c>
    </row>
    <row r="1791">
      <c r="A1791" t="inlineStr">
        <is>
          <t>sponge</t>
        </is>
      </c>
      <c r="B1791" t="inlineStr">
        <is>
          <t>src/main/java/org/spongepowered/api/Platform.java</t>
        </is>
      </c>
      <c r="C1791">
        <f>HYPERLINK("https://github.com/SpongePowered/SpongeAPI/blob/master/src/main/java/org/spongepowered/api/Platform.java")</f>
        <v/>
      </c>
      <c r="D1791" t="inlineStr">
        <is>
          <t>```python
# This file is part of Sponge API and licensed under the MIT License (MIT).
# Copyright (c) 2014-2016 SpongePowered &lt;http://www.spongepowered.org&gt;
# Copyright (c) contributors
# Permission is hereby granted, free of charge</t>
        </is>
      </c>
      <c r="E1791" t="n">
        <v>0.0065</v>
      </c>
      <c r="F1791" t="n">
        <v>0.09520000000000001</v>
      </c>
      <c r="G1791" t="n">
        <v>0.1415</v>
      </c>
      <c r="H1791" t="inlineStr">
        <is>
          <t>This repository contains backend software components for a game engine named Sponge. The code is licensed under the MIT License (MIT), which allows anyone to obtain a copy of this software and associated documentation files without restriction provided that these conditions are met. This includes using, copying, modifying, merging, publishing, distributing, sub-licensing, and selling copies of the Software, subject</t>
        </is>
      </c>
      <c r="I1791" t="n">
        <v>0.0041</v>
      </c>
      <c r="J1791" t="n">
        <v>0.0882</v>
      </c>
      <c r="K1791" t="n">
        <v>0.1145</v>
      </c>
      <c r="L1791" t="inlineStr">
        <is>
          <t>The provided code file is part of the Sponge API and it's licensed under the MIT License (MIT). It belongs to the Sponge Powered organization at &lt;https://www.spongepowered.org&gt;. 
 This software can be freely used by any person obtaining a copy of this software along with associated documentation files (the "Software</t>
        </is>
      </c>
      <c r="M1791" t="n">
        <v>0.008800000000000001</v>
      </c>
      <c r="N1791" t="n">
        <v>0.06560000000000001</v>
      </c>
      <c r="O1791" t="n">
        <v>0.2608</v>
      </c>
    </row>
    <row r="1792">
      <c r="A1792" t="inlineStr">
        <is>
          <t>sponge</t>
        </is>
      </c>
      <c r="B1792" t="inlineStr">
        <is>
          <t>src/main/java/org/spongepowered/api/UnsupportedEngineException.java</t>
        </is>
      </c>
      <c r="C1792">
        <f>HYPERLINK("https://github.com/SpongePowered/SpongeAPI/blob/master/src/main/java/org/spongepowered/api/UnsupportedEngineException.java")</f>
        <v/>
      </c>
      <c r="D1792" t="inlineStr">
        <is>
          <t>```python
# This file is part of Sponge API licensed under the MIT License (MIT). 
# Copyright (c) SpongePowered https://www.spongepowered.org
# Copyright (c) contributors
# Permission is hereby granted, free of charge, to any person obtaining a copy
# of this</t>
        </is>
      </c>
      <c r="E1792" t="n">
        <v>0.0045</v>
      </c>
      <c r="F1792" t="n">
        <v>0.0426</v>
      </c>
      <c r="G1792" t="n">
        <v>0.0885</v>
      </c>
      <c r="H1792" t="inlineStr">
        <is>
          <t>The function provided is a simple addition operation that takes two parameters and returns their sum. The functionality of this code can be summarized as follows: This function performs the basic arithmetic operation of addition on two numbers (integers or floats), returning the result. Its complexity is O(1) which means it has constant time complexity since no matter how large the input values are, the execution time</t>
        </is>
      </c>
      <c r="I1792" t="n">
        <v>0.0036</v>
      </c>
      <c r="J1792" t="n">
        <v>0.0526</v>
      </c>
      <c r="K1792" t="n">
        <v>0.1079</v>
      </c>
      <c r="L1792" t="inlineStr">
        <is>
          <t>The provided code file is part of the Sponge API and is licensed under the MIT License (MIT). 
 It's a backend software component that provides functionalities related to core algorithms in game development. 
 This includes manipulation with entities, physics simulations, rendering graphics, etc. 
 However, without more context or specific details about what it does, we</t>
        </is>
      </c>
      <c r="M1792" t="n">
        <v>0.0047</v>
      </c>
      <c r="N1792" t="n">
        <v>0.0625</v>
      </c>
      <c r="O1792" t="n">
        <v>0.1969</v>
      </c>
    </row>
    <row r="1793">
      <c r="A1793" t="inlineStr">
        <is>
          <t>sponge</t>
        </is>
      </c>
      <c r="B1793" t="inlineStr">
        <is>
          <t>src/main/java/org/spongepowered/api/Client.java</t>
        </is>
      </c>
      <c r="C1793">
        <f>HYPERLINK("https://github.com/SpongePowered/SpongeAPI/blob/master/src/main/java/org/spongepowered/api/Client.java")</f>
        <v/>
      </c>
      <c r="D1793" t="inlineStr">
        <is>
          <t># This file is part of Sponge API and licensed under the MIT License (MIT). 
# Copyright (c) Sponge Powered &lt;https://www.spongepowered.org&gt; 
# Copyright (c) contributors 
# Permission is hereby granted, free of charge, to any person obtaining a copy 
# of</t>
        </is>
      </c>
      <c r="E1793" t="n">
        <v>0.0054</v>
      </c>
      <c r="F1793" t="n">
        <v>0.0851</v>
      </c>
      <c r="G1793" t="n">
        <v>0.1327</v>
      </c>
      <c r="H1793" t="inlineStr">
        <is>
          <t>This repository contains backend software components that implement core algorithms used in Sponge API. The functions are designed to operate on two numbers and return their sum. This is done by the function `add` which takes as input parameters 'a' and 'b'. It returns a result of adding these two inputs together. Its complexity is O(1), meaning it performs one operation regardless of the size of</t>
        </is>
      </c>
      <c r="I1793" t="n">
        <v>0.0039</v>
      </c>
      <c r="J1793" t="n">
        <v>0.16</v>
      </c>
      <c r="K1793" t="n">
        <v>0.309</v>
      </c>
      <c r="L1793" t="inlineStr">
        <is>
          <t>The provided code file is part of the Sponge API and it's licensed under the MIT License (MIT). It belongs to Sponge Powered &lt;https://www.spongepowered.org&gt;. This software can be freely used by anyone obtaining a copy of this software along with associated documentation files (the "Software"). They may deal in the Software</t>
        </is>
      </c>
      <c r="M1793" t="n">
        <v>0.008399999999999999</v>
      </c>
      <c r="N1793" t="n">
        <v>0.0635</v>
      </c>
      <c r="O1793" t="n">
        <v>0.1626</v>
      </c>
    </row>
    <row r="1794">
      <c r="A1794" t="inlineStr">
        <is>
          <t>sponge</t>
        </is>
      </c>
      <c r="B1794" t="inlineStr">
        <is>
          <t>src/main/java/org/spongepowered/api/Sponge.java</t>
        </is>
      </c>
      <c r="C1794">
        <f>HYPERLINK("https://github.com/SpongePowered/SpongeAPI/blob/master/src/main/java/org/spongepowered/api/Sponge.java")</f>
        <v/>
      </c>
      <c r="D1794" t="inlineStr">
        <is>
          <t>This code is part of the Sponge API and it's licensed under the MIT License (MIT). It contains copyright notices for contributors to the project. The software can be freely used by anyone obtaining a copy of this software along with associated documentation files (the "Software"). This Software may be modified, merged, published, distributed, sublicensed, and</t>
        </is>
      </c>
      <c r="E1794" t="n">
        <v>0.0043</v>
      </c>
      <c r="F1794" t="n">
        <v>0.09229999999999999</v>
      </c>
      <c r="G1794" t="n">
        <v>0.2466</v>
      </c>
      <c r="H1794" t="inlineStr">
        <is>
          <t>This repository contains backend software components that implement core algorithms used in Sponge API. The code is licensed under the MIT License (MIT), which allows anyone to obtain a copy of this software and associated documentation files (the "Software") without restriction, provided that these conditions are met: 
- The above copyright notice and this permission notice shall be included in all copies or substantial portions of</t>
        </is>
      </c>
      <c r="I1794" t="n">
        <v>0.0039</v>
      </c>
      <c r="J1794" t="n">
        <v>0.137</v>
      </c>
      <c r="K1794" t="n">
        <v>0.309</v>
      </c>
      <c r="L1794" t="inlineStr">
        <is>
          <t>It appears you have not provided any code for analysis or context to generate a concise and clear summary of its functionality. Please provide the source code file along with relevant information so that I can assist in generating an accurate summary.</t>
        </is>
      </c>
      <c r="M1794" t="n">
        <v>0.0044</v>
      </c>
      <c r="N1794" t="n">
        <v>0.04</v>
      </c>
      <c r="O1794" t="n">
        <v>0.0439</v>
      </c>
    </row>
    <row r="1795">
      <c r="A1795" t="inlineStr">
        <is>
          <t>sponge</t>
        </is>
      </c>
      <c r="B1795" t="inlineStr">
        <is>
          <t>src/main/java/org/spongepowered/api/MinecraftVersion.java</t>
        </is>
      </c>
      <c r="C1795">
        <f>HYPERLINK("https://github.com/SpongePowered/SpongeAPI/blob/master/src/main/java/org/spongepowered/api/MinecraftVersion.java")</f>
        <v/>
      </c>
      <c r="D1795" t="inlineStr">
        <is>
          <t># This is a summary of the provided code. 
It's part of Sponge API and licensed under MIT license (MIT), which allows free use, modification, distribution etc., subject to certain conditions specified in the comments at the top of this file. The software is provided "as-is," without warranty of any kind, express or implied including but not limited to</t>
        </is>
      </c>
      <c r="E1795" t="n">
        <v>0.0041</v>
      </c>
      <c r="F1795" t="n">
        <v>0.0588</v>
      </c>
      <c r="G1795" t="n">
        <v>0.1527</v>
      </c>
      <c r="H1795" t="inlineStr">
        <is>
          <t>```python
# This file is part of Sponge API, licensed under the MIT License (MIT). 
# Copyright (c) SpongePowered &lt;https://www.spongepowered.org&gt; 
# Copyright (c) contributors
# Permission is hereby granted, free of charge, to any person obtaining a copy</t>
        </is>
      </c>
      <c r="I1795" t="n">
        <v>0.0049</v>
      </c>
      <c r="J1795" t="n">
        <v>0.0444</v>
      </c>
      <c r="K1795" t="n">
        <v>0.09089999999999999</v>
      </c>
      <c r="L1795" t="inlineStr">
        <is>
          <t>The provided code file is part of the Sponge API and it's licensed under the MIT License (MIT). It contains backend software components developed by Sponge Powered &lt;https://www.spongepowered.org&gt;. 
 This piece of code appears to be a core algorithm implementation related to some form of game development or simulation engine. Its main</t>
        </is>
      </c>
      <c r="M1795" t="n">
        <v>0.0051</v>
      </c>
      <c r="N1795" t="n">
        <v>0.0635</v>
      </c>
      <c r="O1795" t="n">
        <v>0.2439</v>
      </c>
    </row>
    <row r="1796">
      <c r="A1796" t="inlineStr">
        <is>
          <t>sponge</t>
        </is>
      </c>
      <c r="B1796" t="inlineStr">
        <is>
          <t>src/main/java/org/spongepowered/api/datapack/DataPacks.java</t>
        </is>
      </c>
      <c r="C1796">
        <f>HYPERLINK("https://github.com/SpongePowered/SpongeAPI/blob/master/src/main/java/org/spongepowered/api/datapack/DataPacks.java")</f>
        <v/>
      </c>
      <c r="D1796" t="inlineStr">
        <is>
          <t>```python
# This file is part of Sponge API and licensed under the MIT License (MIT). 
# Copyright (c) SpongePowered https://www.spongepowered.org
# Copyright (c) contributors
# Permission is hereby granted, free of charge, to any person obtaining a copy
# of</t>
        </is>
      </c>
      <c r="E1796" t="n">
        <v>0.0054</v>
      </c>
      <c r="F1796" t="n">
        <v>0.0851</v>
      </c>
      <c r="G1796" t="n">
        <v>0.1327</v>
      </c>
      <c r="H1796" t="inlineStr">
        <is>
          <t>This repository contains backend software components that implement core algorithms used in Sponge API. The code is licensed under the MIT License (MIT), which allows anyone to obtain a copy of this software and associated documentation files (the "Software") without restriction, provided that these conditions are met.* This includes but not limited to using, copying, modifying, merging, publishing, distributing,</t>
        </is>
      </c>
      <c r="I1796" t="n">
        <v>0.0044</v>
      </c>
      <c r="J1796" t="n">
        <v>0.1493</v>
      </c>
      <c r="K1796" t="n">
        <v>0.3255</v>
      </c>
      <c r="L1796" t="inlineStr">
        <is>
          <t>This code file is part of the Sponge API and it's licensed under the MIT License (MIT). 
 It provides backend software components for a game engine named "Sponge". The purpose of this component seems to be related to core algorithms used in the game development process such as collision detection or physics calculations. 
 Based on its functionality, it appears to</t>
        </is>
      </c>
      <c r="M1796" t="n">
        <v>0.0043</v>
      </c>
      <c r="N1796" t="n">
        <v>0.1159</v>
      </c>
      <c r="O1796" t="n">
        <v>0.1894</v>
      </c>
    </row>
    <row r="1797">
      <c r="A1797" t="inlineStr">
        <is>
          <t>sponge</t>
        </is>
      </c>
      <c r="B1797" t="inlineStr">
        <is>
          <t>src/main/java/org/spongepowered/api/datapack/package-info.java</t>
        </is>
      </c>
      <c r="C1797">
        <f>HYPERLINK("https://github.com/SpongePowered/SpongeAPI/blob/master/src/main/java/org/spongepowered/api/datapack/package-info.java")</f>
        <v/>
      </c>
      <c r="D1797" t="inlineStr">
        <is>
          <t>```python
# This file is part of Sponge API licensed under the MIT License (MIT). 
# Copyright (c) Sponge Powered &lt;https://www.spongepowered.org&gt; 
# Copyright (c) contributors
# Permission is hereby granted, free of charge, to any person obtaining a copy 
# of</t>
        </is>
      </c>
      <c r="E1797" t="n">
        <v>0.0045</v>
      </c>
      <c r="F1797" t="n">
        <v>0.0426</v>
      </c>
      <c r="G1797" t="n">
        <v>0.0885</v>
      </c>
      <c r="H1797" t="inlineStr">
        <is>
          <t># This file is part of Sponge API, licensed under the MIT License (MIT). č
# Copyright (c) SpongePowered &lt;https://www.spongepowered.org&gt; č
# Copyright (c) contributors č
  č
# Permission is hereby granted, free of charge, to any person obtaining a copy</t>
        </is>
      </c>
      <c r="I1797" t="n">
        <v>0.0045</v>
      </c>
      <c r="J1797" t="n">
        <v>0.0455</v>
      </c>
      <c r="K1797" t="n">
        <v>0.0885</v>
      </c>
      <c r="L1797" t="inlineStr">
        <is>
          <t>The provided code file is part of the Sponge API and it's licensed under the MIT License (MIT). It belongs to Sponge Powered &lt;https://www.spongepowered.org&gt;. This software can be freely used by any person obtaining a copy of this software along with associated documentation files (the "Software"). Use, copy, modify</t>
        </is>
      </c>
      <c r="M1797" t="n">
        <v>0.008800000000000001</v>
      </c>
      <c r="N1797" t="n">
        <v>0.06560000000000001</v>
      </c>
      <c r="O1797" t="n">
        <v>0.2608</v>
      </c>
    </row>
    <row r="1798">
      <c r="A1798" t="inlineStr">
        <is>
          <t>sponge</t>
        </is>
      </c>
      <c r="B1798" t="inlineStr">
        <is>
          <t>src/main/java/org/spongepowered/api/datapack/DataPackType.java</t>
        </is>
      </c>
      <c r="C1798">
        <f>HYPERLINK("https://github.com/SpongePowered/SpongeAPI/blob/master/src/main/java/org/spongepowered/api/datapack/DataPackType.java")</f>
        <v/>
      </c>
      <c r="D1798" t="inlineStr">
        <is>
          <t># This file is part of Sponge API and licensed under the MIT License (MIT). 
# Copyright (c) SpongePowered https://www.spongepowered.org
# Copyright (c) contributors
# Permission is hereby granted, free of charge, to any person obtaining a copy
# of this software and associated</t>
        </is>
      </c>
      <c r="E1798" t="n">
        <v>0.0055</v>
      </c>
      <c r="F1798" t="n">
        <v>0.12</v>
      </c>
      <c r="G1798" t="n">
        <v>0.2721</v>
      </c>
      <c r="H1798" t="inlineStr">
        <is>
          <t>```python
# This file is part of Sponge API, licensed under the MIT License (MIT). 
# Copyright (c) Sponge Powered &lt;https://www.spongepowered.org&gt; 
# Copyright (c) contributors 
# Permission is hereby granted, free of charge, to any person obtaining a copy</t>
        </is>
      </c>
      <c r="I1798" t="n">
        <v>0.0047</v>
      </c>
      <c r="J1798" t="n">
        <v>0.0435</v>
      </c>
      <c r="K1798" t="n">
        <v>0.0901</v>
      </c>
      <c r="L1798" t="inlineStr">
        <is>
          <t>The provided code file is part of the Sponge API and it's licensed under the MIT License (MIT). It contains backend software components developed by Sponge Powered &lt;https://www.spongepowered.org&gt; contributors. 
 This piece of software allows for manipulation with game entities in a Minecraft server environment using Java programming language. The</t>
        </is>
      </c>
      <c r="M1798" t="n">
        <v>0.0049</v>
      </c>
      <c r="N1798" t="n">
        <v>0.06560000000000001</v>
      </c>
      <c r="O1798" t="n">
        <v>0.1653</v>
      </c>
    </row>
    <row r="1799">
      <c r="A1799" t="inlineStr">
        <is>
          <t>sponge</t>
        </is>
      </c>
      <c r="B1799" t="inlineStr">
        <is>
          <t>src/main/java/org/spongepowered/api/datapack/DataPackTypes.java</t>
        </is>
      </c>
      <c r="C1799">
        <f>HYPERLINK("https://github.com/SpongePowered/SpongeAPI/blob/master/src/main/java/org/spongepowered/api/datapack/DataPackTypes.java")</f>
        <v/>
      </c>
      <c r="D1799" t="inlineStr">
        <is>
          <t>```python
# This file is part of Sponge API licensed under the MIT License (MIT). 
# Copyright (c) SpongePowered &lt;https://www.spongepowered.org&gt; 
# Copyright (c) contributors 
# Permission is hereby granted, free of charge, to any person obtaining a copy</t>
        </is>
      </c>
      <c r="E1799" t="n">
        <v>0.0049</v>
      </c>
      <c r="F1799" t="n">
        <v>0.0444</v>
      </c>
      <c r="G1799" t="n">
        <v>0.09089999999999999</v>
      </c>
      <c r="H1799" t="inlineStr">
        <is>
          <t>```python
# This file is part of Sponge API, licensed under the MIT License (MIT).
# Copyright (c) 2023 Sponge Powered &lt;https://www.spongepowered.org&gt;
# Copyright (c) contributors
"""
A simple math module providing addition functionality.
"""
from typing</t>
        </is>
      </c>
      <c r="I1799" t="n">
        <v>0.006</v>
      </c>
      <c r="J1799" t="n">
        <v>0.1395</v>
      </c>
      <c r="K1799" t="n">
        <v>0.1376</v>
      </c>
      <c r="L1799" t="inlineStr">
        <is>
          <t>```python
# This file is part of Sponge API, licensed under the MIT License (MIT). 
# Copyright (c) Sponge Powered &lt;https://www.spongepowered.org&gt; 
# Copyright (c) contributors 
# Permission is hereby granted, free of charge, to any person obtaining a copy</t>
        </is>
      </c>
      <c r="M1799" t="n">
        <v>0.0047</v>
      </c>
      <c r="N1799" t="n">
        <v>0.0435</v>
      </c>
      <c r="O1799" t="n">
        <v>0.0901</v>
      </c>
    </row>
    <row r="1800">
      <c r="A1800" t="inlineStr">
        <is>
          <t>sponge</t>
        </is>
      </c>
      <c r="B1800" t="inlineStr">
        <is>
          <t>src/main/java/org/spongepowered/api/datapack/DataPackEntry.java</t>
        </is>
      </c>
      <c r="C1800">
        <f>HYPERLINK("https://github.com/SpongePowered/SpongeAPI/blob/master/src/main/java/org/spongepowered/api/datapack/DataPackEntry.java")</f>
        <v/>
      </c>
      <c r="D1800" t="inlineStr">
        <is>
          <t># This file is part of Sponge API and licensed under the MIT License (MIT). 
# Copyright (c) SpongePowered https://www.spongepowered.org
# Copyright (c) contributors
# Permission is hereby granted, free of charge, to any person obtaining a copy 
# of this software and</t>
        </is>
      </c>
      <c r="E1800" t="n">
        <v>0.0056</v>
      </c>
      <c r="F1800" t="n">
        <v>0.1224</v>
      </c>
      <c r="G1800" t="n">
        <v>0.2745</v>
      </c>
      <c r="H1800" t="inlineStr">
        <is>
          <t>This repository contains backend software components that implement core algorithms used in Sponge API. The functions are licensed under the MIT License (MIT), which allows anyone to obtain a copy of this software and associated documentation files (the "Software") without restriction. This includes rights to use, copy, modify, merge, publish, distribute, sublicense, sell copies of the Software, and permit</t>
        </is>
      </c>
      <c r="I1800" t="n">
        <v>0.0044</v>
      </c>
      <c r="J1800" t="n">
        <v>0.1791</v>
      </c>
      <c r="K1800" t="n">
        <v>0.3255</v>
      </c>
      <c r="L1800" t="inlineStr">
        <is>
          <t>The provided code file is part of the Sponge API and it's licensed under MIT License (MIT). It belongs to a software component that powers up various functionalities in an open source game called SpongePowered &lt;https://www.spongepowered.org&gt;. 
 This piece of code implements core algorithms for handling events related to player</t>
        </is>
      </c>
      <c r="M1800" t="n">
        <v>0.01</v>
      </c>
      <c r="N1800" t="n">
        <v>0.0984</v>
      </c>
      <c r="O1800" t="n">
        <v>0.3524</v>
      </c>
    </row>
    <row r="1801">
      <c r="A1801" t="inlineStr">
        <is>
          <t>sponge</t>
        </is>
      </c>
      <c r="B1801" t="inlineStr">
        <is>
          <t>src/main/java/org/spongepowered/api/datapack/DataPack.java</t>
        </is>
      </c>
      <c r="C1801">
        <f>HYPERLINK("https://github.com/SpongePowered/SpongeAPI/blob/master/src/main/java/org/spongepowered/api/datapack/DataPack.java")</f>
        <v/>
      </c>
      <c r="D1801" t="inlineStr">
        <is>
          <t># This file is part of Sponge API and licensed under the MIT License (MIT). 
# Copyright (c) SpongePowered https://www.spongepowered.org
# Copyright (c) contributors
# Permission is hereby granted, free of charge, to any person obtaining a copy of this software and associated documentation files (the</t>
        </is>
      </c>
      <c r="E1801" t="n">
        <v>0.0053</v>
      </c>
      <c r="F1801" t="n">
        <v>0.1132</v>
      </c>
      <c r="G1801" t="n">
        <v>0.2675</v>
      </c>
      <c r="H1801" t="inlineStr">
        <is>
          <t>The provided code is a simple function for addition of two numbers in Python. It takes two parameters 'a' and 'b', adds them together, and returns the result. This operation has a time complexity of O(1), meaning it performs a fixed number of operations regardless of the size of input data.
In terms of functionality, this code provides an easy way to add two numerical</t>
        </is>
      </c>
      <c r="I1801" t="n">
        <v>0.0033</v>
      </c>
      <c r="J1801" t="n">
        <v>0.0541</v>
      </c>
      <c r="K1801" t="n">
        <v>0.1095</v>
      </c>
      <c r="L1801" t="inlineStr">
        <is>
          <t>```python
# This file is part of Sponge API, licensed under the MIT License (MIT). 
# Copyright (c) Sponge Powered &lt;https://www.spongepowered.org&gt; 
# Copyright (c) contributors 
# Permission is hereby granted, free of charge, to any person obtaining a copy</t>
        </is>
      </c>
      <c r="M1801" t="n">
        <v>0.0047</v>
      </c>
      <c r="N1801" t="n">
        <v>0.0435</v>
      </c>
      <c r="O1801" t="n">
        <v>0.0901</v>
      </c>
    </row>
    <row r="1802">
      <c r="A1802" t="inlineStr">
        <is>
          <t>sponge</t>
        </is>
      </c>
      <c r="B1802" t="inlineStr">
        <is>
          <t>src/main/java/org/spongepowered/api/state/EnumStateProperties.java</t>
        </is>
      </c>
      <c r="C1802">
        <f>HYPERLINK("https://github.com/SpongePowered/SpongeAPI/blob/master/src/main/java/org/spongepowered/api/state/EnumStateProperties.java")</f>
        <v/>
      </c>
      <c r="D1802" t="inlineStr">
        <is>
          <t>This code is part of the Sponge API and it's licensed under the MIT License (MIT). It was originally written by contributors to the project at https://www.spongepowered.org. The software can be used freely without restriction, including without limitation the rights to use, copy, modify, merge, publish, distribute, sublicense, sell</t>
        </is>
      </c>
      <c r="E1802" t="n">
        <v>0.0049</v>
      </c>
      <c r="F1802" t="n">
        <v>0.06560000000000001</v>
      </c>
      <c r="G1802" t="n">
        <v>0.1653</v>
      </c>
      <c r="H1802" t="inlineStr">
        <is>
          <t>```python
# This function takes two parameters a and b which are numbers to be added together 
# It returns the sum of these numbers
def add(a, b):
    return a + b
```  
In this code snippet, we define an `add` function that accepts two arguments (numbers), adds them together using Python's</t>
        </is>
      </c>
      <c r="I1802" t="n">
        <v>0.0042</v>
      </c>
      <c r="J1802" t="n">
        <v>0.1034</v>
      </c>
      <c r="K1802" t="n">
        <v>0.1613</v>
      </c>
      <c r="L1802" t="inlineStr">
        <is>
          <t>The provided code file is part of the Sponge API and it's licensed under the MIT License (MIT). 
 It belongs to Sponge Powered &lt;https://www.spongepowered.org&gt;. This software can be freely used by anyone obtaining a copy of this software along with associated documentation files (the "Software"). 
 However,</t>
        </is>
      </c>
      <c r="M1802" t="n">
        <v>0.0094</v>
      </c>
      <c r="N1802" t="n">
        <v>0.06900000000000001</v>
      </c>
      <c r="O1802" t="n">
        <v>0.2675</v>
      </c>
    </row>
    <row r="1803">
      <c r="A1803" t="inlineStr">
        <is>
          <t>sponge</t>
        </is>
      </c>
      <c r="B1803" t="inlineStr">
        <is>
          <t>src/main/java/org/spongepowered/api/state/IntegerStateProperties.java</t>
        </is>
      </c>
      <c r="C1803">
        <f>HYPERLINK("https://github.com/SpongePowered/SpongeAPI/blob/master/src/main/java/org/spongepowered/api/state/IntegerStateProperties.java")</f>
        <v/>
      </c>
      <c r="D1803" t="inlineStr">
        <is>
          <t># This file is part of Sponge API and licensed under the MIT License (MIT). 
# Copyright (c) SpongePowered https://www.spongepowered.org
# Copyright (c) contributors
# Permission is hereby granted, free of charge, to any person obtaining a copy of this software and associated documentation files (the</t>
        </is>
      </c>
      <c r="E1803" t="n">
        <v>0.0053</v>
      </c>
      <c r="F1803" t="n">
        <v>0.1132</v>
      </c>
      <c r="G1803" t="n">
        <v>0.2675</v>
      </c>
      <c r="H1803" t="inlineStr">
        <is>
          <t>```python
# This file is part of Sponge API, licensed under the MIT License (MIT).
# Copyright (c) 2019-2020 SpongePowered and Contributors
# Permission is hereby granted, free of charge, to any person obtaining a copy
# of this software and associated documentation files</t>
        </is>
      </c>
      <c r="I1803" t="n">
        <v>0.0055</v>
      </c>
      <c r="J1803" t="n">
        <v>0.1224</v>
      </c>
      <c r="K1803" t="n">
        <v>0.2721</v>
      </c>
      <c r="L1803" t="inlineStr">
        <is>
          <t>This code file is part of the Sponge API and it's licensed under MIT License (MIT). 
        The purpose of this software is to provide a backend for Minecraft servers which allows them to interact with other plugins or components in an organized manner. It uses core algorithms such as event handling and entity management. 
        Inputs are server</t>
        </is>
      </c>
      <c r="M1803" t="n">
        <v>0.0045</v>
      </c>
      <c r="N1803" t="n">
        <v>0.1212</v>
      </c>
      <c r="O1803" t="n">
        <v>0.2884</v>
      </c>
    </row>
    <row r="1804">
      <c r="A1804" t="inlineStr">
        <is>
          <t>sponge</t>
        </is>
      </c>
      <c r="B1804" t="inlineStr">
        <is>
          <t>src/main/java/org/spongepowered/api/state/StateContainer.java</t>
        </is>
      </c>
      <c r="C1804">
        <f>HYPERLINK("https://github.com/SpongePowered/SpongeAPI/blob/master/src/main/java/org/spongepowered/api/state/StateContainer.java")</f>
        <v/>
      </c>
      <c r="D1804" t="inlineStr">
        <is>
          <t>```python
# This file is part of Sponge API and licensed under the MIT License (MIT). 
# Copyright (c) SpongePowered &lt;https://www.spongepowered.org&gt; 
# Copyright (c) contributors 
# Permission is hereby granted, free of charge, to any person obtaining a copy</t>
        </is>
      </c>
      <c r="E1804" t="n">
        <v>0.0056</v>
      </c>
      <c r="F1804" t="n">
        <v>0.08699999999999999</v>
      </c>
      <c r="G1804" t="n">
        <v>0.1351</v>
      </c>
      <c r="H1804" t="inlineStr">
        <is>
          <t># Sponge API README Summary
## Overview
This repository contains backend software components licensed under the MIT License (MIT), which allows free use and modification of the code without any restrictions. The copyright notice at the top of each file specifies that all copies or substantial portions of this Software shall be included in all copies or substantial portions of the Software.</t>
        </is>
      </c>
      <c r="I1804" t="n">
        <v>0.0039</v>
      </c>
      <c r="J1804" t="n">
        <v>0.0882</v>
      </c>
      <c r="K1804" t="n">
        <v>0.2799</v>
      </c>
      <c r="L1804" t="inlineStr">
        <is>
          <t>This code file is part of the Sponge API and it's licensed under the MIT License (MIT). It's a backend software component that provides various functionalities related to game development. The main purpose of this code base appears to be implementing core algorithms for handling game mechanics such as physics calculations or AI behavior. 
 The input could vary depending on the specific</t>
        </is>
      </c>
      <c r="M1804" t="n">
        <v>0.0042</v>
      </c>
      <c r="N1804" t="n">
        <v>0.1111</v>
      </c>
      <c r="O1804" t="n">
        <v>0.3182</v>
      </c>
    </row>
    <row r="1805">
      <c r="A1805" t="inlineStr">
        <is>
          <t>sponge</t>
        </is>
      </c>
      <c r="B1805" t="inlineStr">
        <is>
          <t>src/main/java/org/spongepowered/api/state/StateProperty.java</t>
        </is>
      </c>
      <c r="C1805">
        <f>HYPERLINK("https://github.com/SpongePowered/SpongeAPI/blob/master/src/main/java/org/spongepowered/api/state/StateProperty.java")</f>
        <v/>
      </c>
      <c r="D1805" t="inlineStr">
        <is>
          <t>```python
# This file is part of Sponge API and licensed under the MIT License (MIT). 
# Copyright (c) Sponge Powered &lt;https://www.spongepowered.org&gt; 
# Copyright (c) contributors
# Permission is hereby granted, free of charge, to any person obtaining a copy</t>
        </is>
      </c>
      <c r="E1805" t="n">
        <v>0.0055</v>
      </c>
      <c r="F1805" t="n">
        <v>0.0851</v>
      </c>
      <c r="G1805" t="n">
        <v>0.1339</v>
      </c>
      <c r="H1805" t="inlineStr">
        <is>
          <t>This repository contains backend software components that are used in the Sponge API (Minecraft), licensed under the MIT License. The code is written in Java and it includes implementations of core algorithms such as addition for numbers. This function takes two parameters a and b which represent the numbers to be added together. It returns their sum.
In terms of complexity, this operation has O(</t>
        </is>
      </c>
      <c r="I1805" t="n">
        <v>0.004</v>
      </c>
      <c r="J1805" t="n">
        <v>0.1644</v>
      </c>
      <c r="K1805" t="n">
        <v>0.219</v>
      </c>
      <c r="L1805" t="inlineStr">
        <is>
          <t>The provided code file is part of the Sponge API and it's licensed under the MIT License (MIT). It contains backend software components developed by contributors to the project at &lt;https://github.com/SpongePowered/SpongeAPI&gt;. 
 This piece of software allows for modification, distribution, selling and other operations without restriction</t>
        </is>
      </c>
      <c r="M1805" t="n">
        <v>0.0054</v>
      </c>
      <c r="N1805" t="n">
        <v>0.1034</v>
      </c>
      <c r="O1805" t="n">
        <v>0.1709</v>
      </c>
    </row>
    <row r="1806">
      <c r="A1806" t="inlineStr">
        <is>
          <t>sponge</t>
        </is>
      </c>
      <c r="B1806" t="inlineStr">
        <is>
          <t>src/main/java/org/spongepowered/api/state/BooleanStateProperty.java</t>
        </is>
      </c>
      <c r="C1806">
        <f>HYPERLINK("https://github.com/SpongePowered/SpongeAPI/blob/master/src/main/java/org/spongepowered/api/state/BooleanStateProperty.java")</f>
        <v/>
      </c>
      <c r="D1806" t="inlineStr">
        <is>
          <t>```python
# This file is part of Sponge API and licensed under the MIT License (MIT). 
# Copyright (c) SpongePowered &lt;https://www.spongepowered.org&gt; 
# Copyright (c) contributors 
# Permission is hereby granted, free of charge, to any person obtaining a</t>
        </is>
      </c>
      <c r="E1806" t="n">
        <v>0.0058</v>
      </c>
      <c r="F1806" t="n">
        <v>0.08890000000000001</v>
      </c>
      <c r="G1806" t="n">
        <v>0.1364</v>
      </c>
      <c r="H1806" t="inlineStr">
        <is>
          <t>```python
# This file is part of Sponge API, licensed under the MIT License (MIT).
# Copyright (c) 2022 SpongePowered &lt;https://www.spongepowered.org&gt;
# Copyright (c) contributors
# Permission is hereby granted, free of charge, to any person obtaining</t>
        </is>
      </c>
      <c r="I1806" t="n">
        <v>0.005</v>
      </c>
      <c r="J1806" t="n">
        <v>0.0455</v>
      </c>
      <c r="K1806" t="n">
        <v>0.0917</v>
      </c>
      <c r="L1806" t="inlineStr">
        <is>
          <t>```python
# This file is part of Sponge API, licensed under the MIT License (MIT). 
# Copyright (c) Sponge Powered &lt;https://www.spongepowered.org&gt; 
# Copyright (c) contributors
# Permission is hereby granted, free of charge, to any person obtaining a copy 
#</t>
        </is>
      </c>
      <c r="M1806" t="n">
        <v>0.0046</v>
      </c>
      <c r="N1806" t="n">
        <v>0.0435</v>
      </c>
      <c r="O1806" t="n">
        <v>0.0893</v>
      </c>
    </row>
    <row r="1807">
      <c r="A1807" t="inlineStr">
        <is>
          <t>sponge</t>
        </is>
      </c>
      <c r="B1807" t="inlineStr">
        <is>
          <t>src/main/java/org/spongepowered/api/state/State.java</t>
        </is>
      </c>
      <c r="C1807">
        <f>HYPERLINK("https://github.com/SpongePowered/SpongeAPI/blob/master/src/main/java/org/spongepowered/api/state/State.java")</f>
        <v/>
      </c>
      <c r="D1807" t="inlineStr">
        <is>
          <t>```python
# This file is part of Sponge API licensed under the MIT License (MIT).
# Copyright (c) 2014-2016 SpongePowered &lt;http://www.spongepowered.org&gt;
# Copyright (c) contributors
# Permission is hereby granted, free of charge,</t>
        </is>
      </c>
      <c r="E1807" t="n">
        <v>0.0056</v>
      </c>
      <c r="F1807" t="n">
        <v>0.0488</v>
      </c>
      <c r="G1807" t="n">
        <v>0.09520000000000001</v>
      </c>
      <c r="H1807" t="inlineStr">
        <is>
          <t>```python
# This file is part of Sponge API, licensed under the MIT License (MIT). 
# Copyright (c) SpongePowered &lt;https://www.spongepowered.org&gt; 
# Copyright (c) contributors 
# Permission is hereby granted, free of charge, to any person obtaining a</t>
        </is>
      </c>
      <c r="I1807" t="n">
        <v>0.005</v>
      </c>
      <c r="J1807" t="n">
        <v>0.0455</v>
      </c>
      <c r="K1807" t="n">
        <v>0.0917</v>
      </c>
      <c r="L1807" t="inlineStr">
        <is>
          <t># Summary of the provided code file
## File Name: Sponge API (MIT License)
This repository contains backend software components licensed under MIT license from Sponge Powered &lt;https://www.spongepowered.org&gt; and contributors. 
The purpose of this software is to provide a framework for building block games with Java or Kot</t>
        </is>
      </c>
      <c r="M1807" t="n">
        <v>0.005</v>
      </c>
      <c r="N1807" t="n">
        <v>0.1053</v>
      </c>
      <c r="O1807" t="n">
        <v>0.213</v>
      </c>
    </row>
    <row r="1808">
      <c r="A1808" t="inlineStr">
        <is>
          <t>sponge</t>
        </is>
      </c>
      <c r="B1808" t="inlineStr">
        <is>
          <t>src/main/java/org/spongepowered/api/state/EnumStateProperty.java</t>
        </is>
      </c>
      <c r="C1808">
        <f>HYPERLINK("https://github.com/SpongePowered/SpongeAPI/blob/master/src/main/java/org/spongepowered/api/state/EnumStateProperty.java")</f>
        <v/>
      </c>
      <c r="D1808" t="inlineStr">
        <is>
          <t>Certainly, the provided code is a part of Sponge API which is licensed under MIT License (MIT), and it's copyrighted by contributors from SpongePowered &lt;https://www.spongepowered.org&gt;. The software can be used freely for any purpose without restriction including but not limited to rights to use, copy, modify, merge</t>
        </is>
      </c>
      <c r="E1808" t="n">
        <v>0.0046</v>
      </c>
      <c r="F1808" t="n">
        <v>0.0339</v>
      </c>
      <c r="G1808" t="n">
        <v>0.1261</v>
      </c>
      <c r="H1808" t="inlineStr">
        <is>
          <t>This repository contains backend software components for a game engine called Sponge. The code is licensed under the MIT License (MIT), which allows anyone to obtain a copy of this software and associated documentation files (the "Software") without restriction, including without limitation the rights to use, copy, modify, merge, publish, distribute, sublicense, and/or sell copies of the Software</t>
        </is>
      </c>
      <c r="I1808" t="n">
        <v>0.0041</v>
      </c>
      <c r="J1808" t="n">
        <v>0.0896</v>
      </c>
      <c r="K1808" t="n">
        <v>0.1154</v>
      </c>
      <c r="L1808" t="inlineStr">
        <is>
          <t>This code file is part of the Sponge API and it's licensed under the MIT License (MIT). It provides backend software components for a game engine named "Sponge". The purpose of this code is to implement core algorithms that are crucial for running such an extensive system efficiently. 
 Copyright information can be found in the repository README. Contextually,</t>
        </is>
      </c>
      <c r="M1808" t="n">
        <v>0.0045</v>
      </c>
      <c r="N1808" t="n">
        <v>0.1194</v>
      </c>
      <c r="O1808" t="n">
        <v>0.328</v>
      </c>
    </row>
    <row r="1809">
      <c r="A1809" t="inlineStr">
        <is>
          <t>sponge</t>
        </is>
      </c>
      <c r="B1809" t="inlineStr">
        <is>
          <t>src/main/java/org/spongepowered/api/state/package-info.java</t>
        </is>
      </c>
      <c r="C1809">
        <f>HYPERLINK("https://github.com/SpongePowered/SpongeAPI/blob/master/src/main/java/org/spongepowered/api/state/package-info.java")</f>
        <v/>
      </c>
      <c r="D1809" t="inlineStr">
        <is>
          <t>```python
# This file is part of Sponge API and licensed under the MIT License (MIT). 
# Copyright (c) SpongePowered &lt;https://www.spongepowered.org&gt; 
# Copyright (c) contributors
# Permission is hereby granted, free of charge, to any person obtaining a copy</t>
        </is>
      </c>
      <c r="E1809" t="n">
        <v>0.0056</v>
      </c>
      <c r="F1809" t="n">
        <v>0.08699999999999999</v>
      </c>
      <c r="G1809" t="n">
        <v>0.1351</v>
      </c>
      <c r="H1809" t="inlineStr">
        <is>
          <t>This code is a simple addition function that takes two numbers as input and returns their sum. The time complexity of this operation is O(1), meaning it always executes in the same amount of time regardless of the size of the inputs.
In terms of file structure, there are three files present with different functionalities. 
- `main.py` contains the main application</t>
        </is>
      </c>
      <c r="I1809" t="n">
        <v>0.0036</v>
      </c>
      <c r="J1809" t="n">
        <v>0.0857</v>
      </c>
      <c r="K1809" t="n">
        <v>0.1128</v>
      </c>
      <c r="L1809" t="inlineStr">
        <is>
          <t>```python
# This file is part of Sponge API, licensed under the MIT License (MIT). 
# Copyright (c) Sponge Powered &lt;https://www.spongepowered.org&gt; 
# Copyright (c) contributors 
# Permission is hereby granted, free of charge, to any person obtaining a copy</t>
        </is>
      </c>
      <c r="M1809" t="n">
        <v>0.0047</v>
      </c>
      <c r="N1809" t="n">
        <v>0.0435</v>
      </c>
      <c r="O1809" t="n">
        <v>0.0901</v>
      </c>
    </row>
    <row r="1810">
      <c r="A1810" t="inlineStr">
        <is>
          <t>sponge</t>
        </is>
      </c>
      <c r="B1810" t="inlineStr">
        <is>
          <t>src/main/java/org/spongepowered/api/state/StateMatcher.java</t>
        </is>
      </c>
      <c r="C1810">
        <f>HYPERLINK("https://github.com/SpongePowered/SpongeAPI/blob/master/src/main/java/org/spongepowered/api/state/StateMatcher.java")</f>
        <v/>
      </c>
      <c r="D1810" t="inlineStr">
        <is>
          <t># This file is part of Sponge API and licensed under the MIT License (MIT). 
# Copyright (c) SpongePowered &lt;https://www.spongepowered.org&gt; 
# Copyright (c) contributors 
# Permission is hereby granted, free of charge, to any person obtaining a copy 
#</t>
        </is>
      </c>
      <c r="E1810" t="n">
        <v>0.0056</v>
      </c>
      <c r="F1810" t="n">
        <v>0.08890000000000001</v>
      </c>
      <c r="G1810" t="n">
        <v>0.1351</v>
      </c>
      <c r="H1810" t="inlineStr">
        <is>
          <t>This repository contains backend software components for Sponge API, licensed under the MIT License (MIT). The copyright notice and permission notices shall be included in all copies or substantial portions of the Software.* Copyright (c) SpongePowered &lt;https://www.spongepowered.org&gt; * Copyright (c) contributors ** Permission is hereby granted, free of</t>
        </is>
      </c>
      <c r="I1810" t="n">
        <v>0.005</v>
      </c>
      <c r="J1810" t="n">
        <v>0.1053</v>
      </c>
      <c r="K1810" t="n">
        <v>0.125</v>
      </c>
      <c r="L1810" t="inlineStr">
        <is>
          <t>The provided code is a part of the Sponge API and it's licensed under the MIT License (MIT). It's copyrighted by Sponge Powered &lt;https://www.spongepowered.org&gt; with contributions from contributors. 
 Permission is granted to anyone to use this software for any purpose, including commercial applications, without restriction</t>
        </is>
      </c>
      <c r="M1810" t="n">
        <v>0.0049</v>
      </c>
      <c r="N1810" t="n">
        <v>0.06900000000000001</v>
      </c>
      <c r="O1810" t="n">
        <v>0.2698</v>
      </c>
    </row>
    <row r="1811">
      <c r="A1811" t="inlineStr">
        <is>
          <t>sponge</t>
        </is>
      </c>
      <c r="B1811" t="inlineStr">
        <is>
          <t>src/main/java/org/spongepowered/api/state/IntegerStateProperty.java</t>
        </is>
      </c>
      <c r="C1811">
        <f>HYPERLINK("https://github.com/SpongePowered/SpongeAPI/blob/master/src/main/java/org/spongepowered/api/state/IntegerStateProperty.java")</f>
        <v/>
      </c>
      <c r="D1811" t="inlineStr">
        <is>
          <t>```python
# This file is part of Sponge API and licensed under the MIT License (MIT). 
# Copyright (c) SpongePowered &lt;https://www.spongepowered.org&gt; 
# Copyright (c) contributors 
# Permission is hereby granted, free of charge, to any person obtaining a</t>
        </is>
      </c>
      <c r="E1811" t="n">
        <v>0.0058</v>
      </c>
      <c r="F1811" t="n">
        <v>0.08890000000000001</v>
      </c>
      <c r="G1811" t="n">
        <v>0.1364</v>
      </c>
      <c r="H1811" t="inlineStr">
        <is>
          <t>This repository contains backend software components that implement core algorithms used in the Sponge API. The code is licensed under the MIT License (MIT), and it's open for any person to obtain a copy of this software and associated documentation files without restriction. However, they are restricted from using, copying, modifying, merging, publishing, distributing, sub-licensing, or selling</t>
        </is>
      </c>
      <c r="I1811" t="n">
        <v>0.0045</v>
      </c>
      <c r="J1811" t="n">
        <v>0.1493</v>
      </c>
      <c r="K1811" t="n">
        <v>0.3962</v>
      </c>
      <c r="L1811" t="inlineStr">
        <is>
          <t>The provided code file is part of the Sponge API and it's licensed under the MIT License (MIT). It provides backend software components for a game engine called "Sponge". 
 This component implements core algorithms related to game mechanics such as physics calculations or collision detection. Its main purpose is to handle interactions between different entities in the game world based on their</t>
        </is>
      </c>
      <c r="M1811" t="n">
        <v>0.0078</v>
      </c>
      <c r="N1811" t="n">
        <v>0.08450000000000001</v>
      </c>
      <c r="O1811" t="n">
        <v>0.3182</v>
      </c>
    </row>
    <row r="1812">
      <c r="A1812" t="inlineStr">
        <is>
          <t>sponge</t>
        </is>
      </c>
      <c r="B1812" t="inlineStr">
        <is>
          <t>src/main/java/org/spongepowered/api/state/BooleanStateProperties.java</t>
        </is>
      </c>
      <c r="C1812">
        <f>HYPERLINK("https://github.com/SpongePowered/SpongeAPI/blob/master/src/main/java/org/spongepowered/api/state/BooleanStateProperties.java")</f>
        <v/>
      </c>
      <c r="D1812" t="inlineStr">
        <is>
          <t>```python
# This file is part of Sponge API licensed under the MIT License (MIT)
# Copyright (c) 2014-2016 SpongePowered &lt;http://www.spongepowered.org&gt;
# Copyright (c) contributors
# Permission is hereby granted, free of charge</t>
        </is>
      </c>
      <c r="E1812" t="n">
        <v>0.0056</v>
      </c>
      <c r="F1812" t="n">
        <v>0.0488</v>
      </c>
      <c r="G1812" t="n">
        <v>0.09520000000000001</v>
      </c>
      <c r="H1812" t="inlineStr">
        <is>
          <t>The function provided is a simple addition operation that takes two arguments and returns their sum. The complexity of this function is O(1), meaning it performs constant time operations regardless of the size of input data. It's part of Sponge API licensed under MIT License (MIT). This software can be freely used, copied, modified, merged, published, distributed, sublicensed, and</t>
        </is>
      </c>
      <c r="I1812" t="n">
        <v>0.0072</v>
      </c>
      <c r="J1812" t="n">
        <v>0.08699999999999999</v>
      </c>
      <c r="K1812" t="n">
        <v>0.2409</v>
      </c>
      <c r="L1812" t="inlineStr">
        <is>
          <t>The provided code is part of the Sponge API and it's licensed under the MIT License (MIT). It's a backend software component that provides various functionalities related to game development in Minecraft. This includes algorithms for physics calculations, entity interactions, world generation, etc. 
 The main purpose of this code seems to be managing entities within a virtual environment similar</t>
        </is>
      </c>
      <c r="M1812" t="n">
        <v>0.0041</v>
      </c>
      <c r="N1812" t="n">
        <v>0.058</v>
      </c>
      <c r="O1812" t="n">
        <v>0.1527</v>
      </c>
    </row>
    <row r="1813">
      <c r="A1813" t="inlineStr">
        <is>
          <t>sponge</t>
        </is>
      </c>
      <c r="B1813" t="inlineStr">
        <is>
          <t>src/main/java/org/spongepowered/api/command/package-info.java</t>
        </is>
      </c>
      <c r="C1813">
        <f>HYPERLINK("https://github.com/SpongePowered/SpongeAPI/blob/master/src/main/java/org/spongepowered/api/command/package-info.java")</f>
        <v/>
      </c>
      <c r="D1813" t="inlineStr">
        <is>
          <t>```python
# This file is part of Sponge API licensed under the MIT License (MIT)
# Copyright (c) 2023 Sponge Powered &lt;https://www.spongepowered.org&gt;
# Copyright (c) contributors
# Permission is hereby granted, free of charge, to any person obtaining a</t>
        </is>
      </c>
      <c r="E1813" t="n">
        <v>0.0047</v>
      </c>
      <c r="F1813" t="n">
        <v>0.0435</v>
      </c>
      <c r="G1813" t="n">
        <v>0.0901</v>
      </c>
      <c r="H1813" t="inlineStr">
        <is>
          <t>This repository contains backend software components that implement core algorithms used in the Sponge API (MIT License). The function `add` performs addition of two numbers with a time complexity of O(1), indicating constant time execution regardless of input size. This is because it simply adds together two values without any looping or recursion.
In terms of code size and complexity, there are</t>
        </is>
      </c>
      <c r="I1813" t="n">
        <v>0.0042</v>
      </c>
      <c r="J1813" t="n">
        <v>0.169</v>
      </c>
      <c r="K1813" t="n">
        <v>0.3182</v>
      </c>
      <c r="L1813" t="inlineStr">
        <is>
          <t>The provided code file is part of the Sponge API and it's licensed under the MIT License (MIT). It belongs to the Sponge Powered organization at &lt;https://www.spongepowered.org&gt;. The copyright for this software falls under contributor agreements as well. 
 Permission is granted free of charge to any person obtaining a</t>
        </is>
      </c>
      <c r="M1813" t="n">
        <v>0.0045</v>
      </c>
      <c r="N1813" t="n">
        <v>0.06560000000000001</v>
      </c>
      <c r="O1813" t="n">
        <v>0.2608</v>
      </c>
    </row>
    <row r="1814">
      <c r="A1814" t="inlineStr">
        <is>
          <t>sponge</t>
        </is>
      </c>
      <c r="B1814" t="inlineStr">
        <is>
          <t>src/main/java/org/spongepowered/api/command/CommandCause.java</t>
        </is>
      </c>
      <c r="C1814">
        <f>HYPERLINK("https://github.com/SpongePowered/SpongeAPI/blob/master/src/main/java/org/spongepowered/api/command/CommandCause.java")</f>
        <v/>
      </c>
      <c r="D1814" t="inlineStr">
        <is>
          <t>```python
# This file is part of Sponge API and licensed under the MIT License (MIT). 
# Copyright (c) Sponge Powered &lt;https://www.spongepowered.org&gt; 
# Copyright (c) contributors 
# Permission is hereby granted, free of charge, to any person obtaining a copy</t>
        </is>
      </c>
      <c r="E1814" t="n">
        <v>0.0055</v>
      </c>
      <c r="F1814" t="n">
        <v>0.0851</v>
      </c>
      <c r="G1814" t="n">
        <v>0.1339</v>
      </c>
      <c r="H1814" t="inlineStr">
        <is>
          <t>```python
# This file is part of Sponge API, licensed under the MIT License (MIT). 
# Copyright (c) SpongePowered &lt;https://www.spongepowered.org&gt; 
# Copyright (c) contributors 
# Permission is hereby granted, free of charge, to any person obtaining a</t>
        </is>
      </c>
      <c r="I1814" t="n">
        <v>0.005</v>
      </c>
      <c r="J1814" t="n">
        <v>0.0455</v>
      </c>
      <c r="K1814" t="n">
        <v>0.0917</v>
      </c>
      <c r="L1814" t="inlineStr">
        <is>
          <t>```python
# This file is part of Sponge API and licensed under the MIT License (MIT). 
# Copyright (c) Sponge Powered &lt;https://www.spongepowered.org&gt; 
# Copyright (c) contributors 
# Permission is hereby granted, free of charge, to any person obtaining a copy</t>
        </is>
      </c>
      <c r="M1814" t="n">
        <v>0.0055</v>
      </c>
      <c r="N1814" t="n">
        <v>0.0851</v>
      </c>
      <c r="O1814" t="n">
        <v>0.1339</v>
      </c>
    </row>
    <row r="1815">
      <c r="A1815" t="inlineStr">
        <is>
          <t>sponge</t>
        </is>
      </c>
      <c r="B1815" t="inlineStr">
        <is>
          <t>src/main/java/org/spongepowered/api/command/CommandResult.java</t>
        </is>
      </c>
      <c r="C1815">
        <f>HYPERLINK("https://github.com/SpongePowered/SpongeAPI/blob/master/src/main/java/org/spongepowered/api/command/CommandResult.java")</f>
        <v/>
      </c>
      <c r="D1815" t="inlineStr">
        <is>
          <t>```python
# This file is part of Sponge API and licensed under the MIT License (MIT). 
# Copyright (c) SpongePowered &lt;https://www.spongepowered.org&gt; 
# Copyright (c) contributors 
# Permission is hereby granted, free of charge, to any person obtaining a copy</t>
        </is>
      </c>
      <c r="E1815" t="n">
        <v>0.0056</v>
      </c>
      <c r="F1815" t="n">
        <v>0.08699999999999999</v>
      </c>
      <c r="G1815" t="n">
        <v>0.1351</v>
      </c>
      <c r="H1815" t="inlineStr">
        <is>
          <t>This code is a function named "add". It takes two parameters (a and b), adds them together, and returns the result. The time complexity of this operation is O(1), meaning it always executes in constant time regardless of input size.
In terms of functionality, this code represents an addition operation on numbers provided as inputs to the 'add' function.</t>
        </is>
      </c>
      <c r="I1815" t="n">
        <v>0.0037</v>
      </c>
      <c r="J1815" t="n">
        <v>0.0882</v>
      </c>
      <c r="K1815" t="n">
        <v>0.1145</v>
      </c>
      <c r="L1815" t="inlineStr">
        <is>
          <t>The provided code file is part of the Sponge API and it's licensed under the MIT License (MIT). It's a backend software component for game development platforms like Minecraft. This repository contains various algorithms that are used in core functionalities such as physics calculations, world generation, entity interactions etc. 
 The main purpose of this code base seems to be implementing</t>
        </is>
      </c>
      <c r="M1815" t="n">
        <v>0.0043</v>
      </c>
      <c r="N1815" t="n">
        <v>0.0857</v>
      </c>
      <c r="O1815" t="n">
        <v>0.323</v>
      </c>
    </row>
    <row r="1816">
      <c r="A1816" t="inlineStr">
        <is>
          <t>sponge</t>
        </is>
      </c>
      <c r="B1816" t="inlineStr">
        <is>
          <t>src/main/java/org/spongepowered/api/command/CommandCompletion.java</t>
        </is>
      </c>
      <c r="C1816">
        <f>HYPERLINK("https://github.com/SpongePowered/SpongeAPI/blob/master/src/main/java/org/spongepowered/api/command/CommandCompletion.java")</f>
        <v/>
      </c>
      <c r="D1816" t="inlineStr">
        <is>
          <t>```python
# This file is part of Sponge API and licensed under the MIT License (MIT). 
# Copyright (c) SpongePowered &lt;https://www.spongepowered.org&gt; 
# Copyright (c) contributors
# Permission is hereby granted, free of charge, to any person obtaining a copy</t>
        </is>
      </c>
      <c r="E1816" t="n">
        <v>0.0056</v>
      </c>
      <c r="F1816" t="n">
        <v>0.08699999999999999</v>
      </c>
      <c r="G1816" t="n">
        <v>0.1351</v>
      </c>
      <c r="H1816" t="inlineStr">
        <is>
          <t>This repository contains backend software components that implement core algorithms. The complexity of the code is O(n), where n represents the number of elements in a list or array. It includes initial code base commit and all subsequent commits related to implementation of these algorithms.
Please note that this code is licensed under the MIT License (MIT). You are free to use, copy, modify,</t>
        </is>
      </c>
      <c r="I1816" t="n">
        <v>0.004</v>
      </c>
      <c r="J1816" t="n">
        <v>0.137</v>
      </c>
      <c r="K1816" t="n">
        <v>0.1838</v>
      </c>
      <c r="L1816" t="inlineStr">
        <is>
          <t>This code is a part of the Sponge API and it's licensed under MIT License (MIT). It's copyrighted by Sponge Powered &lt;https://www.spongepowered.org&gt; along with its contributors. The software can be freely used to any person obtaining a copy of this software and associated documentation files (the "Software").</t>
        </is>
      </c>
      <c r="M1816" t="n">
        <v>0.0051</v>
      </c>
      <c r="N1816" t="n">
        <v>0.1</v>
      </c>
      <c r="O1816" t="n">
        <v>0.2652</v>
      </c>
    </row>
    <row r="1817">
      <c r="A1817" t="inlineStr">
        <is>
          <t>sponge</t>
        </is>
      </c>
      <c r="B1817" t="inlineStr">
        <is>
          <t>src/main/java/org/spongepowered/api/command/Command.java</t>
        </is>
      </c>
      <c r="C1817">
        <f>HYPERLINK("https://github.com/SpongePowered/SpongeAPI/blob/master/src/main/java/org/spongepowered/api/command/Command.java")</f>
        <v/>
      </c>
      <c r="D1817" t="inlineStr">
        <is>
          <t>```python
# This file is part of Sponge API and licensed under the MIT License (MIT). 
# Copyright (c) Sponge Powered &lt;https://www.spongepowered.org&gt; 
# Copyright (c) contributors 
# Permission is hereby granted, free of charge, to any person obtaining a copy</t>
        </is>
      </c>
      <c r="E1817" t="n">
        <v>0.0055</v>
      </c>
      <c r="F1817" t="n">
        <v>0.0851</v>
      </c>
      <c r="G1817" t="n">
        <v>0.1339</v>
      </c>
      <c r="H1817" t="inlineStr">
        <is>
          <t>This repository contains backend software components that implement core algorithms used in Sponge API. The function add() performs addition of two numbers and has a time complexity of O(1), indicating constant-time operation regardless of the size of inputs. However, there are other functions with higher complexities such as sorting or searching which may take longer to execute based on input sizes.
Please note</t>
        </is>
      </c>
      <c r="I1817" t="n">
        <v>0.0041</v>
      </c>
      <c r="J1817" t="n">
        <v>0.1644</v>
      </c>
      <c r="K1817" t="n">
        <v>0.3158</v>
      </c>
      <c r="L1817" t="inlineStr">
        <is>
          <t>The provided code is a part of the Sponge API and it's licensed under the MIT License. It provides various functionalities related to game development such as physics simulation, entity management etc. 
 This software allows for free use, modification, distribution, selling, among other things, subject to certain conditions outlined in the license (e.g., including copyright notices</t>
        </is>
      </c>
      <c r="M1817" t="n">
        <v>0.0076</v>
      </c>
      <c r="N1817" t="n">
        <v>0.0606</v>
      </c>
      <c r="O1817" t="n">
        <v>0.2466</v>
      </c>
    </row>
    <row r="1818">
      <c r="A1818" t="inlineStr">
        <is>
          <t>sponge</t>
        </is>
      </c>
      <c r="B1818" t="inlineStr">
        <is>
          <t>src/main/java/org/spongepowered/api/command/CommandExecutor.java</t>
        </is>
      </c>
      <c r="C1818">
        <f>HYPERLINK("https://github.com/SpongePowered/SpongeAPI/blob/master/src/main/java/org/spongepowered/api/command/CommandExecutor.java")</f>
        <v/>
      </c>
      <c r="D1818" t="inlineStr">
        <is>
          <t>```python
# This file is part of Sponge API and licensed under the MIT License (MIT). 
# Copyright (c) SpongePowered https://www.spongepowered.org
# Copyright (c) contributors
# Permission is hereby granted, free of charge, to any person obtaining a copy
# of</t>
        </is>
      </c>
      <c r="E1818" t="n">
        <v>0.0054</v>
      </c>
      <c r="F1818" t="n">
        <v>0.0851</v>
      </c>
      <c r="G1818" t="n">
        <v>0.1327</v>
      </c>
      <c r="H1818" t="inlineStr">
        <is>
          <t>```python
# This file is part of Sponge API, licensed under the MIT License (MIT).
# Copyright (c) 2022 SpongePowered and contributors
# Permission is hereby granted, free of charge, to any person obtaining a copy
# of this software and associated documentation files (the "Software"),</t>
        </is>
      </c>
      <c r="I1818" t="n">
        <v>0.0053</v>
      </c>
      <c r="J1818" t="n">
        <v>0.12</v>
      </c>
      <c r="K1818" t="n">
        <v>0.2675</v>
      </c>
      <c r="L1818" t="inlineStr">
        <is>
          <t>The provided code file is part of Sponge API and it's licensed under the MIT License (MIT). It belongs to Sponge Powered &lt;https://www.spongepowered.org&gt; contributors. Permission is hereby granted, free of charge, to any person obtaining a copy of this software and associated documentation files (the "Software"),</t>
        </is>
      </c>
      <c r="M1818" t="n">
        <v>0.0048</v>
      </c>
      <c r="N1818" t="n">
        <v>0.1034</v>
      </c>
      <c r="O1818" t="n">
        <v>0.2675</v>
      </c>
    </row>
    <row r="1819">
      <c r="A1819" t="inlineStr">
        <is>
          <t>sponge</t>
        </is>
      </c>
      <c r="B1819" t="inlineStr">
        <is>
          <t>src/main/java/org/spongepowered/api/command/manager/package-info.java</t>
        </is>
      </c>
      <c r="C1819">
        <f>HYPERLINK("https://github.com/SpongePowered/SpongeAPI/blob/master/src/main/java/org/spongepowered/api/command/manager/package-info.java")</f>
        <v/>
      </c>
      <c r="D1819" t="inlineStr">
        <is>
          <t>```python
# This file is part of Sponge API and licensed under the MIT License (MIT). 
# Copyright (c) SpongePowered https://www.spongepowered.org
# Copyright (c) contributors
# Permission is hereby granted, free of charge, to any person obtaining a copy
# of</t>
        </is>
      </c>
      <c r="E1819" t="n">
        <v>0.0054</v>
      </c>
      <c r="F1819" t="n">
        <v>0.0851</v>
      </c>
      <c r="G1819" t="n">
        <v>0.1327</v>
      </c>
      <c r="H1819" t="inlineStr">
        <is>
          <t>This repository contains backend software components that implement core algorithms used in Sponge API. The code is licensed under the MIT License (MIT), and it's open for anyone to use, copy, modify, merge, publish, distribute, sublicense, or sell copies of the Software provided there are no restrictions on using this software as long as these conditions are met. This includes but is</t>
        </is>
      </c>
      <c r="I1819" t="n">
        <v>0.0042</v>
      </c>
      <c r="J1819" t="n">
        <v>0.1408</v>
      </c>
      <c r="K1819" t="n">
        <v>0.3182</v>
      </c>
      <c r="L1819" t="inlineStr">
        <is>
          <t>The provided code file is part of the Sponge API and it's licensed under the MIT License (MIT). It contains backend software components developed by contributors to Sponge Powered &lt;https://www.spongepowered.org&gt;. 
 This piece of software allows for free copying, modification, merging, distribution, selling, etc., subject</t>
        </is>
      </c>
      <c r="M1819" t="n">
        <v>0.0055</v>
      </c>
      <c r="N1819" t="n">
        <v>0.07140000000000001</v>
      </c>
      <c r="O1819" t="n">
        <v>0.1724</v>
      </c>
    </row>
    <row r="1820">
      <c r="A1820" t="inlineStr">
        <is>
          <t>sponge</t>
        </is>
      </c>
      <c r="B1820" t="inlineStr">
        <is>
          <t>src/main/java/org/spongepowered/api/command/manager/CommandFailedRegistrationException.java</t>
        </is>
      </c>
      <c r="C1820">
        <f>HYPERLINK("https://github.com/SpongePowered/SpongeAPI/blob/master/src/main/java/org/spongepowered/api/command/manager/CommandFailedRegistrationException.java")</f>
        <v/>
      </c>
      <c r="D1820" t="inlineStr">
        <is>
          <t>This code is part of the Sponge API and it's licensed under the MIT License (MIT). The software can be freely used, copied, modified, merged, published, distributed, sublicensed, sold or otherwise transferred without restriction provided that this notice and permission notices are included in all copies or substantial portions of the Software. 
The software is provided</t>
        </is>
      </c>
      <c r="E1820" t="n">
        <v>0.0043</v>
      </c>
      <c r="F1820" t="n">
        <v>0.09229999999999999</v>
      </c>
      <c r="G1820" t="n">
        <v>0.1563</v>
      </c>
      <c r="H1820" t="inlineStr">
        <is>
          <t>```python
# This file is part of Sponge API, licensed under the MIT License (MIT).
# Copyright (c) SpongePowered &lt;https://www.spongepowered.org&gt; 
# Copyright (c) contributors 
# Permission is hereby granted, free of charge, to any person obtaining a copy</t>
        </is>
      </c>
      <c r="I1820" t="n">
        <v>0.0049</v>
      </c>
      <c r="J1820" t="n">
        <v>0.0444</v>
      </c>
      <c r="K1820" t="n">
        <v>0.09089999999999999</v>
      </c>
      <c r="L1820" t="inlineStr">
        <is>
          <t>The provided code is part of Sponge API and it's licensed under the MIT License. It provides a software component for game development with features like physics simulation, entity system, etc. This code can be used to build games by extending its functionality or modifying existing components as per requirements. 
 Code size is around 1000 lines which includes implementation of</t>
        </is>
      </c>
      <c r="M1820" t="n">
        <v>0.0043</v>
      </c>
      <c r="N1820" t="n">
        <v>0.058</v>
      </c>
      <c r="O1820" t="n">
        <v>0.1894</v>
      </c>
    </row>
    <row r="1821">
      <c r="A1821" t="inlineStr">
        <is>
          <t>sponge</t>
        </is>
      </c>
      <c r="B1821" t="inlineStr">
        <is>
          <t>src/main/java/org/spongepowered/api/command/manager/CommandMapping.java</t>
        </is>
      </c>
      <c r="C1821">
        <f>HYPERLINK("https://github.com/SpongePowered/SpongeAPI/blob/master/src/main/java/org/spongepowered/api/command/manager/CommandMapping.java")</f>
        <v/>
      </c>
      <c r="D1821" t="inlineStr">
        <is>
          <t>```python
# This file is part of Sponge API and licensed under the MIT License (MIT). 
# Copyright (c) SpongePowered &lt;https://www.spongepowered.org&gt; 
# Copyright (c) contributors 
# Permission is hereby granted, free of charge, to any person obtaining a</t>
        </is>
      </c>
      <c r="E1821" t="n">
        <v>0.0058</v>
      </c>
      <c r="F1821" t="n">
        <v>0.08890000000000001</v>
      </c>
      <c r="G1821" t="n">
        <v>0.1364</v>
      </c>
      <c r="H1821" t="inlineStr">
        <is>
          <t>```python
# This file is part of Sponge API, licensed under the MIT License (MIT).
# Copyright (c) 2022 &lt;https://www.spongepowered.org&gt;
# Copyright (c) contributors
# Permission is hereby granted, free of charge, to any person obtaining a copy
# of this</t>
        </is>
      </c>
      <c r="I1821" t="n">
        <v>0.0045</v>
      </c>
      <c r="J1821" t="n">
        <v>0.0426</v>
      </c>
      <c r="K1821" t="n">
        <v>0.0885</v>
      </c>
      <c r="L1821" t="inlineStr">
        <is>
          <t>The provided code file is part of the Sponge API and is licensed under the MIT License (MIT). It's a backend software component used for game development. This software allows users to create their own games by extending its functionality with plugins or mods. 
 The main purpose of this code base appears to be managing entities in a game world which includes players,</t>
        </is>
      </c>
      <c r="M1821" t="n">
        <v>0.0073</v>
      </c>
      <c r="N1821" t="n">
        <v>0.0833</v>
      </c>
      <c r="O1821" t="n">
        <v>0.1481</v>
      </c>
    </row>
    <row r="1822">
      <c r="A1822" t="inlineStr">
        <is>
          <t>sponge</t>
        </is>
      </c>
      <c r="B1822" t="inlineStr">
        <is>
          <t>src/main/java/org/spongepowered/api/command/manager/CommandManager.java</t>
        </is>
      </c>
      <c r="C1822">
        <f>HYPERLINK("https://github.com/SpongePowered/SpongeAPI/blob/master/src/main/java/org/spongepowered/api/command/manager/CommandManager.java")</f>
        <v/>
      </c>
      <c r="D1822" t="inlineStr">
        <is>
          <t>```python
# This file is part of Sponge API and licensed under the MIT License (MIT). 
# Copyright (c) SpongePowered &lt;https://www.spongepowered.org&gt; 
# Copyright (c) contributors 
# Permission is hereby granted, free of charge, to any person obtaining a</t>
        </is>
      </c>
      <c r="E1822" t="n">
        <v>0.0058</v>
      </c>
      <c r="F1822" t="n">
        <v>0.08890000000000001</v>
      </c>
      <c r="G1822" t="n">
        <v>0.1364</v>
      </c>
      <c r="H1822" t="inlineStr">
        <is>
          <t># This file is part of Sponge API and licensed under the MIT License (MIT). 
# Copyright (c) Sponge Powered &lt;https://www.spongepowered.org&gt; 
# Copyright (c) contributors 
# Permission is hereby granted, free of charge, to any person obtaining a copy 
#</t>
        </is>
      </c>
      <c r="I1822" t="n">
        <v>0.0055</v>
      </c>
      <c r="J1822" t="n">
        <v>0.08699999999999999</v>
      </c>
      <c r="K1822" t="n">
        <v>0.1339</v>
      </c>
      <c r="L1822" t="inlineStr">
        <is>
          <t>The provided code is part of the Sponge API and it's licensed under the MIT License (MIT). It's a software component for game development with various functionalities including core algorithms. 
 This repository contains backend software components that are granted free use to any person obtaining a copy of this software along with associated documentation files. However, modifications made in the Software</t>
        </is>
      </c>
      <c r="M1822" t="n">
        <v>0.0042</v>
      </c>
      <c r="N1822" t="n">
        <v>0.0563</v>
      </c>
      <c r="O1822" t="n">
        <v>0.188</v>
      </c>
    </row>
    <row r="1823">
      <c r="A1823" t="inlineStr">
        <is>
          <t>sponge</t>
        </is>
      </c>
      <c r="B1823" t="inlineStr">
        <is>
          <t>src/main/java/org/spongepowered/api/command/selector/SelectorSortAlgorithm.java</t>
        </is>
      </c>
      <c r="C1823">
        <f>HYPERLINK("https://github.com/SpongePowered/SpongeAPI/blob/master/src/main/java/org/spongepowered/api/command/selector/SelectorSortAlgorithm.java")</f>
        <v/>
      </c>
      <c r="D1823" t="inlineStr">
        <is>
          <t>```python
# This file is part of Sponge API licensed under the MIT License (MIT).
# Copyright (c) 2014-2016 SpongePowered &lt;http://www.spongepowered.org&gt;
# Copyright (c) contributors
# Permission is hereby granted, free of charge,</t>
        </is>
      </c>
      <c r="E1823" t="n">
        <v>0.0056</v>
      </c>
      <c r="F1823" t="n">
        <v>0.0488</v>
      </c>
      <c r="G1823" t="n">
        <v>0.09520000000000001</v>
      </c>
      <c r="H1823" t="inlineStr">
        <is>
          <t>```python
# This file is part of Sponge API, licensed under the MIT License (MIT). 
# Copyright (c) SpongePowered &lt;https://www.spongepowered.org&gt; 
# Copyright (c) contributors 
# Permission is hereby granted, free of charge, to any person obtaining a</t>
        </is>
      </c>
      <c r="I1823" t="n">
        <v>0.005</v>
      </c>
      <c r="J1823" t="n">
        <v>0.0455</v>
      </c>
      <c r="K1823" t="n">
        <v>0.0917</v>
      </c>
      <c r="L1823" t="inlineStr">
        <is>
          <t>```python
# This file is part of Sponge API, licensed under the MIT License (MIT). 
# Copyright (c) Sponge Powered &lt;https://www.spongepowered.org&gt; 
# Copyright (c) contributors
# Permission is hereby granted, free of charge, to any person obtaining a copy 
#</t>
        </is>
      </c>
      <c r="M1823" t="n">
        <v>0.0046</v>
      </c>
      <c r="N1823" t="n">
        <v>0.0435</v>
      </c>
      <c r="O1823" t="n">
        <v>0.0893</v>
      </c>
    </row>
    <row r="1824">
      <c r="A1824" t="inlineStr">
        <is>
          <t>sponge</t>
        </is>
      </c>
      <c r="B1824" t="inlineStr">
        <is>
          <t>src/main/java/org/spongepowered/api/command/selector/package-info.java</t>
        </is>
      </c>
      <c r="C1824">
        <f>HYPERLINK("https://github.com/SpongePowered/SpongeAPI/blob/master/src/main/java/org/spongepowered/api/command/selector/package-info.java")</f>
        <v/>
      </c>
      <c r="D1824" t="inlineStr">
        <is>
          <t>```python
# This file is part of Sponge API and licensed under the MIT License (MIT). 
# Copyright (c) SpongePowered &lt;https://www.spongepowered.org&gt; 
# Copyright (c) contributors 
# Permission is hereby granted, free of charge, to any person obtaining a</t>
        </is>
      </c>
      <c r="E1824" t="n">
        <v>0.0058</v>
      </c>
      <c r="F1824" t="n">
        <v>0.08890000000000001</v>
      </c>
      <c r="G1824" t="n">
        <v>0.1364</v>
      </c>
      <c r="H1824" t="inlineStr">
        <is>
          <t>```python
# This file is part of Sponge API, licensed under the MIT License (MIT).
# Copyright (c) 2014-2020 SpongePowered and Contributors
# Permission is hereby granted, free of charge, to any person obtaining a copy
# of this software and associated documentation files</t>
        </is>
      </c>
      <c r="I1824" t="n">
        <v>0.0055</v>
      </c>
      <c r="J1824" t="n">
        <v>0.1224</v>
      </c>
      <c r="K1824" t="n">
        <v>0.2721</v>
      </c>
      <c r="L1824" t="inlineStr">
        <is>
          <t>The provided code file is a part of the Sponge API and it's licensed under the MIT License (MIT). It belongs to Sponge Powered &lt;https://www.spongepowered.org&gt;. This software can be freely used for any purpose, including commercial use, as long as proper credit is given in accordance with the license conditions stated above.</t>
        </is>
      </c>
      <c r="M1824" t="n">
        <v>0.008200000000000001</v>
      </c>
      <c r="N1824" t="n">
        <v>0.0625</v>
      </c>
      <c r="O1824" t="n">
        <v>0.2545</v>
      </c>
    </row>
    <row r="1825">
      <c r="A1825" t="inlineStr">
        <is>
          <t>sponge</t>
        </is>
      </c>
      <c r="B1825" t="inlineStr">
        <is>
          <t>src/main/java/org/spongepowered/api/command/selector/SelectorSortAlgorithms.java</t>
        </is>
      </c>
      <c r="C1825">
        <f>HYPERLINK("https://github.com/SpongePowered/SpongeAPI/blob/master/src/main/java/org/spongepowered/api/command/selector/SelectorSortAlgorithms.java")</f>
        <v/>
      </c>
      <c r="D1825" t="inlineStr">
        <is>
          <t>```python
# This file is part of Sponge API and licensed under the MIT License (MIT). 
# Copyright (c) SpongePowered &lt;https://www.spongepowered.org&gt; 
# Copyright (c) contributors 
# Permission is hereby granted, free of charge, to any person obtaining a</t>
        </is>
      </c>
      <c r="E1825" t="n">
        <v>0.0058</v>
      </c>
      <c r="F1825" t="n">
        <v>0.08890000000000001</v>
      </c>
      <c r="G1825" t="n">
        <v>0.1364</v>
      </c>
      <c r="H1825" t="inlineStr">
        <is>
          <t>```python
# This file is part of Sponge API, licensed under the MIT License (MIT).
# Copyright (c) 2022 SpongePowered &lt;https://www.spongepowered.org&gt;
# Copyright (c) contributors
# Permission is hereby granted, free of charge, to any person</t>
        </is>
      </c>
      <c r="I1825" t="n">
        <v>0.0052</v>
      </c>
      <c r="J1825" t="n">
        <v>0.0465</v>
      </c>
      <c r="K1825" t="n">
        <v>0.0926</v>
      </c>
      <c r="L1825" t="inlineStr">
        <is>
          <t>The provided code file is part of Sponge API and it's licensed under the MIT License (MIT). It belongs to a software component that allows for game development in Minecraft servers. 
 This piece of code appears to be an implementation of core algorithms related to game mechanics such as collision detection or pathfinding. Its main purpose seems to be handling interactions between entities</t>
        </is>
      </c>
      <c r="M1825" t="n">
        <v>0.0041</v>
      </c>
      <c r="N1825" t="n">
        <v>0.0833</v>
      </c>
      <c r="O1825" t="n">
        <v>0.2222</v>
      </c>
    </row>
    <row r="1826">
      <c r="A1826" t="inlineStr">
        <is>
          <t>sponge</t>
        </is>
      </c>
      <c r="B1826" t="inlineStr">
        <is>
          <t>src/main/java/org/spongepowered/api/command/selector/Selector.java</t>
        </is>
      </c>
      <c r="C1826">
        <f>HYPERLINK("https://github.com/SpongePowered/SpongeAPI/blob/master/src/main/java/org/spongepowered/api/command/selector/Selector.java")</f>
        <v/>
      </c>
      <c r="D1826" t="inlineStr">
        <is>
          <t># This code is part of Sponge API and licensed under the MIT License (MIT), which allows free use, modification, distribution etc., subject to certain conditions as stated in the license file. The software provided here is "AS IS". It provides core algorithms for implementing game mechanics such as physics calculations or AI behavior. Its complexity is O(N), indicating linear time efficiency where</t>
        </is>
      </c>
      <c r="E1826" t="n">
        <v>0.0041</v>
      </c>
      <c r="F1826" t="n">
        <v>0.08450000000000001</v>
      </c>
      <c r="G1826" t="n">
        <v>0.2222</v>
      </c>
      <c r="H1826" t="inlineStr">
        <is>
          <t># This file is part of Sponge API, licensed under the MIT License (MIT).
# Copyright (c) 2014-2016 SpongePowered &lt;http://www.spongepowered.org&gt;
# Copyright (c) contributors
# Permission is hereby granted, free of charge, to any</t>
        </is>
      </c>
      <c r="I1826" t="n">
        <v>0.0055</v>
      </c>
      <c r="J1826" t="n">
        <v>0.0476</v>
      </c>
      <c r="K1826" t="n">
        <v>0.09429999999999999</v>
      </c>
      <c r="L1826" t="inlineStr">
        <is>
          <t>```python
# This file is part of Sponge API, licensed under the MIT License (MIT). 
# Copyright (c) Sponge Powered &lt;https://www.spongepowered.org&gt; 
# Copyright (c) contributors 
# Permission is hereby granted, free of charge, to any person obtaining a copy</t>
        </is>
      </c>
      <c r="M1826" t="n">
        <v>0.0047</v>
      </c>
      <c r="N1826" t="n">
        <v>0.0435</v>
      </c>
      <c r="O1826" t="n">
        <v>0.0901</v>
      </c>
    </row>
    <row r="1827">
      <c r="A1827" t="inlineStr">
        <is>
          <t>sponge</t>
        </is>
      </c>
      <c r="B1827" t="inlineStr">
        <is>
          <t>src/main/java/org/spongepowered/api/command/selector/SelectorTypes.java</t>
        </is>
      </c>
      <c r="C1827">
        <f>HYPERLINK("https://github.com/SpongePowered/SpongeAPI/blob/master/src/main/java/org/spongepowered/api/command/selector/SelectorTypes.java")</f>
        <v/>
      </c>
      <c r="D1827" t="inlineStr">
        <is>
          <t>```python
# This file is part of Sponge API and licensed under the MIT License (MIT)
# Copyright (c) 2018-2023 SpongePowered &lt;https://www.spongepowered.org&gt; 
# Copyright (c) contributors
# Permission is hereby granted, free of</t>
        </is>
      </c>
      <c r="E1827" t="n">
        <v>0.0067</v>
      </c>
      <c r="F1827" t="n">
        <v>0.09760000000000001</v>
      </c>
      <c r="G1827" t="n">
        <v>0.1429</v>
      </c>
      <c r="H1827" t="inlineStr">
        <is>
          <t>```python
# This file is part of SpongeAPI, licensed under the MIT License (MIT).
# Copyright (c) 2022 SpongePowered
# https://www.spongepowered.org
# Copyright (c) contributors
# Permission is hereby granted, free of charge, to any person obtaining</t>
        </is>
      </c>
      <c r="I1827" t="n">
        <v>0.005</v>
      </c>
      <c r="J1827" t="n">
        <v>0.0465</v>
      </c>
      <c r="K1827" t="n">
        <v>0.0917</v>
      </c>
      <c r="L1827" t="inlineStr">
        <is>
          <t># This file is part of Sponge API and it's licensed under the MIT License (MIT). 
# Copyright (c) Sponge Powered &lt;https://www.spongepowered.org&gt; 
# Copyright (c) contributors 
# Permission is hereby granted, free of charge, to any person obtaining a copy</t>
        </is>
      </c>
      <c r="M1827" t="n">
        <v>0.0055</v>
      </c>
      <c r="N1827" t="n">
        <v>0.0833</v>
      </c>
      <c r="O1827" t="n">
        <v>0.1339</v>
      </c>
    </row>
    <row r="1828">
      <c r="A1828" t="inlineStr">
        <is>
          <t>sponge</t>
        </is>
      </c>
      <c r="B1828" t="inlineStr">
        <is>
          <t>src/main/java/org/spongepowered/api/command/selector/SelectorType.java</t>
        </is>
      </c>
      <c r="C1828">
        <f>HYPERLINK("https://github.com/SpongePowered/SpongeAPI/blob/master/src/main/java/org/spongepowered/api/command/selector/SelectorType.java")</f>
        <v/>
      </c>
      <c r="D1828" t="inlineStr">
        <is>
          <t># This file is part of Sponge API and licensed under the MIT License (MIT).
# Copyright (c) 2014-2016 SpongePowered &lt;http://www.spongepowered.org&gt;
# Copyright (c) contributors
# Permission is hereby granted, free of charge, to any person</t>
        </is>
      </c>
      <c r="E1828" t="n">
        <v>0.0061</v>
      </c>
      <c r="F1828" t="n">
        <v>0.09089999999999999</v>
      </c>
      <c r="G1828" t="n">
        <v>0.1389</v>
      </c>
      <c r="H1828" t="inlineStr">
        <is>
          <t>```python
# This file is part of Sponge API, licensed under the MIT License (MIT).
# Copyright (c) 2022-present SpongePowered
# https://www.spongepowered.org
# Contributors are not listed here as per their contribution guidelines.
"""
    Permission is</t>
        </is>
      </c>
      <c r="I1828" t="n">
        <v>0.0052</v>
      </c>
      <c r="J1828" t="n">
        <v>0.0465</v>
      </c>
      <c r="K1828" t="n">
        <v>0.0926</v>
      </c>
      <c r="L1828" t="inlineStr">
        <is>
          <t>The provided code file is part of the Sponge API and it's licensed under the MIT License (MIT). It's a backend software component for game development in Java. This repository contains various algorithms used by Sponge to handle different aspects such as physics calculations, entity interactions etc. 
 The main purpose of this code base seems to be implementing core algorithms</t>
        </is>
      </c>
      <c r="M1828" t="n">
        <v>0.0043</v>
      </c>
      <c r="N1828" t="n">
        <v>0.0857</v>
      </c>
      <c r="O1828" t="n">
        <v>0.323</v>
      </c>
    </row>
    <row r="1829">
      <c r="A1829" t="inlineStr">
        <is>
          <t>sponge</t>
        </is>
      </c>
      <c r="B1829" t="inlineStr">
        <is>
          <t>src/main/java/org/spongepowered/api/command/registrar/CommandRegistrarType.java</t>
        </is>
      </c>
      <c r="C1829">
        <f>HYPERLINK("https://github.com/SpongePowered/SpongeAPI/blob/master/src/main/java/org/spongepowered/api/command/registrar/CommandRegistrarType.java")</f>
        <v/>
      </c>
      <c r="D1829" t="inlineStr">
        <is>
          <t>```python
# This file is part of Sponge API and licensed under the MIT License (MIT). 
# Copyright (c) SpongePowered &lt;https://www.spongepowered.org&gt; 
# Copyright (c) contributors  
# Permission is hereby granted, free of charge, to any person obtaining a copy 
#</t>
        </is>
      </c>
      <c r="E1829" t="n">
        <v>0.0055</v>
      </c>
      <c r="F1829" t="n">
        <v>0.08699999999999999</v>
      </c>
      <c r="G1829" t="n">
        <v>0.1339</v>
      </c>
      <c r="H1829" t="inlineStr">
        <is>
          <t>This code is a simple function for addition of two numbers in Python. It takes two parameters 'a' and 'b', adds them together and returns the result. The time complexity of this operation is O(1), meaning it performs a fixed number of operations regardless of input size.
In terms of functionality, this code provides an implementation of basic arithmetic operation which can be used to</t>
        </is>
      </c>
      <c r="I1829" t="n">
        <v>0.0033</v>
      </c>
      <c r="J1829" t="n">
        <v>0.08110000000000001</v>
      </c>
      <c r="K1829" t="n">
        <v>0.146</v>
      </c>
      <c r="L1829" t="inlineStr">
        <is>
          <t>This code file is part of the Sponge API and it's licensed under the MIT License (MIT). It provides backend software components for a game engine called "Sponge". The purpose of this code is to implement core algorithms that are used in various parts of the game including physics calculations, rendering graphics, managing entities etc. 
 Inputs include data structures</t>
        </is>
      </c>
      <c r="M1829" t="n">
        <v>0.0044</v>
      </c>
      <c r="N1829" t="n">
        <v>0.1176</v>
      </c>
      <c r="O1829" t="n">
        <v>0.3255</v>
      </c>
    </row>
    <row r="1830">
      <c r="A1830" t="inlineStr">
        <is>
          <t>sponge</t>
        </is>
      </c>
      <c r="B1830" t="inlineStr">
        <is>
          <t>src/main/java/org/spongepowered/api/command/registrar/package-info.java</t>
        </is>
      </c>
      <c r="C1830">
        <f>HYPERLINK("https://github.com/SpongePowered/SpongeAPI/blob/master/src/main/java/org/spongepowered/api/command/registrar/package-info.java")</f>
        <v/>
      </c>
      <c r="D1830" t="inlineStr">
        <is>
          <t>```python
# This file is part of Sponge API and licensed under the MIT License (MIT). 
# Copyright (c) Sponge Powered &lt;https://www.spongepowered.org&gt; 
# Copyright (c) contributors 
# Permission is hereby granted, free of charge, to any person obtaining a copy</t>
        </is>
      </c>
      <c r="E1830" t="n">
        <v>0.0055</v>
      </c>
      <c r="F1830" t="n">
        <v>0.0851</v>
      </c>
      <c r="G1830" t="n">
        <v>0.1339</v>
      </c>
      <c r="H1830" t="inlineStr">
        <is>
          <t>```python
# This file is part of Sponge API, licensed under the MIT License (MIT). 
# Copyright (c) SpongePowered &lt;https://www.spongepowered.org&gt; 
# Copyright (c) contributors 
# Permission is hereby granted, free of charge, to any person obtaining a</t>
        </is>
      </c>
      <c r="I1830" t="n">
        <v>0.005</v>
      </c>
      <c r="J1830" t="n">
        <v>0.0455</v>
      </c>
      <c r="K1830" t="n">
        <v>0.0917</v>
      </c>
      <c r="L1830" t="inlineStr">
        <is>
          <t>The provided code file is part of the Sponge API and it's licensed under the MIT License (MIT). It contains backend software components that are used to power a game engine called "Sponge". This repository also includes comments explaining how certain parts of the implementation work but does not repeat them directly in this summary. 
 The main purpose of this code base</t>
        </is>
      </c>
      <c r="M1830" t="n">
        <v>0.0039</v>
      </c>
      <c r="N1830" t="n">
        <v>0.0563</v>
      </c>
      <c r="O1830" t="n">
        <v>0.1866</v>
      </c>
    </row>
    <row r="1831">
      <c r="A1831" t="inlineStr">
        <is>
          <t>sponge</t>
        </is>
      </c>
      <c r="B1831" t="inlineStr">
        <is>
          <t>src/main/java/org/spongepowered/api/command/registrar/CommandRegistrar.java</t>
        </is>
      </c>
      <c r="C1831">
        <f>HYPERLINK("https://github.com/SpongePowered/SpongeAPI/blob/master/src/main/java/org/spongepowered/api/command/registrar/CommandRegistrar.java")</f>
        <v/>
      </c>
      <c r="D1831" t="inlineStr">
        <is>
          <t>```plaintext
This code is part of the Sponge API and it's licensed under the MIT License (MIT). 
It was originally written by contributors to the project at https://github.com/SpongePowered/. The software can be freely used, copied, modified, merged, published, distributed, sublicensed or sold as long</t>
        </is>
      </c>
      <c r="E1831" t="n">
        <v>0.0055</v>
      </c>
      <c r="F1831" t="n">
        <v>0.07140000000000001</v>
      </c>
      <c r="G1831" t="n">
        <v>0.1724</v>
      </c>
      <c r="H1831" t="inlineStr">
        <is>
          <t>The provided code is a simple function for addition of two numbers in Python. It takes two parameters 'a' and 'b', adds them together and returns the result. The time complexity of this operation is O(1), meaning it performs a fixed number of operations regardless of input size.
In summary, this code does not repeat any lines or blocks of code, follows standard python convent</t>
        </is>
      </c>
      <c r="I1831" t="n">
        <v>0.0028</v>
      </c>
      <c r="J1831" t="n">
        <v>0.0541</v>
      </c>
      <c r="K1831" t="n">
        <v>0.1095</v>
      </c>
      <c r="L1831" t="inlineStr">
        <is>
          <t>The provided code file is part of the Sponge API and it's licensed under the MIT License (MIT). It belongs to a software component that provides backend functionality for games like Minecraft. 
 This particular piece of code appears to be implementing core algorithms related to game mechanics such as physics calculations or entity interactions within the game environment. Its main purpose seems to be managing</t>
        </is>
      </c>
      <c r="M1831" t="n">
        <v>0.0042</v>
      </c>
      <c r="N1831" t="n">
        <v>0.08110000000000001</v>
      </c>
      <c r="O1831" t="n">
        <v>0.3112</v>
      </c>
    </row>
    <row r="1832">
      <c r="A1832" t="inlineStr">
        <is>
          <t>sponge</t>
        </is>
      </c>
      <c r="B1832" t="inlineStr">
        <is>
          <t>src/main/java/org/spongepowered/api/command/registrar/tree/package-info.java</t>
        </is>
      </c>
      <c r="C1832">
        <f>HYPERLINK("https://github.com/SpongePowered/SpongeAPI/blob/master/src/main/java/org/spongepowered/api/command/registrar/tree/package-info.java")</f>
        <v/>
      </c>
      <c r="D1832" t="inlineStr">
        <is>
          <t>Certainly, the provided code is part of Sponge API and it's licensed under MIT License (MIT), which allows anyone to obtain a copy of this software and associated documentation files without restriction, including the right to use, copy, modify, merge, publish, distribute, sublicense, sell copies of the Software, and permit persons to whom the Software is furnished to do</t>
        </is>
      </c>
      <c r="E1832" t="n">
        <v>0.0037</v>
      </c>
      <c r="F1832" t="n">
        <v>0.0882</v>
      </c>
      <c r="G1832" t="n">
        <v>0.1527</v>
      </c>
      <c r="H1832" t="inlineStr">
        <is>
          <t>```python
# This file is part of Sponge API, licensed under the MIT License (MIT).
# Copyright (c) 2022 SpongePowered &lt;https://www.spongepowered.org&gt;
# Copyright (c) contributors
# Permission is hereby granted, free of charge, to any person</t>
        </is>
      </c>
      <c r="I1832" t="n">
        <v>0.0052</v>
      </c>
      <c r="J1832" t="n">
        <v>0.0465</v>
      </c>
      <c r="K1832" t="n">
        <v>0.0926</v>
      </c>
      <c r="L1832" t="inlineStr">
        <is>
          <t># This file is part of the Sponge API and licensed under the MIT License (MIT). 
# Copyright (c) Sponge Powered &lt;https://www.spongepowered.org&gt; 
# Copyright (c) contributors 
# Permission is hereby granted, free of charge, to any person obtaining a copy 
# of</t>
        </is>
      </c>
      <c r="M1832" t="n">
        <v>0.0052</v>
      </c>
      <c r="N1832" t="n">
        <v>0.0833</v>
      </c>
      <c r="O1832" t="n">
        <v>0.1316</v>
      </c>
    </row>
    <row r="1833">
      <c r="A1833" t="inlineStr">
        <is>
          <t>sponge</t>
        </is>
      </c>
      <c r="B1833" t="inlineStr">
        <is>
          <t>src/main/java/org/spongepowered/api/command/registrar/tree/CommandTreeNodeTypes.java</t>
        </is>
      </c>
      <c r="C1833">
        <f>HYPERLINK("https://github.com/SpongePowered/SpongeAPI/blob/master/src/main/java/org/spongepowered/api/command/registrar/tree/CommandTreeNodeTypes.java")</f>
        <v/>
      </c>
      <c r="D1833" t="inlineStr">
        <is>
          <t>```python
# This file is part of Sponge API and licensed under the MIT License (MIT). 
# Copyright (c) Sponge Powered &lt;https://www.spongepowered.org&gt; 
# Copyright (c) contributors
# Permission is hereby granted, free of charge, to any person obtaining a copy</t>
        </is>
      </c>
      <c r="E1833" t="n">
        <v>0.0055</v>
      </c>
      <c r="F1833" t="n">
        <v>0.0851</v>
      </c>
      <c r="G1833" t="n">
        <v>0.1339</v>
      </c>
      <c r="H1833" t="inlineStr">
        <is>
          <t>```python
# This file is part of Sponge API, licensed under the MIT License (MIT). 
# Copyright (c) SpongePowered &lt;https://www.spongepowered.org&gt; 
# Copyright (c) contributors 
# Permission is hereby granted, free of charge, to any person obtaining a</t>
        </is>
      </c>
      <c r="I1833" t="n">
        <v>0.005</v>
      </c>
      <c r="J1833" t="n">
        <v>0.0455</v>
      </c>
      <c r="K1833" t="n">
        <v>0.0917</v>
      </c>
      <c r="L1833" t="inlineStr">
        <is>
          <t>The provided code file is part of Sponge API and it's licensed under the MIT License (MIT). 
    It contains backend software components for a game engine named "Sponge". This component implements core algorithms related to entity management in this game engine. However, without context or specific details about what these entities are, we can only infer that they might</t>
        </is>
      </c>
      <c r="M1833" t="n">
        <v>0.008200000000000001</v>
      </c>
      <c r="N1833" t="n">
        <v>0.0882</v>
      </c>
      <c r="O1833" t="n">
        <v>0.3255</v>
      </c>
    </row>
    <row r="1834">
      <c r="A1834" t="inlineStr">
        <is>
          <t>sponge</t>
        </is>
      </c>
      <c r="B1834" t="inlineStr">
        <is>
          <t>src/main/java/org/spongepowered/api/command/registrar/tree/CommandTreeNodeType.java</t>
        </is>
      </c>
      <c r="C1834">
        <f>HYPERLINK("https://github.com/SpongePowered/SpongeAPI/blob/master/src/main/java/org/spongepowered/api/command/registrar/tree/CommandTreeNodeType.java")</f>
        <v/>
      </c>
      <c r="D1834" t="inlineStr">
        <is>
          <t># This code is part of Sponge API and licensed under the MIT License (MIT). 
# Copyright (c) SpongePowered https://www.spongepowered.org
# Copyright (c) contributors
# Permission is hereby granted, free of charge, to any person obtaining a copy
# of this software and associated documentation</t>
        </is>
      </c>
      <c r="E1834" t="n">
        <v>0.0054</v>
      </c>
      <c r="F1834" t="n">
        <v>0.1176</v>
      </c>
      <c r="G1834" t="n">
        <v>0.2698</v>
      </c>
      <c r="H1834" t="inlineStr">
        <is>
          <t>The provided code is a function named `add` that takes two parameters (numbers), adds them together and returns the result. This operation has a time complexity of O(1), meaning it always executes in constant time regardless of input size.
It's part of Sponge API licensed under MIT License, which allows anyone to use, copy, modify, merge, publish</t>
        </is>
      </c>
      <c r="I1834" t="n">
        <v>0.0038</v>
      </c>
      <c r="J1834" t="n">
        <v>0.0597</v>
      </c>
      <c r="K1834" t="n">
        <v>0.1163</v>
      </c>
      <c r="L1834" t="inlineStr">
        <is>
          <t>The provided code file is part of the Sponge API and it's licensed under the MIT License (MIT). It belongs to Sponge Powered &lt;https://www.spongepowered.org&gt;. The copyright notice for contributors can be found in this repository. 
The purpose of this software is to provide a backend framework that allows developers to</t>
        </is>
      </c>
      <c r="M1834" t="n">
        <v>0.0044</v>
      </c>
      <c r="N1834" t="n">
        <v>0.0645</v>
      </c>
      <c r="O1834" t="n">
        <v>0.2587</v>
      </c>
    </row>
    <row r="1835">
      <c r="A1835" t="inlineStr">
        <is>
          <t>sponge</t>
        </is>
      </c>
      <c r="B1835" t="inlineStr">
        <is>
          <t>src/main/java/org/spongepowered/api/command/registrar/tree/CommandCompletionProvider.java</t>
        </is>
      </c>
      <c r="C1835">
        <f>HYPERLINK("https://github.com/SpongePowered/SpongeAPI/blob/master/src/main/java/org/spongepowered/api/command/registrar/tree/CommandCompletionProvider.java")</f>
        <v/>
      </c>
      <c r="D1835" t="inlineStr">
        <is>
          <t>```python
# This file is part of Sponge API and licensed under the MIT License (MIT). 
# Copyright (c) SpongePowered https://www.spongepowered.org
# Copyright (c) contributors
# Permission is hereby granted, free of charge, to any person obtaining a copy 
#</t>
        </is>
      </c>
      <c r="E1835" t="n">
        <v>0.0055</v>
      </c>
      <c r="F1835" t="n">
        <v>0.08699999999999999</v>
      </c>
      <c r="G1835" t="n">
        <v>0.1339</v>
      </c>
      <c r="H1835" t="inlineStr">
        <is>
          <t>```python
# This file is part of Sponge API, licensed under the MIT License (MIT).
# Copyright (c) 2022 SpongePowered
# https://www.spongepowered.org
# Copyright (c) contributors
# Permission is hereby granted, free of charge, to any person obtaining</t>
        </is>
      </c>
      <c r="I1835" t="n">
        <v>0.0049</v>
      </c>
      <c r="J1835" t="n">
        <v>0.0455</v>
      </c>
      <c r="K1835" t="n">
        <v>0.09089999999999999</v>
      </c>
      <c r="L1835" t="inlineStr">
        <is>
          <t>The provided code file is part of the Sponge API and it's licensed under the MIT License (MIT). 
 It provides backend software components for a game engine called Sponge. This component implements core algorithms to manage entities in a game world. 
 The main purpose of this code is to handle interactions between different types of entities such as players, mobs</t>
        </is>
      </c>
      <c r="M1835" t="n">
        <v>0.0081</v>
      </c>
      <c r="N1835" t="n">
        <v>0.08699999999999999</v>
      </c>
      <c r="O1835" t="n">
        <v>0.323</v>
      </c>
    </row>
    <row r="1836">
      <c r="A1836" t="inlineStr">
        <is>
          <t>sponge</t>
        </is>
      </c>
      <c r="B1836" t="inlineStr">
        <is>
          <t>src/main/java/org/spongepowered/api/command/registrar/tree/CommandCompletionProviders.java</t>
        </is>
      </c>
      <c r="C1836">
        <f>HYPERLINK("https://github.com/SpongePowered/SpongeAPI/blob/master/src/main/java/org/spongepowered/api/command/registrar/tree/CommandCompletionProviders.java")</f>
        <v/>
      </c>
      <c r="D1836" t="inlineStr">
        <is>
          <t>## This file is part of Sponge API and licensed under the MIT License (MIT). 
# Copyright (c) SpongePowered &lt;https://www.spongepowered.org&gt; 
# Copyright (c) contributors 
# Permission is hereby granted, free of charge, to any person obtaining a copy 
# of this</t>
        </is>
      </c>
      <c r="E1836" t="n">
        <v>0.0054</v>
      </c>
      <c r="F1836" t="n">
        <v>0.0851</v>
      </c>
      <c r="G1836" t="n">
        <v>0.1327</v>
      </c>
      <c r="H1836" t="inlineStr">
        <is>
          <t>```python
# This function takes two numbers as input and returns their sum. 
# The time complexity of this operation is O(1), which means it always executes in the same amount of time regardless of the size of the inputs.
def add(a, b):
    return a + b
```
In summary, this code defines an addition</t>
        </is>
      </c>
      <c r="I1836" t="n">
        <v>0.004</v>
      </c>
      <c r="J1836" t="n">
        <v>0.0984</v>
      </c>
      <c r="K1836" t="n">
        <v>0.1181</v>
      </c>
      <c r="L1836" t="inlineStr">
        <is>
          <t>The provided code is part of the Sponge API and it's licensed under the MIT License (MIT). It's a software component for game development with an emphasis on extensibility and modding. This file contains copyright notices indicating that this software can be freely used, modified, merged, published, distributed, sublicensed, and sold as long as certain conditions</t>
        </is>
      </c>
      <c r="M1836" t="n">
        <v>0.0043</v>
      </c>
      <c r="N1836" t="n">
        <v>0.09089999999999999</v>
      </c>
      <c r="O1836" t="n">
        <v>0.2466</v>
      </c>
    </row>
    <row r="1837">
      <c r="A1837" t="inlineStr">
        <is>
          <t>sponge</t>
        </is>
      </c>
      <c r="B1837" t="inlineStr">
        <is>
          <t>src/main/java/org/spongepowered/api/command/registrar/tree/CommandTreeNode.java</t>
        </is>
      </c>
      <c r="C1837">
        <f>HYPERLINK("https://github.com/SpongePowered/SpongeAPI/blob/master/src/main/java/org/spongepowered/api/command/registrar/tree/CommandTreeNode.java")</f>
        <v/>
      </c>
      <c r="D1837" t="inlineStr">
        <is>
          <t># This file is part of Sponge API and licensed under the MIT License (MIT). 
# Copyright (c) SpongePowered https://www.spongepowered.org
# Copyright (c) contributors
# Permission is hereby granted, free of charge, to any person obtaining a copy
# of this software and associated documentation</t>
        </is>
      </c>
      <c r="E1837" t="n">
        <v>0.0054</v>
      </c>
      <c r="F1837" t="n">
        <v>0.1176</v>
      </c>
      <c r="G1837" t="n">
        <v>0.2698</v>
      </c>
      <c r="H1837" t="inlineStr">
        <is>
          <t>```python
# This file is part of Sponge API, licensed under the MIT License (MIT)
# Copyright (c) 2022-present Sponge Powered &lt;https://www.spongepowered.org&gt;
# Copyright (c) contributors
# Permission is hereby granted, free of charge, to any person</t>
        </is>
      </c>
      <c r="I1837" t="n">
        <v>0.005</v>
      </c>
      <c r="J1837" t="n">
        <v>0.0444</v>
      </c>
      <c r="K1837" t="n">
        <v>0.0917</v>
      </c>
      <c r="L1837" t="inlineStr">
        <is>
          <t>```python
# This file is part of Sponge API, licensed under the MIT License (MIT). 
# Copyright (c) Sponge Powered &lt;https://www.spongepowered.org&gt; 
# Copyright (c) contributors 
# Permission is hereby granted, free of charge, to any person obtaining a copy</t>
        </is>
      </c>
      <c r="M1837" t="n">
        <v>0.0047</v>
      </c>
      <c r="N1837" t="n">
        <v>0.0435</v>
      </c>
      <c r="O1837" t="n">
        <v>0.0901</v>
      </c>
    </row>
    <row r="1838">
      <c r="A1838" t="inlineStr">
        <is>
          <t>sponge</t>
        </is>
      </c>
      <c r="B1838" t="inlineStr">
        <is>
          <t>src/main/java/org/spongepowered/api/command/parameter/package-info.java</t>
        </is>
      </c>
      <c r="C1838">
        <f>HYPERLINK("https://github.com/SpongePowered/SpongeAPI/blob/master/src/main/java/org/spongepowered/api/command/parameter/package-info.java")</f>
        <v/>
      </c>
      <c r="D1838" t="inlineStr">
        <is>
          <t>```python
# This file is part of Sponge API and licensed under the MIT License (MIT). 
# Copyright (c) SpongePowered &lt;https://www.spongepowered.org&gt; 
# Copyright (c) contributors 
# Permission is hereby granted, free of charge, to any person obtaining a</t>
        </is>
      </c>
      <c r="E1838" t="n">
        <v>0.0058</v>
      </c>
      <c r="F1838" t="n">
        <v>0.08890000000000001</v>
      </c>
      <c r="G1838" t="n">
        <v>0.1364</v>
      </c>
      <c r="H1838" t="inlineStr">
        <is>
          <t>This repository contains backend software components. The function 'add' performs addition of two numbers and the complexity is O(1), indicating constant time operation irrespective of input size. It does not contain any loops or recursive calls which makes it suitable for large inputs too.
# Sponge API README Summary
## Overview
This file is part of Spon</t>
        </is>
      </c>
      <c r="I1838" t="n">
        <v>0.0042</v>
      </c>
      <c r="J1838" t="n">
        <v>0.125</v>
      </c>
      <c r="K1838" t="n">
        <v>0.155</v>
      </c>
      <c r="L1838" t="inlineStr">
        <is>
          <t>This file is part of the Sponge API and is licensed under the MIT License (MIT). 
 Copyright (c) Sponge Powered &lt;https://www.spongepowered.org&gt; 
 Copyright (c) contributors 
 Permission is hereby granted, free of charge, to any person obtaining a copy of this software and associated documentation files</t>
        </is>
      </c>
      <c r="M1838" t="n">
        <v>0.0055</v>
      </c>
      <c r="N1838" t="n">
        <v>0.1091</v>
      </c>
      <c r="O1838" t="n">
        <v>0.2721</v>
      </c>
    </row>
    <row r="1839">
      <c r="A1839" t="inlineStr">
        <is>
          <t>sponge</t>
        </is>
      </c>
      <c r="B1839" t="inlineStr">
        <is>
          <t>src/main/java/org/spongepowered/api/command/parameter/Parameter.java</t>
        </is>
      </c>
      <c r="C1839">
        <f>HYPERLINK("https://github.com/SpongePowered/SpongeAPI/blob/master/src/main/java/org/spongepowered/api/command/parameter/Parameter.java")</f>
        <v/>
      </c>
      <c r="D1839" t="inlineStr">
        <is>
          <t>```python
# This file is part of Sponge API and licensed under the MIT License (MIT).
# Copyright (c) 2023 Sponge Powered &lt;https://www.spongepowered.org&gt;
# Copyright (c) contributors
# Permission is hereby granted, free of charge, to any person obtaining a</t>
        </is>
      </c>
      <c r="E1839" t="n">
        <v>0.0055</v>
      </c>
      <c r="F1839" t="n">
        <v>0.0851</v>
      </c>
      <c r="G1839" t="n">
        <v>0.1339</v>
      </c>
      <c r="H1839" t="inlineStr">
        <is>
          <t>This repository contains backend software components that implement core algorithms for various tasks such as addition of numbers in a list. The complexity is O(n), where n represents the number of elements in the input list. This means that with an increase in size of the input list, the time taken to execute will linearly increase.
Please note that this code is part of Sponge API licensed under</t>
        </is>
      </c>
      <c r="I1839" t="n">
        <v>0.0035</v>
      </c>
      <c r="J1839" t="n">
        <v>0.1039</v>
      </c>
      <c r="K1839" t="n">
        <v>0.2657</v>
      </c>
      <c r="L1839" t="inlineStr">
        <is>
          <t>This code file is part of the Sponge API and it's licensed under the MIT License (MIT). The software can be freely used for any purpose without restriction provided that this copyright notice and permission notices are included in all copies or substantial portions of the Software. 
It provides a backend component to support game development with features like entity management, physics simulation,</t>
        </is>
      </c>
      <c r="M1839" t="n">
        <v>0.0038</v>
      </c>
      <c r="N1839" t="n">
        <v>0.0833</v>
      </c>
      <c r="O1839" t="n">
        <v>0.1481</v>
      </c>
    </row>
    <row r="1840">
      <c r="A1840" t="inlineStr">
        <is>
          <t>sponge</t>
        </is>
      </c>
      <c r="B1840" t="inlineStr">
        <is>
          <t>src/main/java/org/spongepowered/api/command/parameter/CommonParameters.java</t>
        </is>
      </c>
      <c r="C1840">
        <f>HYPERLINK("https://github.com/SpongePowered/SpongeAPI/blob/master/src/main/java/org/spongepowered/api/command/parameter/CommonParameters.java")</f>
        <v/>
      </c>
      <c r="D1840" t="inlineStr">
        <is>
          <t># This file is part of Sponge API and licensed under the MIT License (MIT). 
# Copyright (c) SpongePowered &lt;https://www.spongepowered.org&gt; 
# Copyright (c) contributors 
# Permission is hereby granted, free of charge, to any person obtaining a copy 
#</t>
        </is>
      </c>
      <c r="E1840" t="n">
        <v>0.0056</v>
      </c>
      <c r="F1840" t="n">
        <v>0.08890000000000001</v>
      </c>
      <c r="G1840" t="n">
        <v>0.1351</v>
      </c>
      <c r="H1840" t="inlineStr">
        <is>
          <t>This is a README file for the Sponge API project licensed under the MIT License (MIT), which allows anyone to obtain a copy of this software and associated documentation files (the "Software") without restriction, including without limitation the rights to use, copy, modify, merge, publish, distribute, sublicense, and/or sell copies of the Software, subject to the following</t>
        </is>
      </c>
      <c r="I1840" t="n">
        <v>0.0042</v>
      </c>
      <c r="J1840" t="n">
        <v>0.09089999999999999</v>
      </c>
      <c r="K1840" t="n">
        <v>0.1981</v>
      </c>
      <c r="L1840" t="inlineStr">
        <is>
          <t>The provided code file is part of the Sponge API and it's licensed under MIT License (MIT). It contains backend software components developed by contributors to Sponge Powered &lt;https://www.spongepowered.org&gt;. 
 This piece of software can be freely used for any purpose without restriction including but not limited to rights to use,</t>
        </is>
      </c>
      <c r="M1840" t="n">
        <v>0.0048</v>
      </c>
      <c r="N1840" t="n">
        <v>0.0645</v>
      </c>
      <c r="O1840" t="n">
        <v>0.1639</v>
      </c>
    </row>
    <row r="1841">
      <c r="A1841" t="inlineStr">
        <is>
          <t>sponge</t>
        </is>
      </c>
      <c r="B1841" t="inlineStr">
        <is>
          <t>src/main/java/org/spongepowered/api/command/parameter/ArgumentReader.java</t>
        </is>
      </c>
      <c r="C1841">
        <f>HYPERLINK("https://github.com/SpongePowered/SpongeAPI/blob/master/src/main/java/org/spongepowered/api/command/parameter/ArgumentReader.java")</f>
        <v/>
      </c>
      <c r="D1841" t="inlineStr">
        <is>
          <t>```python
# This file is part of Sponge API and licensed under the MIT License (MIT). 
# Copyright (c) SpongePowered &lt;https://www.spongepowered.org&gt; 
# Copyright (c) contributors 
# Permission is hereby granted, free of charge, to any person obtaining a copy</t>
        </is>
      </c>
      <c r="E1841" t="n">
        <v>0.0056</v>
      </c>
      <c r="F1841" t="n">
        <v>0.08699999999999999</v>
      </c>
      <c r="G1841" t="n">
        <v>0.1351</v>
      </c>
      <c r="H1841" t="inlineStr">
        <is>
          <t>```python
# This file is part of Sponge API, licensed under the MIT License (MIT). 
# Copyright (c) SpongePowered &lt;https://www.spongepowered.org&gt; 
# Copyright (c) contributors 
# Permission is hereby granted, free of charge, to any person obtaining a</t>
        </is>
      </c>
      <c r="I1841" t="n">
        <v>0.005</v>
      </c>
      <c r="J1841" t="n">
        <v>0.0455</v>
      </c>
      <c r="K1841" t="n">
        <v>0.0917</v>
      </c>
      <c r="L1841" t="inlineStr">
        <is>
          <t>The provided code file is part of the Sponge API and is licensed under the MIT License (MIT). It's a backend software component that provides various functionalities related to game development and physics simulations. 
 This repository contains both core algorithms for implementing these features along with supporting files like configuration settings and utilities. The main purpose of this project seems to be providing</t>
        </is>
      </c>
      <c r="M1841" t="n">
        <v>0.0041</v>
      </c>
      <c r="N1841" t="n">
        <v>0.0833</v>
      </c>
      <c r="O1841" t="n">
        <v>0.2222</v>
      </c>
    </row>
    <row r="1842">
      <c r="A1842" t="inlineStr">
        <is>
          <t>sponge</t>
        </is>
      </c>
      <c r="B1842" t="inlineStr">
        <is>
          <t>src/main/java/org/spongepowered/api/command/parameter/CommandContext.java</t>
        </is>
      </c>
      <c r="C1842">
        <f>HYPERLINK("https://github.com/SpongePowered/SpongeAPI/blob/master/src/main/java/org/spongepowered/api/command/parameter/CommandContext.java")</f>
        <v/>
      </c>
      <c r="D1842" t="inlineStr">
        <is>
          <t>```python
# This file is part of Sponge API and licensed under the MIT License (MIT).
# Copyright (c) SpongePowered &lt;https://www.spongepowered.org&gt;
# Copyright (c) contributors
# Permission is hereby granted, free of charge, to any person obtaining a copy
#</t>
        </is>
      </c>
      <c r="E1842" t="n">
        <v>0.0055</v>
      </c>
      <c r="F1842" t="n">
        <v>0.08699999999999999</v>
      </c>
      <c r="G1842" t="n">
        <v>0.1339</v>
      </c>
      <c r="H1842" t="inlineStr">
        <is>
          <t>```python
# This function takes two parameters a and b which are numbers to be added together 
# It returns the sum of these two numbers
def add(a, b):
    return a + b
```  
In this code snippet, we define an `add` function that adds its input arguments 'a' and 'b'. The time</t>
        </is>
      </c>
      <c r="I1842" t="n">
        <v>0.0041</v>
      </c>
      <c r="J1842" t="n">
        <v>0.1034</v>
      </c>
      <c r="K1842" t="n">
        <v>0.16</v>
      </c>
      <c r="L1842" t="inlineStr">
        <is>
          <t>The provided code is part of the Sponge API and it's licensed under the MIT License (MIT). It's a software component for Minecraft servers that allows modding and extension through plugins. This code contains implementations of core algorithms used in game mechanics like physics calculations or entity interactions. 
 Its main purpose appears to be managing entities within the game world by</t>
        </is>
      </c>
      <c r="M1842" t="n">
        <v>0.0042</v>
      </c>
      <c r="N1842" t="n">
        <v>0.08450000000000001</v>
      </c>
      <c r="O1842" t="n">
        <v>0.2256</v>
      </c>
    </row>
    <row r="1843">
      <c r="A1843" t="inlineStr">
        <is>
          <t>sponge</t>
        </is>
      </c>
      <c r="B1843" t="inlineStr">
        <is>
          <t>src/main/java/org/spongepowered/api/command/parameter/managed/ValueParser.java</t>
        </is>
      </c>
      <c r="C1843">
        <f>HYPERLINK("https://github.com/SpongePowered/SpongeAPI/blob/master/src/main/java/org/spongepowered/api/command/parameter/managed/ValueParser.java")</f>
        <v/>
      </c>
      <c r="D1843" t="inlineStr">
        <is>
          <t>This code is part of the Sponge API and it's licensed under MIT License (MIT). 
It was originally written by contributors to the project at https://github.com/SpongePowered/. The software can be used freely without restriction provided that this copyright notice and permission notices are included in all copies or substantial portions of the Software.</t>
        </is>
      </c>
      <c r="E1843" t="n">
        <v>0.0045</v>
      </c>
      <c r="F1843" t="n">
        <v>0.09229999999999999</v>
      </c>
      <c r="G1843" t="n">
        <v>0.16</v>
      </c>
      <c r="H1843" t="inlineStr">
        <is>
          <t>```python
# This file is part of Sponge API, licensed under the MIT License (MIT). 
# Copyright (c) SpongePowered &lt;https://www.spongepowered.org&gt; 
# Copyright (c) contributors 
# Permission is hereby granted, free of charge, to any person obtaining a</t>
        </is>
      </c>
      <c r="I1843" t="n">
        <v>0.005</v>
      </c>
      <c r="J1843" t="n">
        <v>0.0455</v>
      </c>
      <c r="K1843" t="n">
        <v>0.0917</v>
      </c>
      <c r="L1843" t="inlineStr">
        <is>
          <t>The provided code file is part of Sponge API and it's licensed under the MIT License (MIT). It's a backend software component that provides functionalities related to core algorithms. 
 This repository contains comments explaining implementation details about various algorithms used in this project. There are initial commits present which indicate changes made during development stages. Further information regarding the size</t>
        </is>
      </c>
      <c r="M1843" t="n">
        <v>0.0043</v>
      </c>
      <c r="N1843" t="n">
        <v>0.0571</v>
      </c>
      <c r="O1843" t="n">
        <v>0.2273</v>
      </c>
    </row>
    <row r="1844">
      <c r="A1844" t="inlineStr">
        <is>
          <t>sponge</t>
        </is>
      </c>
      <c r="B1844" t="inlineStr">
        <is>
          <t>src/main/java/org/spongepowered/api/command/parameter/managed/Flag.java</t>
        </is>
      </c>
      <c r="C1844">
        <f>HYPERLINK("https://github.com/SpongePowered/SpongeAPI/blob/master/src/main/java/org/spongepowered/api/command/parameter/managed/Flag.java")</f>
        <v/>
      </c>
      <c r="D1844" t="inlineStr">
        <is>
          <t># This file is part of Sponge API and licensed under the MIT License (MIT). 
# Copyright (c) SpongePowered &lt;https://www.spongepowered.org&gt; 
# Copyright (c) contributors 
# Permission is hereby granted, free of charge, to any person obtaining a copy 
#</t>
        </is>
      </c>
      <c r="E1844" t="n">
        <v>0.0056</v>
      </c>
      <c r="F1844" t="n">
        <v>0.08890000000000001</v>
      </c>
      <c r="G1844" t="n">
        <v>0.1351</v>
      </c>
      <c r="H1844" t="inlineStr">
        <is>
          <t>This repository contains backend software components that implement core algorithms used in the Sponge API. The code is licensed under the MIT License (MIT), and it's open for anyone to use, copy, modify, merge, publish, distribute, sublicense, sell copies of the Software provided they adhere to these conditions outlined below: 
- This copyright notice shall be included</t>
        </is>
      </c>
      <c r="I1844" t="n">
        <v>0.0045</v>
      </c>
      <c r="J1844" t="n">
        <v>0.1538</v>
      </c>
      <c r="K1844" t="n">
        <v>0.3305</v>
      </c>
      <c r="L1844" t="inlineStr">
        <is>
          <t>This code is part of the Sponge API and is licensed under the MIT License (MIT). It's a backend software component that provides various functionalities related to game development, such as physics simulation or entity management. The copyright notice mentions its contributors including Sponge Powered &lt;https://www.spongepowered.org&gt;. 
 Permission</t>
        </is>
      </c>
      <c r="M1844" t="n">
        <v>0.0051</v>
      </c>
      <c r="N1844" t="n">
        <v>0.1017</v>
      </c>
      <c r="O1844" t="n">
        <v>0.1681</v>
      </c>
    </row>
    <row r="1845">
      <c r="A1845" t="inlineStr">
        <is>
          <t>sponge</t>
        </is>
      </c>
      <c r="B1845" t="inlineStr">
        <is>
          <t>src/main/java/org/spongepowered/api/command/parameter/managed/package-info.java</t>
        </is>
      </c>
      <c r="C1845">
        <f>HYPERLINK("https://github.com/SpongePowered/SpongeAPI/blob/master/src/main/java/org/spongepowered/api/command/parameter/managed/package-info.java")</f>
        <v/>
      </c>
      <c r="D1845" t="inlineStr">
        <is>
          <t># This file is part of Sponge API and licensed under the MIT License (MIT). 
# Copyright (c) SpongePowered &lt;https://www.spongepowered.org&gt; 
# Copyright (c) contributors 
# Permission is hereby granted, free of charge, to any person obtaining a copy 
#</t>
        </is>
      </c>
      <c r="E1845" t="n">
        <v>0.0056</v>
      </c>
      <c r="F1845" t="n">
        <v>0.08890000000000001</v>
      </c>
      <c r="G1845" t="n">
        <v>0.1351</v>
      </c>
      <c r="H1845" t="inlineStr">
        <is>
          <t>This code is a simple function that adds two numbers together and returns the result. The time complexity of this operation is O(1), meaning it takes constant time to execute regardless of the size of the input data.
```python
# Function to add two numbers
def add(a, b):
    return a + b
``` 
In terms of functionality, this</t>
        </is>
      </c>
      <c r="I1845" t="n">
        <v>0.0037</v>
      </c>
      <c r="J1845" t="n">
        <v>0.09229999999999999</v>
      </c>
      <c r="K1845" t="n">
        <v>0.1154</v>
      </c>
      <c r="L1845" t="inlineStr">
        <is>
          <t>The provided code is part of the Sponge API and it's licensed under the MIT License (MIT). 
 It's a software component that provides functionalities related to game mechanics in Minecraft like spawning entities or managing blocks. This includes core algorithms for entity management such as collision detection, movement calculations, etc. 
 The copyright notice states that this software</t>
        </is>
      </c>
      <c r="M1845" t="n">
        <v>0.0045</v>
      </c>
      <c r="N1845" t="n">
        <v>0.0597</v>
      </c>
      <c r="O1845" t="n">
        <v>0.2884</v>
      </c>
    </row>
    <row r="1846">
      <c r="A1846" t="inlineStr">
        <is>
          <t>sponge</t>
        </is>
      </c>
      <c r="B1846" t="inlineStr">
        <is>
          <t>src/main/java/org/spongepowered/api/command/parameter/managed/ValueCompleter.java</t>
        </is>
      </c>
      <c r="C1846">
        <f>HYPERLINK("https://github.com/SpongePowered/SpongeAPI/blob/master/src/main/java/org/spongepowered/api/command/parameter/managed/ValueCompleter.java")</f>
        <v/>
      </c>
      <c r="D1846" t="inlineStr">
        <is>
          <t>```python
# This file is part of Sponge API and licensed under the MIT License (MIT).
# Copyright (c) 2014-2016 SpongePowered &lt;http://www.spongepowered.org&gt;
# Copyright (c) contributors
# Permission is hereby granted, free of charge</t>
        </is>
      </c>
      <c r="E1846" t="n">
        <v>0.0065</v>
      </c>
      <c r="F1846" t="n">
        <v>0.09520000000000001</v>
      </c>
      <c r="G1846" t="n">
        <v>0.1415</v>
      </c>
      <c r="H1846" t="inlineStr">
        <is>
          <t>```python
# This file is part of Sponge API, licensed under the MIT License (MIT)
# Copyright (c) 2022-present SpongePowered and contributors
# Permission is hereby granted, free of charge, to any person obtaining a copy
# of this software and associated documentation files (the "Soft</t>
        </is>
      </c>
      <c r="I1846" t="n">
        <v>0.0053</v>
      </c>
      <c r="J1846" t="n">
        <v>0.1176</v>
      </c>
      <c r="K1846" t="n">
        <v>0.2675</v>
      </c>
      <c r="L1846" t="inlineStr">
        <is>
          <t>The provided code is part of the Sponge API and it's licensed under the MIT License (MIT). It's a software component for game development with an emphasis on extensibility and modding. 
 This file contains copyright notices indicating that this software can be freely used, modified, merged, published, distributed, sublicensed or sold as long as</t>
        </is>
      </c>
      <c r="M1846" t="n">
        <v>0.0045</v>
      </c>
      <c r="N1846" t="n">
        <v>0.0625</v>
      </c>
      <c r="O1846" t="n">
        <v>0.2505</v>
      </c>
    </row>
    <row r="1847">
      <c r="A1847" t="inlineStr">
        <is>
          <t>sponge</t>
        </is>
      </c>
      <c r="B1847" t="inlineStr">
        <is>
          <t>src/main/java/org/spongepowered/api/command/parameter/managed/ValueParameterModifier.java</t>
        </is>
      </c>
      <c r="C1847">
        <f>HYPERLINK("https://github.com/SpongePowered/SpongeAPI/blob/master/src/main/java/org/spongepowered/api/command/parameter/managed/ValueParameterModifier.java")</f>
        <v/>
      </c>
      <c r="D1847" t="inlineStr">
        <is>
          <t>```python
# This file is part of Sponge API and licensed under the MIT License (MIT). 
# Copyright (c) SpongePowered https://www.spongepowered.org
# Copyright (c) contributors
# Permission is hereby granted, free of charge, to any person obtaining a copy 
#</t>
        </is>
      </c>
      <c r="E1847" t="n">
        <v>0.0055</v>
      </c>
      <c r="F1847" t="n">
        <v>0.08699999999999999</v>
      </c>
      <c r="G1847" t="n">
        <v>0.1339</v>
      </c>
      <c r="H1847" t="inlineStr">
        <is>
          <t>This repository contains backend software components for a game engine named Sponge API. The code is licensed under the MIT License (MIT), which allows anyone to obtain a copy of this software and associated documentation files without restriction provided that these rights are not resctricted by any means in the Software. This includes but is not limited to the right to use, copy, modify, merge, publish,</t>
        </is>
      </c>
      <c r="I1847" t="n">
        <v>0.0036</v>
      </c>
      <c r="J1847" t="n">
        <v>0.08110000000000001</v>
      </c>
      <c r="K1847" t="n">
        <v>0.1087</v>
      </c>
      <c r="L1847" t="inlineStr">
        <is>
          <t>The provided code file is part of the Sponge API and it's licensed under the MIT License (MIT). It belongs to a software component that provides backend functionality for games powered by SpongePowered. 
 This repository contains various algorithms implemented in Java which are used as core components within this game engine. These include data structures like lists or sets,</t>
        </is>
      </c>
      <c r="M1847" t="n">
        <v>0.0046</v>
      </c>
      <c r="N1847" t="n">
        <v>0.0882</v>
      </c>
      <c r="O1847" t="n">
        <v>0.229</v>
      </c>
    </row>
    <row r="1848">
      <c r="A1848" t="inlineStr">
        <is>
          <t>sponge</t>
        </is>
      </c>
      <c r="B1848" t="inlineStr">
        <is>
          <t>src/main/java/org/spongepowered/api/command/parameter/managed/ValueParameter.java</t>
        </is>
      </c>
      <c r="C1848">
        <f>HYPERLINK("https://github.com/SpongePowered/SpongeAPI/blob/master/src/main/java/org/spongepowered/api/command/parameter/managed/ValueParameter.java")</f>
        <v/>
      </c>
      <c r="D1848" t="inlineStr">
        <is>
          <t>```python
# This file is part of Sponge API and licensed under the MIT License (MIT). 
# Copyright (c) SpongePowered &lt;https://www.spongepowered.org&gt; 
# Copyright (c) contributors 
# Permission is hereby granted, free of charge, to any person obtaining a</t>
        </is>
      </c>
      <c r="E1848" t="n">
        <v>0.0058</v>
      </c>
      <c r="F1848" t="n">
        <v>0.08890000000000001</v>
      </c>
      <c r="G1848" t="n">
        <v>0.1364</v>
      </c>
      <c r="H1848" t="inlineStr">
        <is>
          <t>This repository contains backend software components that implement core algorithms. The complexity of these functions is O(N), where N represents the size of the input data. These functions are licensed under the MIT License (MIT), and they can be used freely for any purpose as long as this license notice and permission notice are included in all copies or substantial portions of the Software.
The code provided here</t>
        </is>
      </c>
      <c r="I1848" t="n">
        <v>0.0038</v>
      </c>
      <c r="J1848" t="n">
        <v>0.1558</v>
      </c>
      <c r="K1848" t="n">
        <v>0.3046</v>
      </c>
      <c r="L1848" t="inlineStr">
        <is>
          <t>The provided code file is part of the Sponge API and it's licensed under MIT License (MIT). 
 It's a backend software component that provides various functionalities related to game development such as physics simulation, entity management etc. 
 This repository contains contributions from multiple contributors who have implemented core algorithms for these features. 
 There are existing comments in</t>
        </is>
      </c>
      <c r="M1848" t="n">
        <v>0.0045</v>
      </c>
      <c r="N1848" t="n">
        <v>0.0896</v>
      </c>
      <c r="O1848" t="n">
        <v>0.3305</v>
      </c>
    </row>
    <row r="1849">
      <c r="A1849" t="inlineStr">
        <is>
          <t>sponge</t>
        </is>
      </c>
      <c r="B1849" t="inlineStr">
        <is>
          <t>src/main/java/org/spongepowered/api/command/parameter/managed/ValueUsage.java</t>
        </is>
      </c>
      <c r="C1849">
        <f>HYPERLINK("https://github.com/SpongePowered/SpongeAPI/blob/master/src/main/java/org/spongepowered/api/command/parameter/managed/ValueUsage.java")</f>
        <v/>
      </c>
      <c r="D1849" t="inlineStr">
        <is>
          <t># This file is part of Sponge API and licensed under the MIT License (MIT). 
# Copyright (c) SpongePowered https://www.spongepowered.org
# Copyright (c) contributors
# Permission is hereby granted, free of charge, to any person obtaining a copy 
# of this software and</t>
        </is>
      </c>
      <c r="E1849" t="n">
        <v>0.0056</v>
      </c>
      <c r="F1849" t="n">
        <v>0.1224</v>
      </c>
      <c r="G1849" t="n">
        <v>0.2745</v>
      </c>
      <c r="H1849" t="inlineStr">
        <is>
          <t>```python
# This file is part of Sponge API, licensed under the MIT License (MIT). 
# Copyright (c) SpongePowered &lt;https://www.spongepowered.org&gt; 
# Copyright (c) contributors 
# Permission is hereby granted, free of charge, to any person obtaining a</t>
        </is>
      </c>
      <c r="I1849" t="n">
        <v>0.005</v>
      </c>
      <c r="J1849" t="n">
        <v>0.0455</v>
      </c>
      <c r="K1849" t="n">
        <v>0.0917</v>
      </c>
      <c r="L1849" t="inlineStr">
        <is>
          <t>The provided code file is part of the Sponge API and it's licensed under the MIT License (MIT). It belongs to Sponge Powered &lt;https://www.spongepowered.org&gt;. 
 This software allows for free use, modification, distribution, sublicensing, selling copies, etc., subject to certain conditions detailed in the license</t>
        </is>
      </c>
      <c r="M1849" t="n">
        <v>0.0098</v>
      </c>
      <c r="N1849" t="n">
        <v>0.07140000000000001</v>
      </c>
      <c r="O1849" t="n">
        <v>0.2721</v>
      </c>
    </row>
    <row r="1850">
      <c r="A1850" t="inlineStr">
        <is>
          <t>sponge</t>
        </is>
      </c>
      <c r="B1850" t="inlineStr">
        <is>
          <t>src/main/java/org/spongepowered/api/command/parameter/managed/operator/package-info.java</t>
        </is>
      </c>
      <c r="C1850">
        <f>HYPERLINK("https://github.com/SpongePowered/SpongeAPI/blob/master/src/main/java/org/spongepowered/api/command/parameter/managed/operator/package-info.java")</f>
        <v/>
      </c>
      <c r="D1850" t="inlineStr">
        <is>
          <t># This file is part of Sponge API and licensed under the MIT License (MIT). 
# Copyright (c) SpongePowered https://www.spongepowered.org
# Copyright (c) contributors
# Permission is hereby granted, free of charge, to any person obtaining a copy of this software and associated documentation files (</t>
        </is>
      </c>
      <c r="E1850" t="n">
        <v>0.0053</v>
      </c>
      <c r="F1850" t="n">
        <v>0.1154</v>
      </c>
      <c r="G1850" t="n">
        <v>0.2675</v>
      </c>
      <c r="H1850" t="inlineStr">
        <is>
          <t>The provided code is a function named "add". This function takes two parameters (a and b), adds them together using the '+' operator, then returns the result. It has a time complexity of O(1) as it performs only one operation regardless of input size.
In summary, this code defines an addition function that can be used to add any two numbers together.</t>
        </is>
      </c>
      <c r="I1850" t="n">
        <v>0.0035</v>
      </c>
      <c r="J1850" t="n">
        <v>0.0857</v>
      </c>
      <c r="K1850" t="n">
        <v>0.1119</v>
      </c>
      <c r="L1850" t="inlineStr">
        <is>
          <t>The provided code file is part of the Sponge API and it's licensed under the MIT License (MIT). It belongs to a software component that powers various game engines like Minecraft or Terraria. This repository contains backend software components which are used for server operations such as managing player data, handling network communications, physics calculations etc. 
 The main purpose of this code</t>
        </is>
      </c>
      <c r="M1850" t="n">
        <v>0.0039</v>
      </c>
      <c r="N1850" t="n">
        <v>0.0563</v>
      </c>
      <c r="O1850" t="n">
        <v>0.1493</v>
      </c>
    </row>
    <row r="1851">
      <c r="A1851" t="inlineStr">
        <is>
          <t>sponge</t>
        </is>
      </c>
      <c r="B1851" t="inlineStr">
        <is>
          <t>src/main/java/org/spongepowered/api/command/parameter/managed/operator/Operator.java</t>
        </is>
      </c>
      <c r="C1851">
        <f>HYPERLINK("https://github.com/SpongePowered/SpongeAPI/blob/master/src/main/java/org/spongepowered/api/command/parameter/managed/operator/Operator.java")</f>
        <v/>
      </c>
      <c r="D1851" t="inlineStr">
        <is>
          <t>```python
# This file is part of Sponge API, licensed under the MIT License (MIT). 
# Copyright (c) SpongePowered https://www.spongepowered.org
# Copyright (c) contributors
# Permission is hereby granted, free of charge, to any person obtaining a copy
# of</t>
        </is>
      </c>
      <c r="E1851" t="n">
        <v>0.0046</v>
      </c>
      <c r="F1851" t="n">
        <v>0.0435</v>
      </c>
      <c r="G1851" t="n">
        <v>0.0893</v>
      </c>
      <c r="H1851" t="inlineStr">
        <is>
          <t>This repository contains backend software components that implement core algorithms used by the Sponge API. The functions in this code base are licensed under the MIT License (MIT), which allows anyone to obtain a copy of the Software and associated documentation files (the "Software") without restriction, including without limitation the rights to use, copy, modify, merge, publish, distribute, sublicense, and</t>
        </is>
      </c>
      <c r="I1851" t="n">
        <v>0.0043</v>
      </c>
      <c r="J1851" t="n">
        <v>0.1765</v>
      </c>
      <c r="K1851" t="n">
        <v>0.323</v>
      </c>
      <c r="L1851" t="inlineStr">
        <is>
          <t>The provided code file is part of the Sponge API and it's licensed under MIT License (MIT). It contains backend software components developed by contributors to Sponge Powered &lt;https://www.spongepowered.org&gt;. 
 This piece of software can be used freely for any purpose without restriction, including but not limited to the rights to</t>
        </is>
      </c>
      <c r="M1851" t="n">
        <v>0.0048</v>
      </c>
      <c r="N1851" t="n">
        <v>0.0645</v>
      </c>
      <c r="O1851" t="n">
        <v>0.1639</v>
      </c>
    </row>
    <row r="1852">
      <c r="A1852" t="inlineStr">
        <is>
          <t>sponge</t>
        </is>
      </c>
      <c r="B1852" t="inlineStr">
        <is>
          <t>src/main/java/org/spongepowered/api/command/parameter/managed/operator/Operators.java</t>
        </is>
      </c>
      <c r="C1852">
        <f>HYPERLINK("https://github.com/SpongePowered/SpongeAPI/blob/master/src/main/java/org/spongepowered/api/command/parameter/managed/operator/Operators.java")</f>
        <v/>
      </c>
      <c r="D1852" t="inlineStr">
        <is>
          <t>This code is part of the Sponge API and licensed under the MIT License (MIT). It's a collection of algorithms that are used in game development for various tasks such as physics calculations or AI behavior. The software can be freely copied, modified, merged, published etc., provided certain conditions are met like including this copyright notice and permission notices in all copies or substantial</t>
        </is>
      </c>
      <c r="E1852" t="n">
        <v>0.0037</v>
      </c>
      <c r="F1852" t="n">
        <v>0.0822</v>
      </c>
      <c r="G1852" t="n">
        <v>0.1471</v>
      </c>
      <c r="H1852" t="inlineStr">
        <is>
          <t>This repository contains backend software components that implement core algorithms. The code is licensed under the MIT License (MIT), which allows anyone to obtain a copy of this software and associated documentation files (the "Software") without restriction, including without limitation the rights to use, copy, modify, merge, publish, distribute, sublicense, and/or sell copies of the Software, subject to the</t>
        </is>
      </c>
      <c r="I1852" t="n">
        <v>0.0044</v>
      </c>
      <c r="J1852" t="n">
        <v>0.1471</v>
      </c>
      <c r="K1852" t="n">
        <v>0.3405</v>
      </c>
      <c r="L1852" t="inlineStr">
        <is>
          <t>This code file is part of the Sponge API and it's licensed under the MIT License (MIT). It provides backend software components for a game engine called "Sponge". The purpose of this component appears to be related to core algorithms used in game development. 
 The function takes an array as input which represents the state of a grid or map in some</t>
        </is>
      </c>
      <c r="M1852" t="n">
        <v>0.0042</v>
      </c>
      <c r="N1852" t="n">
        <v>0.1127</v>
      </c>
      <c r="O1852" t="n">
        <v>0.1866</v>
      </c>
    </row>
    <row r="1853">
      <c r="A1853" t="inlineStr">
        <is>
          <t>sponge</t>
        </is>
      </c>
      <c r="B1853" t="inlineStr">
        <is>
          <t>src/main/java/org/spongepowered/api/command/parameter/managed/standard/ResourceKeyedValueParameters.java</t>
        </is>
      </c>
      <c r="C1853">
        <f>HYPERLINK("https://github.com/SpongePowered/SpongeAPI/blob/master/src/main/java/org/spongepowered/api/command/parameter/managed/standard/ResourceKeyedValueParameters.java")</f>
        <v/>
      </c>
      <c r="D1853" t="inlineStr">
        <is>
          <t>```plaintext
This code is part of the Sponge API and it's licensed under the MIT License (MIT). 
It provides functionality for core algorithms implemented in a game server software called SpongePowered by its contributors. The software can be freely used to deal with the Software without restriction, including without limitation the rights to use, copy,</t>
        </is>
      </c>
      <c r="E1853" t="n">
        <v>0.005</v>
      </c>
      <c r="F1853" t="n">
        <v>0.0625</v>
      </c>
      <c r="G1853" t="n">
        <v>0.2362</v>
      </c>
      <c r="H1853" t="inlineStr">
        <is>
          <t>This repository contains backend software components that implement core algorithms. The function 'add' adds two numbers together. It operates in constant time complexity O(1), meaning it performs a fixed number of operations regardless of the size of the input data. This is because addition involves only basic arithmetic operations which are inherently efficient.
In terms of code size and commit history, this initial base has</t>
        </is>
      </c>
      <c r="I1853" t="n">
        <v>0.004</v>
      </c>
      <c r="J1853" t="n">
        <v>0.1622</v>
      </c>
      <c r="K1853" t="n">
        <v>0.3112</v>
      </c>
      <c r="L1853" t="inlineStr">
        <is>
          <t>```python
# This file is part of Sponge API, licensed under the MIT License (MIT). 
# Copyright (c) Sponge Powered &lt;https://www.spongepowered.org&gt; 
# Copyright (c) contributors 
# Permission is hereby granted, free of charge, to any person obtaining a copy</t>
        </is>
      </c>
      <c r="M1853" t="n">
        <v>0.0047</v>
      </c>
      <c r="N1853" t="n">
        <v>0.0435</v>
      </c>
      <c r="O1853" t="n">
        <v>0.0901</v>
      </c>
    </row>
    <row r="1854">
      <c r="A1854" t="inlineStr">
        <is>
          <t>sponge</t>
        </is>
      </c>
      <c r="B1854" t="inlineStr">
        <is>
          <t>src/main/java/org/spongepowered/api/command/parameter/managed/standard/package-info.java</t>
        </is>
      </c>
      <c r="C1854">
        <f>HYPERLINK("https://github.com/SpongePowered/SpongeAPI/blob/master/src/main/java/org/spongepowered/api/command/parameter/managed/standard/package-info.java")</f>
        <v/>
      </c>
      <c r="D1854" t="inlineStr">
        <is>
          <t>```python
# This file is part of Sponge API and licensed under the MIT License (MIT). 
# Copyright (c) SpongePowered https://www.spongepowered.org
# Copyright (c) contributors
# Permission is hereby granted, free of charge, to any person obtaining a copy 
#</t>
        </is>
      </c>
      <c r="E1854" t="n">
        <v>0.0055</v>
      </c>
      <c r="F1854" t="n">
        <v>0.08699999999999999</v>
      </c>
      <c r="G1854" t="n">
        <v>0.1339</v>
      </c>
      <c r="H1854" t="inlineStr">
        <is>
          <t>```python
# This file is part of Sponge API, licensed under the MIT License (MIT).
# Copyright (c) 2022 SpongePowered &lt;https://www.spongepowered.org&gt;
# Copyright (c) contributors
# Permission is hereby granted, free of charge, to any person obtaining</t>
        </is>
      </c>
      <c r="I1854" t="n">
        <v>0.005</v>
      </c>
      <c r="J1854" t="n">
        <v>0.0455</v>
      </c>
      <c r="K1854" t="n">
        <v>0.0917</v>
      </c>
      <c r="L1854" t="inlineStr">
        <is>
          <t>The provided code file is part of the Sponge API and it's licensed under the MIT License (MIT). It belongs to a software component that powers up game servers like Minecraft. 
 This code implements core algorithms for server management such as player interaction, world generation, physics calculations etc. Its main purpose is to manage interactions between players in multiplayer games by implementing</t>
        </is>
      </c>
      <c r="M1854" t="n">
        <v>0.0078</v>
      </c>
      <c r="N1854" t="n">
        <v>0.08450000000000001</v>
      </c>
      <c r="O1854" t="n">
        <v>0.3182</v>
      </c>
    </row>
    <row r="1855">
      <c r="A1855" t="inlineStr">
        <is>
          <t>sponge</t>
        </is>
      </c>
      <c r="B1855" t="inlineStr">
        <is>
          <t>src/main/java/org/spongepowered/api/command/parameter/managed/standard/VariableValueParameters.java</t>
        </is>
      </c>
      <c r="C1855">
        <f>HYPERLINK("https://github.com/SpongePowered/SpongeAPI/blob/master/src/main/java/org/spongepowered/api/command/parameter/managed/standard/VariableValueParameters.java")</f>
        <v/>
      </c>
      <c r="D1855" t="inlineStr">
        <is>
          <t>```python
# This file is part of Sponge API and licensed under the MIT License (MIT). 
# Copyright (c) SpongePowered &lt;https://www.spongepowered.org&gt; 
# Copyright (c) contributors 
# Permission is hereby granted, free of charge, to any person obtaining a</t>
        </is>
      </c>
      <c r="E1855" t="n">
        <v>0.0058</v>
      </c>
      <c r="F1855" t="n">
        <v>0.08890000000000001</v>
      </c>
      <c r="G1855" t="n">
        <v>0.1364</v>
      </c>
      <c r="H1855" t="inlineStr">
        <is>
          <t># This file is part of Sponge API, licensed under the MIT License (MIT). 
# Copyright (c) SpongePowered &lt;https://www.spongepowered.org&gt; 
# Copyright (c) contributors 
# Permission is hereby granted, free of charge, to any person obtaining a copy</t>
        </is>
      </c>
      <c r="I1855" t="n">
        <v>0.005</v>
      </c>
      <c r="J1855" t="n">
        <v>0.0455</v>
      </c>
      <c r="K1855" t="n">
        <v>0.0917</v>
      </c>
      <c r="L1855" t="inlineStr">
        <is>
          <t>The provided code file is part of the Sponge API and it's licensed under the MIT License (MIT). It belongs to Sponge Powered &lt;https://www.spongepowered.org&gt;. This software can be used freely for any purpose without restriction, including but not limited to the rights to use, copy, modify, merge, publish, distribute</t>
        </is>
      </c>
      <c r="M1855" t="n">
        <v>0.008800000000000001</v>
      </c>
      <c r="N1855" t="n">
        <v>0.06560000000000001</v>
      </c>
      <c r="O1855" t="n">
        <v>0.2608</v>
      </c>
    </row>
    <row r="1856">
      <c r="A1856" t="inlineStr">
        <is>
          <t>sponge</t>
        </is>
      </c>
      <c r="B1856" t="inlineStr">
        <is>
          <t>src/main/java/org/spongepowered/api/command/parameter/managed/standard/ResourceKeyedValueParameter.java</t>
        </is>
      </c>
      <c r="C1856">
        <f>HYPERLINK("https://github.com/SpongePowered/SpongeAPI/blob/master/src/main/java/org/spongepowered/api/command/parameter/managed/standard/ResourceKeyedValueParameter.java")</f>
        <v/>
      </c>
      <c r="D1856" t="inlineStr">
        <is>
          <t>```python
# This file is part of Sponge API and licensed under the MIT License (MIT). 
# Copyright (c) SpongePowered &lt;https://www.spongepowered.org&gt; 
# Copyright (c) contributors 
# Permission is hereby granted, free of charge, to any person obtaining a copy</t>
        </is>
      </c>
      <c r="E1856" t="n">
        <v>0.0056</v>
      </c>
      <c r="F1856" t="n">
        <v>0.08699999999999999</v>
      </c>
      <c r="G1856" t="n">
        <v>0.1351</v>
      </c>
      <c r="H1856" t="inlineStr">
        <is>
          <t>This repository contains backend software components that implement core algorithms used in the Sponge API. The code is licensed under the MIT License (MIT), which allows free use and modification of the software without restriction. However, it's important to note that while contributions are welcome, they should be made with consideration for other contributors. This README file provides a summary of the functionality provided by the</t>
        </is>
      </c>
      <c r="I1856" t="n">
        <v>0.0041</v>
      </c>
      <c r="J1856" t="n">
        <v>0.1333</v>
      </c>
      <c r="K1856" t="n">
        <v>0.309</v>
      </c>
      <c r="L1856" t="inlineStr">
        <is>
          <t>This code is a part of the Sponge API and is licensed under the MIT License (MIT). It's copyrighted by Sponge Powered &lt;https://www.spongepowered.org&gt; along with contributors. Permission to use, copy, modify, merge, publish, distribute, sublicense, sell copies or portions of this software for</t>
        </is>
      </c>
      <c r="M1856" t="n">
        <v>0.0056</v>
      </c>
      <c r="N1856" t="n">
        <v>0.0727</v>
      </c>
      <c r="O1856" t="n">
        <v>0.2745</v>
      </c>
    </row>
    <row r="1857">
      <c r="A1857" t="inlineStr">
        <is>
          <t>sponge</t>
        </is>
      </c>
      <c r="B1857" t="inlineStr">
        <is>
          <t>src/main/java/org/spongepowered/api/command/parameter/managed/clientcompletion/package-info.java</t>
        </is>
      </c>
      <c r="C1857">
        <f>HYPERLINK("https://github.com/SpongePowered/SpongeAPI/blob/master/src/main/java/org/spongepowered/api/command/parameter/managed/clientcompletion/package-info.java")</f>
        <v/>
      </c>
      <c r="D1857" t="inlineStr">
        <is>
          <t># This is a summary of the provided code which appears to be part of Sponge API and licensed under MIT License (MIT). 
# It includes copyright notices from both contributors and it grants permission for anyone to obtain a copy of this software and associated documentation files (the "Software") without restriction. The Software can be used, copied, modified, merged, published</t>
        </is>
      </c>
      <c r="E1857" t="n">
        <v>0.0039</v>
      </c>
      <c r="F1857" t="n">
        <v>0.0896</v>
      </c>
      <c r="G1857" t="n">
        <v>0.1504</v>
      </c>
      <c r="H1857" t="inlineStr">
        <is>
          <t>```python
# This file is part of Sponge API, licensed under the MIT License (MIT).
# Copyright (c) 2022 SpongePowered &lt;https://www.spongepowered.org&gt; 
# Copyright (c) contributors
# Permission is hereby granted, free of charge, to any person</t>
        </is>
      </c>
      <c r="I1857" t="n">
        <v>0.0052</v>
      </c>
      <c r="J1857" t="n">
        <v>0.0465</v>
      </c>
      <c r="K1857" t="n">
        <v>0.0926</v>
      </c>
      <c r="L1857" t="inlineStr">
        <is>
          <t>This code is part of the Sponge API and is licensed under the MIT License (MIT). It's a backend software component for game servers that are powered by Sponge. The purpose of this code appears to be related to core algorithms used in game mechanics such as physics calculations or AI behavior. 
 The main function takes an input which could represent various things</t>
        </is>
      </c>
      <c r="M1857" t="n">
        <v>0.0041</v>
      </c>
      <c r="N1857" t="n">
        <v>0.1111</v>
      </c>
      <c r="O1857" t="n">
        <v>0.1852</v>
      </c>
    </row>
    <row r="1858">
      <c r="A1858" t="inlineStr">
        <is>
          <t>sponge</t>
        </is>
      </c>
      <c r="B1858" t="inlineStr">
        <is>
          <t>src/main/java/org/spongepowered/api/command/parameter/managed/clientcompletion/ClientCompletionTypes.java</t>
        </is>
      </c>
      <c r="C1858">
        <f>HYPERLINK("https://github.com/SpongePowered/SpongeAPI/blob/master/src/main/java/org/spongepowered/api/command/parameter/managed/clientcompletion/ClientCompletionTypes.java")</f>
        <v/>
      </c>
      <c r="D1858" t="inlineStr">
        <is>
          <t># This code is part of Sponge API and licensed under the MIT License (MIT). 
# It's a backend software component that provides core algorithms for various functionalities in game development. The software can be used freely without restriction provided this notice and permission notices are included with all copies or substantial portions of it.
# The software may be modified, merged,</t>
        </is>
      </c>
      <c r="E1858" t="n">
        <v>0.0042</v>
      </c>
      <c r="F1858" t="n">
        <v>0.1471</v>
      </c>
      <c r="G1858" t="n">
        <v>0.1866</v>
      </c>
      <c r="H1858" t="inlineStr">
        <is>
          <t>```python
# This file is part of Sponge API, licensed under the MIT License (MIT).
# Copyright (c) SpongePowered &lt;https://www.spongepowered.org&gt;
# Copyright (c) contributors
# Permission is hereby granted, free of charge, to any person obtaining a copy
#</t>
        </is>
      </c>
      <c r="I1858" t="n">
        <v>0.0047</v>
      </c>
      <c r="J1858" t="n">
        <v>0.0444</v>
      </c>
      <c r="K1858" t="n">
        <v>0.0901</v>
      </c>
      <c r="L1858" t="inlineStr">
        <is>
          <t>The provided code file is part of the Sponge API and it's licensed under the MIT License (MIT). It's a backend software component that provides various functionalities related to game development. Copyright information can be found in the comments at the top of the source code files. 
 This repository contains implementations of core algorithms used by the game engine for physics</t>
        </is>
      </c>
      <c r="M1858" t="n">
        <v>0.0042</v>
      </c>
      <c r="N1858" t="n">
        <v>0.08450000000000001</v>
      </c>
      <c r="O1858" t="n">
        <v>0.2256</v>
      </c>
    </row>
    <row r="1859">
      <c r="A1859" t="inlineStr">
        <is>
          <t>sponge</t>
        </is>
      </c>
      <c r="B1859" t="inlineStr">
        <is>
          <t>src/main/java/org/spongepowered/api/command/parameter/managed/clientcompletion/ClientCompletionType.java</t>
        </is>
      </c>
      <c r="C1859">
        <f>HYPERLINK("https://github.com/SpongePowered/SpongeAPI/blob/master/src/main/java/org/spongepowered/api/command/parameter/managed/clientcompletion/ClientCompletionType.java")</f>
        <v/>
      </c>
      <c r="D1859" t="inlineStr">
        <is>
          <t>```plaintext
This code is part of the Sponge API and it's licensed under the MIT License (MIT). 
It provides functionality for core algorithms in a game server software like Minecraft. The copyright notice states that this software can be used freely without restriction provided by contributors to the project. 
However, any use must include attribution back to the</t>
        </is>
      </c>
      <c r="E1859" t="n">
        <v>0.0047</v>
      </c>
      <c r="F1859" t="n">
        <v>0.0597</v>
      </c>
      <c r="G1859" t="n">
        <v>0.2862</v>
      </c>
      <c r="H1859" t="inlineStr">
        <is>
          <t>This repository contains backend software components that implement core algorithms used in the Sponge API. The code is licensed under the MIT License (MIT), which allows anyone to obtain a copy of this software and associated documentation files (the "Software") without restriction, including without limitation the rights to use, copy, modify, merge, publish, distribute, sublicense, and sell copies of the</t>
        </is>
      </c>
      <c r="I1859" t="n">
        <v>0.0043</v>
      </c>
      <c r="J1859" t="n">
        <v>0.1471</v>
      </c>
      <c r="K1859" t="n">
        <v>0.3872</v>
      </c>
      <c r="L1859" t="inlineStr">
        <is>
          <t>The provided code file is part of Sponge API and it's licensed under the MIT License (MIT). It belongs to a software component that provides backend functionalities for game servers such as Minecraft. 
 This particular piece of code appears to implement core algorithms related to entity interactions in this context, possibly within an ECS system or similar pattern used by game engines like</t>
        </is>
      </c>
      <c r="M1859" t="n">
        <v>0.0041</v>
      </c>
      <c r="N1859" t="n">
        <v>0.0833</v>
      </c>
      <c r="O1859" t="n">
        <v>0.3158</v>
      </c>
    </row>
    <row r="1860">
      <c r="A1860" t="inlineStr">
        <is>
          <t>sponge</t>
        </is>
      </c>
      <c r="B1860" t="inlineStr">
        <is>
          <t>src/main/java/org/spongepowered/api/command/exception/package-info.java</t>
        </is>
      </c>
      <c r="C1860">
        <f>HYPERLINK("https://github.com/SpongePowered/SpongeAPI/blob/master/src/main/java/org/spongepowered/api/command/exception/package-info.java")</f>
        <v/>
      </c>
      <c r="D1860" t="inlineStr">
        <is>
          <t>The provided code appears to be a part of the Sponge API (a Minecraft modding platform), licensed under the MIT License. The software is free for use and modification by anyone without restrictions. It allows users to copy, modify, merge, publish, distribute, sell or license copies of the software as long as they include this copyright notice and permission notice in all copies or substantial</t>
        </is>
      </c>
      <c r="E1860" t="n">
        <v>0.0033</v>
      </c>
      <c r="F1860" t="n">
        <v>0.0548</v>
      </c>
      <c r="G1860" t="n">
        <v>0.146</v>
      </c>
      <c r="H1860" t="inlineStr">
        <is>
          <t># This file is part of Sponge API, licensed under the MIT License (MIT).
# Copyright (c) 2014-2016 SpongePowered &lt;http://www.spongepowered.org&gt;
# Copyright (c) contributors
# Permission is hereby granted, free of charge, to any person</t>
        </is>
      </c>
      <c r="I1860" t="n">
        <v>0.0053</v>
      </c>
      <c r="J1860" t="n">
        <v>0.0465</v>
      </c>
      <c r="K1860" t="n">
        <v>0.0935</v>
      </c>
      <c r="L1860" t="inlineStr">
        <is>
          <t>This code file is part of the Sponge API and it's licensed under the MIT License (MIT). The software can be freely used by anyone obtaining a copy of this software along with associated documentation files (the "Software"). This Software may be modified, merged, published, distributed, sublicensed, sold or otherwise transferred without restriction provided that all copies or substantial</t>
        </is>
      </c>
      <c r="M1860" t="n">
        <v>0.0041</v>
      </c>
      <c r="N1860" t="n">
        <v>0.0588</v>
      </c>
      <c r="O1860" t="n">
        <v>0.2409</v>
      </c>
    </row>
    <row r="1861">
      <c r="A1861" t="inlineStr">
        <is>
          <t>sponge</t>
        </is>
      </c>
      <c r="B1861" t="inlineStr">
        <is>
          <t>src/main/java/org/spongepowered/api/command/exception/CommandException.java</t>
        </is>
      </c>
      <c r="C1861">
        <f>HYPERLINK("https://github.com/SpongePowered/SpongeAPI/blob/master/src/main/java/org/spongepowered/api/command/exception/CommandException.java")</f>
        <v/>
      </c>
      <c r="D1861" t="inlineStr">
        <is>
          <t>```python
# This file is part of Sponge API and licensed under the MIT License (MIT).
# Copyright (c) 2023 SpongePowered &lt;https://www.spongepowered.org&gt;
# Copyright (c) contributors
# Permission is hereby granted, free of charge, to any person obtaining</t>
        </is>
      </c>
      <c r="E1861" t="n">
        <v>0.0058</v>
      </c>
      <c r="F1861" t="n">
        <v>0.08890000000000001</v>
      </c>
      <c r="G1861" t="n">
        <v>0.1364</v>
      </c>
      <c r="H1861" t="inlineStr">
        <is>
          <t>```python
# This file is part of Sponge API, licensed under the MIT License (MIT)
# Copyright (c) 2022 Sponge Powered &lt;https://www.spongepowered.org&gt;
# Copyright (c) contributors
# Permission is hereby granted, free of charge, to any person obtaining a</t>
        </is>
      </c>
      <c r="I1861" t="n">
        <v>0.0047</v>
      </c>
      <c r="J1861" t="n">
        <v>0.0435</v>
      </c>
      <c r="K1861" t="n">
        <v>0.0901</v>
      </c>
      <c r="L1861" t="inlineStr">
        <is>
          <t>The provided code is part of the Sponge API and it's licensed under the MIT License (MIT). It provides a backend software component for game development using Java programming language. This repository contains various algorithms used in game physics calculations such as collision detection, movement prediction etc. 
 The main purpose of this code base is to provide core functionality related to game mechanics like</t>
        </is>
      </c>
      <c r="M1861" t="n">
        <v>0.0076</v>
      </c>
      <c r="N1861" t="n">
        <v>0.0822</v>
      </c>
      <c r="O1861" t="n">
        <v>0.2735</v>
      </c>
    </row>
    <row r="1862">
      <c r="A1862" t="inlineStr">
        <is>
          <t>sponge</t>
        </is>
      </c>
      <c r="B1862" t="inlineStr">
        <is>
          <t>src/main/java/org/spongepowered/api/command/exception/InvocationCommandException.java</t>
        </is>
      </c>
      <c r="C1862">
        <f>HYPERLINK("https://github.com/SpongePowered/SpongeAPI/blob/master/src/main/java/org/spongepowered/api/command/exception/InvocationCommandException.java")</f>
        <v/>
      </c>
      <c r="D1862" t="inlineStr">
        <is>
          <t>```python
# This file is part of Sponge API and licensed under the MIT License (MIT). 
# Copyright (c) SpongePowered &lt;https://www.spongepowered.org&gt; 
# Copyright (c) contributors
# Permission is hereby granted, free of charge, to any person obtaining a copy</t>
        </is>
      </c>
      <c r="E1862" t="n">
        <v>0.0056</v>
      </c>
      <c r="F1862" t="n">
        <v>0.08699999999999999</v>
      </c>
      <c r="G1862" t="n">
        <v>0.1351</v>
      </c>
      <c r="H1862" t="inlineStr">
        <is>
          <t>```python
# This file is part of Sponge API, licensed under the MIT License (MIT)
# Copyright (c) 2022-present SpongePowered and contributors
# Permission is hereby granted, free of charge, to any person obtaining a copy
# of this software and associated documentation files (the "Soft</t>
        </is>
      </c>
      <c r="I1862" t="n">
        <v>0.0053</v>
      </c>
      <c r="J1862" t="n">
        <v>0.1176</v>
      </c>
      <c r="K1862" t="n">
        <v>0.2675</v>
      </c>
      <c r="L1862" t="inlineStr">
        <is>
          <t>```python
# This file is part of Sponge API, licensed under the MIT License (MIT). 
# Copyright (c) Sponge Powered &lt;https://www.spongepowered.org&gt; 
# Copyright (c) contributors 
# Permission is hereby granted, free of charge, to any person obtaining a copy</t>
        </is>
      </c>
      <c r="M1862" t="n">
        <v>0.0047</v>
      </c>
      <c r="N1862" t="n">
        <v>0.0435</v>
      </c>
      <c r="O1862" t="n">
        <v>0.0901</v>
      </c>
    </row>
    <row r="1863">
      <c r="A1863" t="inlineStr">
        <is>
          <t>sponge</t>
        </is>
      </c>
      <c r="B1863" t="inlineStr">
        <is>
          <t>src/main/java/org/spongepowered/api/command/exception/CommandPermissionException.java</t>
        </is>
      </c>
      <c r="C1863">
        <f>HYPERLINK("https://github.com/SpongePowered/SpongeAPI/blob/master/src/main/java/org/spongepowered/api/command/exception/CommandPermissionException.java")</f>
        <v/>
      </c>
      <c r="D1863" t="inlineStr">
        <is>
          <t>```python
# This file is part of Sponge API and licensed under the MIT License (MIT). 
# Copyright (c) SpongePowered &lt;https://www.spongepowered.org&gt; 
# Copyright (c) contributors 
# Permission is hereby granted, free of charge, to any person obtaining a</t>
        </is>
      </c>
      <c r="E1863" t="n">
        <v>0.0058</v>
      </c>
      <c r="F1863" t="n">
        <v>0.08890000000000001</v>
      </c>
      <c r="G1863" t="n">
        <v>0.1364</v>
      </c>
      <c r="H1863" t="inlineStr">
        <is>
          <t>This repository contains backend software components that implement core algorithms used in the Sponge API. The code is licensed under the MIT License (MIT), meaning it can be freely used and modified for any purpose without restriction. However, please note that while contributions are welcome, they should adhere to the conditions outlined in the license file. This includes not only copying or modifying the existing code but also</t>
        </is>
      </c>
      <c r="I1863" t="n">
        <v>0.0038</v>
      </c>
      <c r="J1863" t="n">
        <v>0.1316</v>
      </c>
      <c r="K1863" t="n">
        <v>0.3651</v>
      </c>
      <c r="L1863" t="inlineStr">
        <is>
          <t>The provided code file is part of the Sponge API and it's licensed under the MIT License (MIT). It belongs to a project called "Sponge Powered". This software allows for modifications, distribution, selling, etc., but requires permission from all persons who use or distribute this software. 
 The main purpose of the given source code appears to be</t>
        </is>
      </c>
      <c r="M1863" t="n">
        <v>0.0075</v>
      </c>
      <c r="N1863" t="n">
        <v>0.0606</v>
      </c>
      <c r="O1863" t="n">
        <v>0.155</v>
      </c>
    </row>
    <row r="1864">
      <c r="A1864" t="inlineStr">
        <is>
          <t>sponge</t>
        </is>
      </c>
      <c r="B1864" t="inlineStr">
        <is>
          <t>src/main/java/org/spongepowered/api/command/exception/CommandNotFoundException.java</t>
        </is>
      </c>
      <c r="C1864">
        <f>HYPERLINK("https://github.com/SpongePowered/SpongeAPI/blob/master/src/main/java/org/spongepowered/api/command/exception/CommandNotFoundException.java")</f>
        <v/>
      </c>
      <c r="D1864" t="inlineStr">
        <is>
          <t>```python
# This file is part of Sponge API, licensed under the MIT License (MIT).
# Copyright (c) SpongePowered &lt;https://www.spongepowered.org&gt;
# Copyright (c) contributors
# Permission is hereby granted, free of charge, to any person obtaining a copy
#</t>
        </is>
      </c>
      <c r="E1864" t="n">
        <v>0.0047</v>
      </c>
      <c r="F1864" t="n">
        <v>0.0444</v>
      </c>
      <c r="G1864" t="n">
        <v>0.0901</v>
      </c>
      <c r="H1864" t="inlineStr">
        <is>
          <t>This code is a simple function that adds two numbers together and returns the result. The time complexity of this operation is O(1), meaning it takes constant time regardless of the size of the input values.
#include &lt;iostream&gt;
using namespace std;
// Function to add two integers
int add(int a, int b){
    return a + b;</t>
        </is>
      </c>
      <c r="I1864" t="n">
        <v>0.0039</v>
      </c>
      <c r="J1864" t="n">
        <v>0.09379999999999999</v>
      </c>
      <c r="K1864" t="n">
        <v>0.1172</v>
      </c>
      <c r="L1864" t="inlineStr">
        <is>
          <t>```python
# This Python file is part of Sponge API and licensed under the MIT License (MIT). 
# Copyright (c) Sponge Powered &lt;https://www.spongepowered.org&gt; 
# Copyright (c) contributors  
# Permission is hereby granted, free of charge, to any person obtaining a copy of this software</t>
        </is>
      </c>
      <c r="M1864" t="n">
        <v>0.0055</v>
      </c>
      <c r="N1864" t="n">
        <v>0.0784</v>
      </c>
      <c r="O1864" t="n">
        <v>0.2721</v>
      </c>
    </row>
    <row r="1865">
      <c r="A1865" t="inlineStr">
        <is>
          <t>sponge</t>
        </is>
      </c>
      <c r="B1865" t="inlineStr">
        <is>
          <t>src/main/java/org/spongepowered/api/command/exception/ArgumentParseException.java</t>
        </is>
      </c>
      <c r="C1865">
        <f>HYPERLINK("https://github.com/SpongePowered/SpongeAPI/blob/master/src/main/java/org/spongepowered/api/command/exception/ArgumentParseException.java")</f>
        <v/>
      </c>
      <c r="D1865" t="inlineStr">
        <is>
          <t>```python
# This file is part of Sponge API and licensed under the MIT License (MIT). 
# Copyright (c) SpongePowered https://www.spongepowered.org
# Copyright (c) contributors
# Permission is hereby granted, free of charge, to any person obtaining a copy
# of</t>
        </is>
      </c>
      <c r="E1865" t="n">
        <v>0.0054</v>
      </c>
      <c r="F1865" t="n">
        <v>0.0851</v>
      </c>
      <c r="G1865" t="n">
        <v>0.1327</v>
      </c>
      <c r="H1865" t="inlineStr">
        <is>
          <t>This repository contains backend software components that implement core algorithms. The code is licensed under the MIT License (MIT), which allows anyone to obtain a copy of this software and associated documentation files (the "Software") without restriction, including without limitation the rights to use, copy, modify, merge, publish, distribute, sublicense, and/or sell copies of the Software, subject to the</t>
        </is>
      </c>
      <c r="I1865" t="n">
        <v>0.0044</v>
      </c>
      <c r="J1865" t="n">
        <v>0.1471</v>
      </c>
      <c r="K1865" t="n">
        <v>0.3405</v>
      </c>
      <c r="L1865" t="inlineStr">
        <is>
          <t>The provided code file is part of the Sponge API and it's licensed under the MIT License (MIT). It belongs to a software component that provides backend functionality for an application or game called "Sponge Powered". This software can be used freely by anyone, with no restrictions imposed on its use, including but not limited to rights to copy, modify, merge</t>
        </is>
      </c>
      <c r="M1865" t="n">
        <v>0.0075</v>
      </c>
      <c r="N1865" t="n">
        <v>0.0571</v>
      </c>
      <c r="O1865" t="n">
        <v>0.2373</v>
      </c>
    </row>
    <row r="1866">
      <c r="A1866" t="inlineStr">
        <is>
          <t>sponge</t>
        </is>
      </c>
      <c r="B1866" t="inlineStr">
        <is>
          <t>src/main/java/org/spongepowered/api/client/LocalServer.java</t>
        </is>
      </c>
      <c r="C1866">
        <f>HYPERLINK("https://github.com/SpongePowered/SpongeAPI/blob/master/src/main/java/org/spongepowered/api/client/LocalServer.java")</f>
        <v/>
      </c>
      <c r="D1866" t="inlineStr">
        <is>
          <t>```python
# This file is part of Sponge API and licensed under the MIT License (MIT). 
# Copyright (c) SpongePowered &lt;https://www.spongepowered.org&gt; 
# Copyright (c) contributors 
# Permission is hereby granted, free of charge, to any person obtaining a copy</t>
        </is>
      </c>
      <c r="E1866" t="n">
        <v>0.0056</v>
      </c>
      <c r="F1866" t="n">
        <v>0.08699999999999999</v>
      </c>
      <c r="G1866" t="n">
        <v>0.1351</v>
      </c>
      <c r="H1866" t="inlineStr">
        <is>
          <t>This repository contains backend software components that implement core algorithms. The function add() adds two numbers together and has a time complexity of O(1), meaning it performs the addition operation in constant time regardless of the size of the inputs. It is licensed under the MIT License (MIT), with copyright notices indicating its source and contributors. Permission to use, copy, modify, merge, publish</t>
        </is>
      </c>
      <c r="I1866" t="n">
        <v>0.0041</v>
      </c>
      <c r="J1866" t="n">
        <v>0.1667</v>
      </c>
      <c r="K1866" t="n">
        <v>0.3158</v>
      </c>
      <c r="L1866" t="inlineStr">
        <is>
          <t>This code file is part of the Sponge API and it's licensed under the MIT License (MIT). 
 Copyright (c) Sponge Powered &lt;https://www.spongepowered.org&gt; 
 Copyright (c) contributors 
 Permission is hereby granted, free of charge, to any person obtaining a copy of this software and</t>
        </is>
      </c>
      <c r="M1866" t="n">
        <v>0.0058</v>
      </c>
      <c r="N1866" t="n">
        <v>0.1111</v>
      </c>
      <c r="O1866" t="n">
        <v>0.2769</v>
      </c>
    </row>
    <row r="1867">
      <c r="A1867" t="inlineStr">
        <is>
          <t>sponge</t>
        </is>
      </c>
      <c r="B1867" t="inlineStr">
        <is>
          <t>src/main/java/org/spongepowered/api/client/package-info.java</t>
        </is>
      </c>
      <c r="C1867">
        <f>HYPERLINK("https://github.com/SpongePowered/SpongeAPI/blob/master/src/main/java/org/spongepowered/api/client/package-info.java")</f>
        <v/>
      </c>
      <c r="D1867" t="inlineStr">
        <is>
          <t>```python
# This file is part of Sponge API licensed under the MIT License (MIT). 
# Copyright (c) SpongePowered https://www.spongepowered.org
# Copyright (c) contributors
# Permission is hereby granted, free of charge, to any person obtaining a copy
# of this software</t>
        </is>
      </c>
      <c r="E1867" t="n">
        <v>0.0052</v>
      </c>
      <c r="F1867" t="n">
        <v>0.0833</v>
      </c>
      <c r="G1867" t="n">
        <v>0.2242</v>
      </c>
      <c r="H1867" t="inlineStr">
        <is>
          <t>This is a README file for the Sponge API project licensed under MIT License (MIT), which allows anyone to obtain a copy of this software and associated documentation files (the "Software") without restriction, including without limitation the rights to use, copy, modify, merge, publish, distribute, sublicense, and/or sell copies of the Software, subject to the following conditions</t>
        </is>
      </c>
      <c r="I1867" t="n">
        <v>0.0042</v>
      </c>
      <c r="J1867" t="n">
        <v>0.09089999999999999</v>
      </c>
      <c r="K1867" t="n">
        <v>0.1981</v>
      </c>
      <c r="L1867" t="inlineStr">
        <is>
          <t># This file is part of Sponge API and licensed under the MIT License (MIT). 
# Copyright (c) Sponge Powered &lt;https://www.spongepowered.org&gt; 
# Copyright (c) contributors 
# Permission is hereby granted, free of charge, to any person obtaining a copy 
# of this</t>
        </is>
      </c>
      <c r="M1867" t="n">
        <v>0.0052</v>
      </c>
      <c r="N1867" t="n">
        <v>0.0833</v>
      </c>
      <c r="O1867" t="n">
        <v>0.1316</v>
      </c>
    </row>
    <row r="1868">
      <c r="A1868" t="inlineStr">
        <is>
          <t>sponge</t>
        </is>
      </c>
      <c r="B1868" t="inlineStr">
        <is>
          <t>src/main/java/org/spongepowered/api/tag/Tag.java</t>
        </is>
      </c>
      <c r="C1868">
        <f>HYPERLINK("https://github.com/SpongePowered/SpongeAPI/blob/master/src/main/java/org/spongepowered/api/tag/Tag.java")</f>
        <v/>
      </c>
      <c r="D1868" t="inlineStr">
        <is>
          <t>```python
# This file is part of Sponge API and licensed under the MIT License (MIT). 
# Copyright (c) SpongePowered &lt;https://www.spongepowered.org&gt; 
# Copyright (c) contributors
# Permission is hereby granted, free of charge, to any person obtaining a copy 
# of</t>
        </is>
      </c>
      <c r="E1868" t="n">
        <v>0.0054</v>
      </c>
      <c r="F1868" t="n">
        <v>0.0851</v>
      </c>
      <c r="G1868" t="n">
        <v>0.1327</v>
      </c>
      <c r="H1868" t="inlineStr">
        <is>
          <t>```python
# This file is part of Sponge API, licensed under the MIT License (MIT).
# Copyright (c) SpongePowered &lt;https://www.spongepowered.org&gt;
# Copyright (c) contributors
# Permission is hereby granted, free of charge, to any person obtaining a copy
#</t>
        </is>
      </c>
      <c r="I1868" t="n">
        <v>0.0047</v>
      </c>
      <c r="J1868" t="n">
        <v>0.0444</v>
      </c>
      <c r="K1868" t="n">
        <v>0.0901</v>
      </c>
      <c r="L1868" t="inlineStr">
        <is>
          <t>```python
# This file is part of Sponge API and licensed under the MIT license (MIT). 
# Copyright (c) Sponge Powered &lt;https://www.spongepowered.org&gt; 
# Copyright (c) contributors 
# Permission is hereby granted, free of charge, to any person obtaining a copy</t>
        </is>
      </c>
      <c r="M1868" t="n">
        <v>0.0055</v>
      </c>
      <c r="N1868" t="n">
        <v>0.0851</v>
      </c>
      <c r="O1868" t="n">
        <v>0.1339</v>
      </c>
    </row>
    <row r="1869">
      <c r="A1869" t="inlineStr">
        <is>
          <t>sponge</t>
        </is>
      </c>
      <c r="B1869" t="inlineStr">
        <is>
          <t>src/main/java/org/spongepowered/api/tag/ItemTypeTags.java</t>
        </is>
      </c>
      <c r="C1869">
        <f>HYPERLINK("https://github.com/SpongePowered/SpongeAPI/blob/master/src/main/java/org/spongepowered/api/tag/ItemTypeTags.java")</f>
        <v/>
      </c>
      <c r="D1869" t="inlineStr">
        <is>
          <t># This code is part of Sponge API and licensed under the MIT License (MIT). 
# Copyright (c) SpongePowered https://www.spongepowered.org
# Copyright (c) contributors
# Permission is hereby granted, free of charge, to any person obtaining a copy
# of this software and</t>
        </is>
      </c>
      <c r="E1869" t="n">
        <v>0.0056</v>
      </c>
      <c r="F1869" t="n">
        <v>0.1224</v>
      </c>
      <c r="G1869" t="n">
        <v>0.2745</v>
      </c>
      <c r="H1869" t="inlineStr">
        <is>
          <t>This repository contains backend software components that implement core algorithms used in the Sponge API. The functions are licensed under the MIT License (MIT), which allows free use and modification of the code without restriction. However, it's important to note that these changes should be made with consideration for future maintenance and compatibility.
The function `add` is a simple addition operation that takes two</t>
        </is>
      </c>
      <c r="I1869" t="n">
        <v>0.004</v>
      </c>
      <c r="J1869" t="n">
        <v>0.1644</v>
      </c>
      <c r="K1869" t="n">
        <v>0.3135</v>
      </c>
      <c r="L1869" t="inlineStr">
        <is>
          <t>```python
# This file is part of Sponge API and licensed under the MIT License (MIT). 
# Copyright (c) Sponge Powered &lt;https://www.spongepowered.org&gt; 
# Copyright (c) contributors
# Permission is hereby granted, free of charge, to any person obtaining a copy 
#</t>
        </is>
      </c>
      <c r="M1869" t="n">
        <v>0.0054</v>
      </c>
      <c r="N1869" t="n">
        <v>0.0851</v>
      </c>
      <c r="O1869" t="n">
        <v>0.1327</v>
      </c>
    </row>
    <row r="1870">
      <c r="A1870" t="inlineStr">
        <is>
          <t>sponge</t>
        </is>
      </c>
      <c r="B1870" t="inlineStr">
        <is>
          <t>src/main/java/org/spongepowered/api/tag/EnchantmenTypeTags.java</t>
        </is>
      </c>
      <c r="C1870">
        <f>HYPERLINK("https://github.com/SpongePowered/SpongeAPI/blob/master/src/main/java/org/spongepowered/api/tag/EnchantmenTypeTags.java")</f>
        <v/>
      </c>
      <c r="D1870" t="inlineStr">
        <is>
          <t># This file is part of Sponge API and licensed under the MIT License (MIT). 
# Copyright (c) SpongePowered &lt;https://www.spongepowered.org&gt; 
# Copyright (c) contributors 
# Permission is hereby granted, free of charge, to any person obtaining a copy 
#</t>
        </is>
      </c>
      <c r="E1870" t="n">
        <v>0.0056</v>
      </c>
      <c r="F1870" t="n">
        <v>0.08890000000000001</v>
      </c>
      <c r="G1870" t="n">
        <v>0.1351</v>
      </c>
      <c r="H1870" t="inlineStr">
        <is>
          <t>This code is part of Sponge API and it's licensed under the MIT License (MIT). The software can be freely used, copied, modified, merged, published, distributed, sublicensed, and sold provided that this copyright notice and permission notices are included in all copies or substantial portions of the Software.
The software is provided "as-is," without warranty</t>
        </is>
      </c>
      <c r="I1870" t="n">
        <v>0.0044</v>
      </c>
      <c r="J1870" t="n">
        <v>0.09229999999999999</v>
      </c>
      <c r="K1870" t="n">
        <v>0.1575</v>
      </c>
      <c r="L1870" t="inlineStr">
        <is>
          <t>The provided code file is part of the Sponge API and it's licensed under MIT license (MIT). It contains backend software components developed by contributors to Sponge Powered &lt;https://www.spongepowered.org&gt;. 
 This code provides a core algorithm implementation for some functionality related to game development. However, without specific context or understanding</t>
        </is>
      </c>
      <c r="M1870" t="n">
        <v>0.0056</v>
      </c>
      <c r="N1870" t="n">
        <v>0.0984</v>
      </c>
      <c r="O1870" t="n">
        <v>0.2479</v>
      </c>
    </row>
    <row r="1871">
      <c r="A1871" t="inlineStr">
        <is>
          <t>sponge</t>
        </is>
      </c>
      <c r="B1871" t="inlineStr">
        <is>
          <t>src/main/java/org/spongepowered/api/tag/package-info.java</t>
        </is>
      </c>
      <c r="C1871">
        <f>HYPERLINK("https://github.com/SpongePowered/SpongeAPI/blob/master/src/main/java/org/spongepowered/api/tag/package-info.java")</f>
        <v/>
      </c>
      <c r="D1871" t="inlineStr">
        <is>
          <t>```python
# This file is part of Sponge API and licensed under the MIT License (MIT). 
# Copyright (c) SpongePowered &lt;https://www.spongepowered.org&gt; 
# Copyright (c) contributors
# Permission is hereby granted, free of charge, to any person obtaining a copy of this</t>
        </is>
      </c>
      <c r="E1871" t="n">
        <v>0.0054</v>
      </c>
      <c r="F1871" t="n">
        <v>0.0833</v>
      </c>
      <c r="G1871" t="n">
        <v>0.1327</v>
      </c>
      <c r="H1871" t="inlineStr">
        <is>
          <t>This repository contains backend software components that implement core algorithms. The code is licensed under the MIT License (MIT), which allows anyone to obtain a copy of this software and associated documentation files (the "Software") without restriction, including without limitation the rights to use, copy, modify, merge, publish, distribute, sublicense, and/or sell copies of the Software, subject to the</t>
        </is>
      </c>
      <c r="I1871" t="n">
        <v>0.0044</v>
      </c>
      <c r="J1871" t="n">
        <v>0.1471</v>
      </c>
      <c r="K1871" t="n">
        <v>0.3405</v>
      </c>
      <c r="L1871" t="inlineStr">
        <is>
          <t>This code file is part of the Sponge API and it's licensed under the MIT License (MIT). The software can be freely used by anyone obtaining a copy of this software along with associated documentation files (the "Software"). To deal in the Software without restriction, including without limitation the rights to use, copy, modify, merge, publish, distribute, sublicense, and</t>
        </is>
      </c>
      <c r="M1871" t="n">
        <v>0.0041</v>
      </c>
      <c r="N1871" t="n">
        <v>0.0882</v>
      </c>
      <c r="O1871" t="n">
        <v>0.1527</v>
      </c>
    </row>
    <row r="1872">
      <c r="A1872" t="inlineStr">
        <is>
          <t>sponge</t>
        </is>
      </c>
      <c r="B1872" t="inlineStr">
        <is>
          <t>src/main/java/org/spongepowered/api/tag/FluidTypeTags.java</t>
        </is>
      </c>
      <c r="C1872">
        <f>HYPERLINK("https://github.com/SpongePowered/SpongeAPI/blob/master/src/main/java/org/spongepowered/api/tag/FluidTypeTags.java")</f>
        <v/>
      </c>
      <c r="D1872" t="inlineStr">
        <is>
          <t>It appears that you've provided a summary of the code but didn't include any actual code to summarize. Could you please provide the specific piece of code for which you need help in writing a concise and clear description?</t>
        </is>
      </c>
      <c r="E1872" t="n">
        <v>0.0047</v>
      </c>
      <c r="F1872" t="n">
        <v>0.0408</v>
      </c>
      <c r="G1872" t="n">
        <v>0.045</v>
      </c>
      <c r="H1872" t="inlineStr">
        <is>
          <t>This is a README file for the Sponge API project licensed under MIT License (MIT), which provides copyright notices and permissions to use the software without restriction. The Software is provided "as-is," with no warranty of any kind, express or implied, including but not limited to warranties that the Software will meet certain criteria such as merchantability, fitness for a particular purpose,</t>
        </is>
      </c>
      <c r="I1872" t="n">
        <v>0.0039</v>
      </c>
      <c r="J1872" t="n">
        <v>0.0563</v>
      </c>
      <c r="K1872" t="n">
        <v>0.1493</v>
      </c>
      <c r="L1872" t="inlineStr">
        <is>
          <t>```python
# This file is part of Sponge API, licensed under the MIT License (MIT). 
# Copyright (c) Sponge Powered &lt;https://www.spongepowered.org&gt; 
# Copyright (c) contributors 
# Permission is hereby granted, free of charge, to any person obtaining a copy</t>
        </is>
      </c>
      <c r="M1872" t="n">
        <v>0.0047</v>
      </c>
      <c r="N1872" t="n">
        <v>0.0435</v>
      </c>
      <c r="O1872" t="n">
        <v>0.0901</v>
      </c>
    </row>
    <row r="1873">
      <c r="A1873" t="inlineStr">
        <is>
          <t>sponge</t>
        </is>
      </c>
      <c r="B1873" t="inlineStr">
        <is>
          <t>src/main/java/org/spongepowered/api/tag/DamageTypeTags.java</t>
        </is>
      </c>
      <c r="C1873">
        <f>HYPERLINK("https://github.com/SpongePowered/SpongeAPI/blob/master/src/main/java/org/spongepowered/api/tag/DamageTypeTags.java")</f>
        <v/>
      </c>
      <c r="D1873" t="inlineStr">
        <is>
          <t># This file is part of Sponge API and licensed under the MIT License (MIT), Copyright (c) 2014-2016 The SpongePowered Team and Contributors. Permission is hereby granted, free of charge, to any person obtaining a copy of this software and associated documentation files (the "Software"), to deal</t>
        </is>
      </c>
      <c r="E1873" t="n">
        <v>0.0051</v>
      </c>
      <c r="F1873" t="n">
        <v>0.1091</v>
      </c>
      <c r="G1873" t="n">
        <v>0.2652</v>
      </c>
      <c r="H1873" t="inlineStr">
        <is>
          <t>```python
# This file is part of Sponge API, licensed under the MIT License (MIT).
# Copyright (c) 2017-2020 SpongePowered &lt;https://www.spongepowered.org&gt;
# Copyright (c) contributors
# Permission is hereby granted, free of</t>
        </is>
      </c>
      <c r="I1873" t="n">
        <v>0.0058</v>
      </c>
      <c r="J1873" t="n">
        <v>0.05</v>
      </c>
      <c r="K1873" t="n">
        <v>0.09619999999999999</v>
      </c>
      <c r="L1873" t="inlineStr">
        <is>
          <t>The provided code file is part of the Sponge API and it's licensed under the MIT License (MIT). It belongs to a software component that provides backend functionality for games powered by Sponge. This software allows any person obtaining a copy of this software and associated documentation files (the "Software") to deal in the Software without restriction, including without limitation the rights to use,</t>
        </is>
      </c>
      <c r="M1873" t="n">
        <v>0.0072</v>
      </c>
      <c r="N1873" t="n">
        <v>0.0822</v>
      </c>
      <c r="O1873" t="n">
        <v>0.1471</v>
      </c>
    </row>
    <row r="1874">
      <c r="A1874" t="inlineStr">
        <is>
          <t>sponge</t>
        </is>
      </c>
      <c r="B1874" t="inlineStr">
        <is>
          <t>src/main/java/org/spongepowered/api/tag/EntityTypeTags.java</t>
        </is>
      </c>
      <c r="C1874">
        <f>HYPERLINK("https://github.com/SpongePowered/SpongeAPI/blob/master/src/main/java/org/spongepowered/api/tag/EntityTypeTags.java")</f>
        <v/>
      </c>
      <c r="D1874" t="inlineStr">
        <is>
          <t>```python
# This file is part of Sponge API, licensed under the MIT License (MIT).
# Copyright (c) SpongePowered &lt;https://www.spongepowered.org&gt;
# Copyright (c) contributors 
# Permission is hereby granted, free of charge, to any person obtaining a copy</t>
        </is>
      </c>
      <c r="E1874" t="n">
        <v>0.0049</v>
      </c>
      <c r="F1874" t="n">
        <v>0.0444</v>
      </c>
      <c r="G1874" t="n">
        <v>0.09089999999999999</v>
      </c>
      <c r="H1874" t="inlineStr">
        <is>
          <t>This repository contains backend software components that implement core algorithms. The complexity of these functions is O(n), where n represents the number of elements in a list or array. These functions are used to perform operations such as addition and multiplication on numbers. They're licensed under the MIT License (MIT), which allows free use, modification, distribution etc., provided certain conditions are met. README file</t>
        </is>
      </c>
      <c r="I1874" t="n">
        <v>0.004</v>
      </c>
      <c r="J1874" t="n">
        <v>0.1622</v>
      </c>
      <c r="K1874" t="n">
        <v>0.3135</v>
      </c>
      <c r="L1874" t="inlineStr">
        <is>
          <t>The provided code is part of Sponge API and it's licensed under the MIT License (MIT). It provides a backend software component for game development platforms like Minecraft. This software allows users to create mods or plugins that extend its functionality by adding new features, mechanics, or interfaces. 
 The main purpose of this software is to manage various aspects such as entity</t>
        </is>
      </c>
      <c r="M1874" t="n">
        <v>0.0074</v>
      </c>
      <c r="N1874" t="n">
        <v>0.08450000000000001</v>
      </c>
      <c r="O1874" t="n">
        <v>0.2355</v>
      </c>
    </row>
    <row r="1875">
      <c r="A1875" t="inlineStr">
        <is>
          <t>sponge</t>
        </is>
      </c>
      <c r="B1875" t="inlineStr">
        <is>
          <t>src/main/java/org/spongepowered/api/tag/BiomeTags.java</t>
        </is>
      </c>
      <c r="C1875">
        <f>HYPERLINK("https://github.com/SpongePowered/SpongeAPI/blob/master/src/main/java/org/spongepowered/api/tag/BiomeTags.java")</f>
        <v/>
      </c>
      <c r="D1875" t="inlineStr">
        <is>
          <t># This file is part of Sponge API and licensed under the MIT License (MIT). 
# Copyright (c) SpongePowered https://www.spongepowered.org
# Copyright (c) contributors
# Permission is hereby granted, free of charge, to any person obtaining a copy
# of this software and associated</t>
        </is>
      </c>
      <c r="E1875" t="n">
        <v>0.0055</v>
      </c>
      <c r="F1875" t="n">
        <v>0.12</v>
      </c>
      <c r="G1875" t="n">
        <v>0.2721</v>
      </c>
      <c r="H1875" t="inlineStr">
        <is>
          <t>```python
# This file is part of Sponge API, licensed under the MIT License (MIT).
# Copyright (c) 2014-2020 SpongePowered &lt;http://www.spongepowered.org&gt;
# Copyright (c) contributors
# Permission is hereby granted, free of charge</t>
        </is>
      </c>
      <c r="I1875" t="n">
        <v>0.0056</v>
      </c>
      <c r="J1875" t="n">
        <v>0.0488</v>
      </c>
      <c r="K1875" t="n">
        <v>0.09520000000000001</v>
      </c>
      <c r="L1875" t="inlineStr">
        <is>
          <t>The provided code file is part of the Sponge API and it's licensed under the MIT License (MIT). It belongs to Sponge Powered &lt;https://www.spongepowered.org&gt;. This software can be freely used for any purpose without restriction including but not limited to rights to use, copy, modify, merge, publish, distribute, s</t>
        </is>
      </c>
      <c r="M1875" t="n">
        <v>0.008800000000000001</v>
      </c>
      <c r="N1875" t="n">
        <v>0.06560000000000001</v>
      </c>
      <c r="O1875" t="n">
        <v>0.2608</v>
      </c>
    </row>
    <row r="1876">
      <c r="A1876" t="inlineStr">
        <is>
          <t>sponge</t>
        </is>
      </c>
      <c r="B1876" t="inlineStr">
        <is>
          <t>src/main/java/org/spongepowered/api/tag/TagTemplate.java</t>
        </is>
      </c>
      <c r="C1876">
        <f>HYPERLINK("https://github.com/SpongePowered/SpongeAPI/blob/master/src/main/java/org/spongepowered/api/tag/TagTemplate.java")</f>
        <v/>
      </c>
      <c r="D1876" t="inlineStr">
        <is>
          <t>"""
This file is part of Sponge API and licensed under the MIT License (MIT). 
It's a software component for backend software with complex algorithms implemented in Java. The code base size is around 1000 lines long. It provides functionalities related to core game mechanics such as entity management, world generation, player interaction etc., which are crucial for</t>
        </is>
      </c>
      <c r="E1876" t="n">
        <v>0.0045</v>
      </c>
      <c r="F1876" t="n">
        <v>0.1212</v>
      </c>
      <c r="G1876" t="n">
        <v>0.2308</v>
      </c>
      <c r="H1876" t="inlineStr">
        <is>
          <t>This code is a function named `add` that takes two parameters (numbers), adds them together and returns the result. The time complexity of this operation is O(1), meaning it always executes in constant time regardless of input size.
In summary, this file contains backend software components licensed under MIT License by Sponge Powered &lt;https://www.spongepowered</t>
        </is>
      </c>
      <c r="I1876" t="n">
        <v>0.0045</v>
      </c>
      <c r="J1876" t="n">
        <v>0.09229999999999999</v>
      </c>
      <c r="K1876" t="n">
        <v>0.1587</v>
      </c>
      <c r="L1876" t="inlineStr">
        <is>
          <t>The provided code file is part of the Sponge API and is licensed under the MIT License (MIT). It's a backend software component that provides various functionalities related to game development like physics calculations, entity interactions etc. 
 This repository contains two main classes - PhysicsEngine which handles all physical computations for entities in the game world and EntityManager which</t>
        </is>
      </c>
      <c r="M1876" t="n">
        <v>0.0041</v>
      </c>
      <c r="N1876" t="n">
        <v>0.0896</v>
      </c>
      <c r="O1876" t="n">
        <v>0.1527</v>
      </c>
    </row>
    <row r="1877">
      <c r="A1877" t="inlineStr">
        <is>
          <t>sponge</t>
        </is>
      </c>
      <c r="B1877" t="inlineStr">
        <is>
          <t>src/main/java/org/spongepowered/api/tag/Taggable.java</t>
        </is>
      </c>
      <c r="C1877">
        <f>HYPERLINK("https://github.com/SpongePowered/SpongeAPI/blob/master/src/main/java/org/spongepowered/api/tag/Taggable.java")</f>
        <v/>
      </c>
      <c r="D1877" t="inlineStr">
        <is>
          <t>```python
# This file is part of Sponge API and licensed under the MIT License (MIT). 
# Copyright (c) Sponge Powered &lt;https://www.spongepowered.org&gt; 
# Copyright (c) contributors 
# Permission is hereby granted, free of charge, to any person obtaining a copy</t>
        </is>
      </c>
      <c r="E1877" t="n">
        <v>0.0055</v>
      </c>
      <c r="F1877" t="n">
        <v>0.0851</v>
      </c>
      <c r="G1877" t="n">
        <v>0.1339</v>
      </c>
      <c r="H1877" t="inlineStr">
        <is>
          <t>```python
# This file is part of Sponge API, licensed under the MIT License (MIT).
# Copyright (c) SpongePowered &lt;https://www.spongepowered.org&gt; 
# and contributors
# Permission is hereby granted, free of charge, to any person obtaining a copy 
# of this</t>
        </is>
      </c>
      <c r="I1877" t="n">
        <v>0.0055</v>
      </c>
      <c r="J1877" t="n">
        <v>0.08699999999999999</v>
      </c>
      <c r="K1877" t="n">
        <v>0.1339</v>
      </c>
      <c r="L1877" t="inlineStr">
        <is>
          <t>The provided code file is part of the Sponge API and it's licensed under the MIT License (MIT). It contains backend software components developed by contributors to Sponge Powered &lt;https://www.spongepowered.org&gt;. 
 This code provides a core algorithm implementation that deals with various operations related to game mechanics such as physics calculations or</t>
        </is>
      </c>
      <c r="M1877" t="n">
        <v>0.0051</v>
      </c>
      <c r="N1877" t="n">
        <v>0.0635</v>
      </c>
      <c r="O1877" t="n">
        <v>0.2439</v>
      </c>
    </row>
    <row r="1878">
      <c r="A1878" t="inlineStr">
        <is>
          <t>sponge</t>
        </is>
      </c>
      <c r="B1878" t="inlineStr">
        <is>
          <t>src/main/java/org/spongepowered/api/tag/BlockTypeTags.java</t>
        </is>
      </c>
      <c r="C1878">
        <f>HYPERLINK("https://github.com/SpongePowered/SpongeAPI/blob/master/src/main/java/org/spongepowered/api/tag/BlockTypeTags.java")</f>
        <v/>
      </c>
      <c r="D1878" t="inlineStr">
        <is>
          <t>```python
# This file is part of Sponge API, licensed under the MIT License (MIT).
# Copyright (c) SpongePowered &lt;https://www.spongepowered.org&gt;
# Copyright (c) contributors
# 
# Permission is hereby granted, free of charge, to any person obtaining a copy</t>
        </is>
      </c>
      <c r="E1878" t="n">
        <v>0.0047</v>
      </c>
      <c r="F1878" t="n">
        <v>0.0444</v>
      </c>
      <c r="G1878" t="n">
        <v>0.0901</v>
      </c>
      <c r="H1878" t="inlineStr">
        <is>
          <t>This code is a simple function that adds two numbers together and returns the result. It has a time complexity of O(1), meaning it performs a fixed number of operations regardless of input size. The function takes in parameters 'a' and 'b', which are presumably numerical values to be added together.
# README file for Sponge API repository
## Summary 
This repository</t>
        </is>
      </c>
      <c r="I1878" t="n">
        <v>0.0035</v>
      </c>
      <c r="J1878" t="n">
        <v>0.08699999999999999</v>
      </c>
      <c r="K1878" t="n">
        <v>0.1119</v>
      </c>
      <c r="L1878" t="inlineStr">
        <is>
          <t>The provided code file is part of the Sponge API and it's licensed under the MIT License (MIT). It belongs to Sponge Powered &lt;https://www.spongepowered.org&gt;. 
 This software provides a core algorithm implementation that deals with various operations related to game development such as physics calculations or AI behavior. However, without context</t>
        </is>
      </c>
      <c r="M1878" t="n">
        <v>0.0092</v>
      </c>
      <c r="N1878" t="n">
        <v>0.0968</v>
      </c>
      <c r="O1878" t="n">
        <v>0.3495</v>
      </c>
    </row>
    <row r="1879">
      <c r="A1879" t="inlineStr">
        <is>
          <t>sponge</t>
        </is>
      </c>
      <c r="B1879" t="inlineStr">
        <is>
          <t>src/main/java/org/spongepowered/api/network/EngineConnectionSide.java</t>
        </is>
      </c>
      <c r="C1879">
        <f>HYPERLINK("https://github.com/SpongePowered/SpongeAPI/blob/master/src/main/java/org/spongepowered/api/network/EngineConnectionSide.java")</f>
        <v/>
      </c>
      <c r="D1879" t="inlineStr">
        <is>
          <t># This file is part of Sponge API and licensed under the MIT License (MIT). 
# Copyright (c) SpongePowered https://www.spongepowered.org 
# Copyright (c) contributors 
# Permission is hereby granted, free of charge, to any person obtaining a copy 
# of this</t>
        </is>
      </c>
      <c r="E1879" t="n">
        <v>0.0054</v>
      </c>
      <c r="F1879" t="n">
        <v>0.0851</v>
      </c>
      <c r="G1879" t="n">
        <v>0.1327</v>
      </c>
      <c r="H1879" t="inlineStr">
        <is>
          <t>```python
# This file is part of SpongeAPI, licensed under the MIT License (MIT).
# Copyright (c) 2014-2020 SpongePowered &lt;http://www.spongepowered.org&gt;
# Copyright (c) contributors
# Permission is hereby granted, free of</t>
        </is>
      </c>
      <c r="I1879" t="n">
        <v>0.006</v>
      </c>
      <c r="J1879" t="n">
        <v>0.0513</v>
      </c>
      <c r="K1879" t="n">
        <v>0.09710000000000001</v>
      </c>
      <c r="L1879" t="inlineStr">
        <is>
          <t>```python
# This file is part of Sponge API, licensed under the MIT License (MIT). 
# Copyright (c) Sponge Powered &lt;https://www.spongepowered.org&gt; 
# Copyright (c) contributors 
# Permission is hereby granted, free of charge, to any person obtaining a copy</t>
        </is>
      </c>
      <c r="M1879" t="n">
        <v>0.0047</v>
      </c>
      <c r="N1879" t="n">
        <v>0.0435</v>
      </c>
      <c r="O1879" t="n">
        <v>0.0901</v>
      </c>
    </row>
    <row r="1880">
      <c r="A1880" t="inlineStr">
        <is>
          <t>sponge</t>
        </is>
      </c>
      <c r="B1880" t="inlineStr">
        <is>
          <t>src/main/java/org/spongepowered/api/network/ServerConnectionState.java</t>
        </is>
      </c>
      <c r="C1880">
        <f>HYPERLINK("https://github.com/SpongePowered/SpongeAPI/blob/master/src/main/java/org/spongepowered/api/network/ServerConnectionState.java")</f>
        <v/>
      </c>
      <c r="D1880" t="inlineStr">
        <is>
          <t>```python
# This file is part of Sponge API licensed under the MIT License (MIT)
# Copyright (c) 2019-2020 SpongePowered &lt;https://www.spongepowered.org&gt;
# Copyright (c) contributors
# Permission is hereby granted, free of charge,</t>
        </is>
      </c>
      <c r="E1880" t="n">
        <v>0.0056</v>
      </c>
      <c r="F1880" t="n">
        <v>0.0488</v>
      </c>
      <c r="G1880" t="n">
        <v>0.09520000000000001</v>
      </c>
      <c r="H1880" t="inlineStr">
        <is>
          <t>This code is a part of the Sponge API and it's licensed under the MIT License (MIT). It provides an implementation for core algorithms related to mathematical operations such as addition. The software can be used freely without restriction provided that this copyright notice and permission notice are included in all copies or substantial portions of the Software.
The software is provided "as-is," with</t>
        </is>
      </c>
      <c r="I1880" t="n">
        <v>0.004</v>
      </c>
      <c r="J1880" t="n">
        <v>0.1081</v>
      </c>
      <c r="K1880" t="n">
        <v>0.2206</v>
      </c>
      <c r="L1880" t="inlineStr">
        <is>
          <t>The provided code file is part of the Sponge API and is licensed under the MIT License (MIT). It's a software component for game development in Java. This repository contains backend software components that are used to handle core algorithms related to game physics, such as collision detection or particle systems. 
 The main purpose of this code is to simulate physical interactions between objects</t>
        </is>
      </c>
      <c r="M1880" t="n">
        <v>0.004</v>
      </c>
      <c r="N1880" t="n">
        <v>0.0822</v>
      </c>
      <c r="O1880" t="n">
        <v>0.1838</v>
      </c>
    </row>
    <row r="1881">
      <c r="A1881" t="inlineStr">
        <is>
          <t>sponge</t>
        </is>
      </c>
      <c r="B1881" t="inlineStr">
        <is>
          <t>src/main/java/org/spongepowered/api/network/EngineConnection.java</t>
        </is>
      </c>
      <c r="C1881">
        <f>HYPERLINK("https://github.com/SpongePowered/SpongeAPI/blob/master/src/main/java/org/spongepowered/api/network/EngineConnection.java")</f>
        <v/>
      </c>
      <c r="D1881" t="inlineStr">
        <is>
          <t># This file is part of Sponge API and licensed under the MIT License (MIT). 
# Copyright (c) SpongePowered &lt;https://www.spongepowered.org&gt; 
# Copyright (c) contributors
# Permission is hereby granted, free of charge, to any person obtaining a copy 
# of this</t>
        </is>
      </c>
      <c r="E1881" t="n">
        <v>0.0054</v>
      </c>
      <c r="F1881" t="n">
        <v>0.0851</v>
      </c>
      <c r="G1881" t="n">
        <v>0.1327</v>
      </c>
      <c r="H1881" t="inlineStr">
        <is>
          <t>This repository contains backend software components that implement core algorithms for various tasks such as mathematical operations. The code is licensed under the MIT License (MIT), which allows anyone to use, copy, modify, merge, publish, distribute, sublicense, and sell copies of the Software provided it complies with the following conditions: 
- The above copyright notice and this permission notice shall be</t>
        </is>
      </c>
      <c r="I1881" t="n">
        <v>0.0042</v>
      </c>
      <c r="J1881" t="n">
        <v>0.1471</v>
      </c>
      <c r="K1881" t="n">
        <v>0.2797</v>
      </c>
      <c r="L1881" t="inlineStr">
        <is>
          <t>The provided code file is part of the Sponge API and it's licensed under the MIT License (MIT). It belongs to Sponge Powered &lt;https://www.spongepowered.org&gt;. The copyright for this software belongs to its contributors as well. 
By obtaining a copy of this software and associated documentation files (the "Soft</t>
        </is>
      </c>
      <c r="M1881" t="n">
        <v>0.0045</v>
      </c>
      <c r="N1881" t="n">
        <v>0.1</v>
      </c>
      <c r="O1881" t="n">
        <v>0.263</v>
      </c>
    </row>
    <row r="1882">
      <c r="A1882" t="inlineStr">
        <is>
          <t>sponge</t>
        </is>
      </c>
      <c r="B1882" t="inlineStr">
        <is>
          <t>src/main/java/org/spongepowered/api/network/ClientConnectionState.java</t>
        </is>
      </c>
      <c r="C1882">
        <f>HYPERLINK("https://github.com/SpongePowered/SpongeAPI/blob/master/src/main/java/org/spongepowered/api/network/ClientConnectionState.java")</f>
        <v/>
      </c>
      <c r="D1882" t="inlineStr">
        <is>
          <t># This file is part of Sponge API licensed under the MIT License (MIT). 
# Copyright (c) SpongePowered https://www.spongepowered.org
# Copyright (c) contributors
# Permission is hereby granted, free of charge, to any person obtaining a copy 
# of this software and associated</t>
        </is>
      </c>
      <c r="E1882" t="n">
        <v>0.0056</v>
      </c>
      <c r="F1882" t="n">
        <v>0.1224</v>
      </c>
      <c r="G1882" t="n">
        <v>0.2745</v>
      </c>
      <c r="H1882" t="inlineStr">
        <is>
          <t>The provided code is a function named "add". It takes two parameters (a and b), adds them together, and returns the result. The time complexity of this operation is O(1), meaning it always executes in constant time regardless of input size. This function appears to be part of Sponge API software licensed under the MIT License.
In summary, this code performs addition</t>
        </is>
      </c>
      <c r="I1882" t="n">
        <v>0.0039</v>
      </c>
      <c r="J1882" t="n">
        <v>0.0563</v>
      </c>
      <c r="K1882" t="n">
        <v>0.1493</v>
      </c>
      <c r="L1882" t="inlineStr">
        <is>
          <t>```python
# This file is part of Sponge API and licensed under the MIT License (MIT). 
# Copyright (c) Sponge Powered &lt;https://www.spongepowered.org&gt; 
# Copyright (c) contributors 
# Permission is hereby granted, free of charge, to any person obtaining a copy</t>
        </is>
      </c>
      <c r="M1882" t="n">
        <v>0.0055</v>
      </c>
      <c r="N1882" t="n">
        <v>0.0851</v>
      </c>
      <c r="O1882" t="n">
        <v>0.1339</v>
      </c>
    </row>
    <row r="1883">
      <c r="A1883" t="inlineStr">
        <is>
          <t>sponge</t>
        </is>
      </c>
      <c r="B1883" t="inlineStr">
        <is>
          <t>src/main/java/org/spongepowered/api/network/package-info.java</t>
        </is>
      </c>
      <c r="C1883">
        <f>HYPERLINK("https://github.com/SpongePowered/SpongeAPI/blob/master/src/main/java/org/spongepowered/api/network/package-info.java")</f>
        <v/>
      </c>
      <c r="D1883" t="inlineStr">
        <is>
          <t># This file is part of Sponge API and licensed under the MIT License (MIT). 
# Copyright (c) SpongePowered https://www.spongepowered.org
# Copyright (c) contributors
# Permission is hereby granted, free of charge, to any person obtaining a copy 
# of this software and associated documentation</t>
        </is>
      </c>
      <c r="E1883" t="n">
        <v>0.0054</v>
      </c>
      <c r="F1883" t="n">
        <v>0.1176</v>
      </c>
      <c r="G1883" t="n">
        <v>0.2698</v>
      </c>
      <c r="H1883" t="inlineStr">
        <is>
          <t>This repository contains backend software components that implement core algorithms used in the Sponge API. The code is licensed under the MIT License (MIT), which allows free use, modification and distribution of the software without restriction provided this notice is included.
In terms of complexity, the function add() has a time complexity of O(1) as it performs a single operation regardless of input size</t>
        </is>
      </c>
      <c r="I1883" t="n">
        <v>0.004</v>
      </c>
      <c r="J1883" t="n">
        <v>0.137</v>
      </c>
      <c r="K1883" t="n">
        <v>0.3135</v>
      </c>
      <c r="L1883" t="inlineStr">
        <is>
          <t>The provided code file is part of Sponge API and it's licensed under the MIT License (MIT). It belongs to a project that aims at creating an open source game engine for Minecraft. This software allows users to create mods or plugins which can extend its functionality by adding new features or behaviors without altering the core algorithm directly. 
 The main purpose of</t>
        </is>
      </c>
      <c r="M1883" t="n">
        <v>0.0077</v>
      </c>
      <c r="N1883" t="n">
        <v>0.0833</v>
      </c>
      <c r="O1883" t="n">
        <v>0.2756</v>
      </c>
    </row>
    <row r="1884">
      <c r="A1884" t="inlineStr">
        <is>
          <t>sponge</t>
        </is>
      </c>
      <c r="B1884" t="inlineStr">
        <is>
          <t>src/main/java/org/spongepowered/api/network/RemoteConnection.java</t>
        </is>
      </c>
      <c r="C1884">
        <f>HYPERLINK("https://github.com/SpongePowered/SpongeAPI/blob/master/src/main/java/org/spongepowered/api/network/RemoteConnection.java")</f>
        <v/>
      </c>
      <c r="D1884" t="inlineStr">
        <is>
          <t>The provided code is part of the Sponge API and licensed under the MIT License (MIT). It's a collection of backend software components implementing core algorithms for various functionalities in game development. The copyright notice at the top indicates that it was developed by contributors to the SpongePowered project. 
It grants free rights to use, copy,</t>
        </is>
      </c>
      <c r="E1884" t="n">
        <v>0.0043</v>
      </c>
      <c r="F1884" t="n">
        <v>0.1231</v>
      </c>
      <c r="G1884" t="n">
        <v>0.2906</v>
      </c>
      <c r="H1884" t="inlineStr">
        <is>
          <t>The provided code is a function named "add". This function takes two parameters (a and b), adds them together, and returns the result. The time complexity of this operation is O(1), which means it always executes in constant time regardless of the size of the input data.
In summary, this code performs basic arithmetic addition on two numbers. It's part of</t>
        </is>
      </c>
      <c r="I1884" t="n">
        <v>0.0036</v>
      </c>
      <c r="J1884" t="n">
        <v>0.08450000000000001</v>
      </c>
      <c r="K1884" t="n">
        <v>0.1128</v>
      </c>
      <c r="L1884" t="inlineStr">
        <is>
          <t>```python
# This file is part of Sponge API, licensed under the MIT License (MIT). 
# Copyright (c) Sponge Powered &lt;https://www.spongepowered.org&gt; 
# Copyright (c) contributors 
# Permission is hereby granted, free of charge, to any person obtaining a copy</t>
        </is>
      </c>
      <c r="M1884" t="n">
        <v>0.0047</v>
      </c>
      <c r="N1884" t="n">
        <v>0.0435</v>
      </c>
      <c r="O1884" t="n">
        <v>0.0901</v>
      </c>
    </row>
    <row r="1885">
      <c r="A1885" t="inlineStr">
        <is>
          <t>sponge</t>
        </is>
      </c>
      <c r="B1885" t="inlineStr">
        <is>
          <t>src/main/java/org/spongepowered/api/network/EngineConnectionStates.java</t>
        </is>
      </c>
      <c r="C1885">
        <f>HYPERLINK("https://github.com/SpongePowered/SpongeAPI/blob/master/src/main/java/org/spongepowered/api/network/EngineConnectionStates.java")</f>
        <v/>
      </c>
      <c r="D1885" t="inlineStr">
        <is>
          <t>The provided code is part of the Sponge API and it's licensed under the MIT License (MIT), which allows anyone to obtain a copy of this software and associated documentation files without restriction. The Software can be used, copied, modified, merged, published, distributed, sublicensed, and sold in any way as long as these conditions are met.</t>
        </is>
      </c>
      <c r="E1885" t="n">
        <v>0.0039</v>
      </c>
      <c r="F1885" t="n">
        <v>0.09229999999999999</v>
      </c>
      <c r="G1885" t="n">
        <v>0.1563</v>
      </c>
      <c r="H1885" t="inlineStr">
        <is>
          <t>This repository contains backend software components that implement core algorithms used in the Sponge API. The code is licensed under the MIT License (MIT), which allows free use, modification and distribution of the software without restriction from contributors. It's provided as-is with no warranty expressed or implied. This includes but not limited to merchantability, fitness for a particular purpose, non-infr</t>
        </is>
      </c>
      <c r="I1885" t="n">
        <v>0.0043</v>
      </c>
      <c r="J1885" t="n">
        <v>0.1408</v>
      </c>
      <c r="K1885" t="n">
        <v>0.323</v>
      </c>
      <c r="L1885" t="inlineStr">
        <is>
          <t>The provided code file is part of the Sponge API and it's licensed under the MIT License (MIT). It belongs to Sponge Powered &lt;https://www.spongepowered.org&gt;. The copyright for this software belong to its contributors as well. Permission is hereby granted, free of charge, to any person obtaining a copy of</t>
        </is>
      </c>
      <c r="M1885" t="n">
        <v>0.0045</v>
      </c>
      <c r="N1885" t="n">
        <v>0.06560000000000001</v>
      </c>
      <c r="O1885" t="n">
        <v>0.2608</v>
      </c>
    </row>
    <row r="1886">
      <c r="A1886" t="inlineStr">
        <is>
          <t>sponge</t>
        </is>
      </c>
      <c r="B1886" t="inlineStr">
        <is>
          <t>src/main/java/org/spongepowered/api/network/ClientSideConnection.java</t>
        </is>
      </c>
      <c r="C1886">
        <f>HYPERLINK("https://github.com/SpongePowered/SpongeAPI/blob/master/src/main/java/org/spongepowered/api/network/ClientSideConnection.java")</f>
        <v/>
      </c>
      <c r="D1886" t="inlineStr">
        <is>
          <t>This code is part of the Sponge API and it's licensed under the MIT License (MIT). It provides functionality for core algorithms related to game development such as physics calculations or entity interactions. The software can be used freely without restriction provided that this copyright notice and permission notices are included in all copies or substantial portions of the Software. 
However, there may</t>
        </is>
      </c>
      <c r="E1886" t="n">
        <v>0.0043</v>
      </c>
      <c r="F1886" t="n">
        <v>0.0833</v>
      </c>
      <c r="G1886" t="n">
        <v>0.1852</v>
      </c>
      <c r="H1886" t="inlineStr">
        <is>
          <t>```python
# This file is part of Sponge API, licensed under the MIT License (MIT).
# Copyright (c) 2022 SpongePowered &lt;https://www.spongepowered.org&gt;
# Copyright (c) contributors
# Permission is hereby granted, free of charge, to any person</t>
        </is>
      </c>
      <c r="I1886" t="n">
        <v>0.0052</v>
      </c>
      <c r="J1886" t="n">
        <v>0.0465</v>
      </c>
      <c r="K1886" t="n">
        <v>0.0926</v>
      </c>
      <c r="L1886" t="inlineStr">
        <is>
          <t>The provided code is part of the Sponge API and it's licensed under the MIT License (MIT). It's a software component for game development with an emphasis on flexibility and extensibility. 
 This program provides core algorithms to manage game objects in memory efficiently by utilizing hashing techniques like open addressing or chaining. Its main purpose is to handle object creation</t>
        </is>
      </c>
      <c r="M1886" t="n">
        <v>0.0043</v>
      </c>
      <c r="N1886" t="n">
        <v>0.0571</v>
      </c>
      <c r="O1886" t="n">
        <v>0.1894</v>
      </c>
    </row>
    <row r="1887">
      <c r="A1887" t="inlineStr">
        <is>
          <t>sponge</t>
        </is>
      </c>
      <c r="B1887" t="inlineStr">
        <is>
          <t>src/main/java/org/spongepowered/api/network/ServerSideConnection.java</t>
        </is>
      </c>
      <c r="C1887">
        <f>HYPERLINK("https://github.com/SpongePowered/SpongeAPI/blob/master/src/main/java/org/spongepowered/api/network/ServerSideConnection.java")</f>
        <v/>
      </c>
      <c r="D1887" t="inlineStr">
        <is>
          <t>```python
# This file is part of Sponge API licensed under the MIT License (MIT). 
# Copyright (c) SpongePowered &lt;https://www.spongepowered.org&gt; 
# Copyright (c) contributors  
# Permission is hereby granted, free of charge, to any person obtaining a copy</t>
        </is>
      </c>
      <c r="E1887" t="n">
        <v>0.0049</v>
      </c>
      <c r="F1887" t="n">
        <v>0.0444</v>
      </c>
      <c r="G1887" t="n">
        <v>0.09089999999999999</v>
      </c>
      <c r="H1887" t="inlineStr">
        <is>
          <t>```python
# This file is part of Sponge API, licensed under the MIT License (MIT). 
# Copyright (c) SpongePowered &lt;https://www.spongepowered.org&gt; 
# Copyright (c) contributors 
# Permission is hereby granted, free of charge, to any person obtaining a</t>
        </is>
      </c>
      <c r="I1887" t="n">
        <v>0.005</v>
      </c>
      <c r="J1887" t="n">
        <v>0.0455</v>
      </c>
      <c r="K1887" t="n">
        <v>0.0917</v>
      </c>
      <c r="L1887" t="inlineStr">
        <is>
          <t>```python
# This file is part of Sponge API, licensed under the MIT License (MIT).
# Copyright (c) 2022 SpongePowered &lt;https://www.spongepowered.org&gt;
# Copyright (c) contributors
# Permission is hereby granted, free of charge, to any person obtaining a copy</t>
        </is>
      </c>
      <c r="M1887" t="n">
        <v>0.0047</v>
      </c>
      <c r="N1887" t="n">
        <v>0.0435</v>
      </c>
      <c r="O1887" t="n">
        <v>0.0901</v>
      </c>
    </row>
    <row r="1888">
      <c r="A1888" t="inlineStr">
        <is>
          <t>sponge</t>
        </is>
      </c>
      <c r="B1888" t="inlineStr">
        <is>
          <t>src/main/java/org/spongepowered/api/network/RconConnection.java</t>
        </is>
      </c>
      <c r="C1888">
        <f>HYPERLINK("https://github.com/SpongePowered/SpongeAPI/blob/master/src/main/java/org/spongepowered/api/network/RconConnection.java")</f>
        <v/>
      </c>
      <c r="D1888" t="inlineStr">
        <is>
          <t># This file is part of Sponge API and licensed under the MIT License (MIT). 
# Copyright (c) SpongePowered https://www.spongepowered.org
# Copyright (c) contributors
# Permission is hereby granted, free of charge, to any person obtaining a copy
# of this software and associated</t>
        </is>
      </c>
      <c r="E1888" t="n">
        <v>0.0055</v>
      </c>
      <c r="F1888" t="n">
        <v>0.12</v>
      </c>
      <c r="G1888" t="n">
        <v>0.2721</v>
      </c>
      <c r="H1888" t="inlineStr">
        <is>
          <t>```python
# This file is part of Sponge API, licensed under the MIT License (MIT).
# Copyright (c) 2018-2020 SpongePowered and contributors
# Permission is hereby granted, free of charge, to any person obtaining a copy
# of this software and associated documentation files (</t>
        </is>
      </c>
      <c r="I1888" t="n">
        <v>0.0054</v>
      </c>
      <c r="J1888" t="n">
        <v>0.1224</v>
      </c>
      <c r="K1888" t="n">
        <v>0.2698</v>
      </c>
      <c r="L1888" t="inlineStr">
        <is>
          <t>The provided code file is part of the Sponge API and it's licensed under the MIT License (MIT). It's a backend software component that provides various functionalities related to game development like physics calculations or entity interactions. 
 This repository contains multiple files with different algorithms implemented for use in games. However, without knowing specific details about each algorithm, we can</t>
        </is>
      </c>
      <c r="M1888" t="n">
        <v>0.004</v>
      </c>
      <c r="N1888" t="n">
        <v>0.0571</v>
      </c>
      <c r="O1888" t="n">
        <v>0.1894</v>
      </c>
    </row>
    <row r="1889">
      <c r="A1889" t="inlineStr">
        <is>
          <t>sponge</t>
        </is>
      </c>
      <c r="B1889" t="inlineStr">
        <is>
          <t>src/main/java/org/spongepowered/api/network/EngineConnectionState.java</t>
        </is>
      </c>
      <c r="C1889">
        <f>HYPERLINK("https://github.com/SpongePowered/SpongeAPI/blob/master/src/main/java/org/spongepowered/api/network/EngineConnectionState.java")</f>
        <v/>
      </c>
      <c r="D1889" t="inlineStr">
        <is>
          <t>```python
# This file is part of Sponge API licensed under the MIT License (MIT). 
# Copyright (c) SpongePowered &lt;https://www.spongepowered.org&gt; 
# Copyright (c) contributors 
# Permission is hereby granted, free of charge, to any person obtaining a copy</t>
        </is>
      </c>
      <c r="E1889" t="n">
        <v>0.0049</v>
      </c>
      <c r="F1889" t="n">
        <v>0.0444</v>
      </c>
      <c r="G1889" t="n">
        <v>0.09089999999999999</v>
      </c>
      <c r="H1889" t="inlineStr">
        <is>
          <t>This is a README file for the Sponge API project licensed under the MIT License (MIT). It contains copyright notices and permissions granted to any person obtaining a copy of this software and associated documentation files (the "Software"). The Software can be used without restriction, including without limitation the rights to use, copy, modify, merge, publish, distribute, sublicense, and</t>
        </is>
      </c>
      <c r="I1889" t="n">
        <v>0.0041</v>
      </c>
      <c r="J1889" t="n">
        <v>0.0896</v>
      </c>
      <c r="K1889" t="n">
        <v>0.1527</v>
      </c>
      <c r="L1889" t="inlineStr">
        <is>
          <t>```python
# This file is part of Sponge API and licensed under the MIT License (MIT). 
# Copyright (c) Sponge Powered &lt;https://www.spongepowered.org&gt; 
# Copyright (c) contributors 
# Permission is hereby granted, free of charge, to any person obtaining a copy</t>
        </is>
      </c>
      <c r="M1889" t="n">
        <v>0.0055</v>
      </c>
      <c r="N1889" t="n">
        <v>0.0851</v>
      </c>
      <c r="O1889" t="n">
        <v>0.1339</v>
      </c>
    </row>
    <row r="1890">
      <c r="A1890" t="inlineStr">
        <is>
          <t>sponge</t>
        </is>
      </c>
      <c r="B1890" t="inlineStr">
        <is>
          <t>src/main/java/org/spongepowered/api/network/channel/ChannelBuf.java</t>
        </is>
      </c>
      <c r="C1890">
        <f>HYPERLINK("https://github.com/SpongePowered/SpongeAPI/blob/master/src/main/java/org/spongepowered/api/network/channel/ChannelBuf.java")</f>
        <v/>
      </c>
      <c r="D1890" t="inlineStr">
        <is>
          <t># This code is part of the Sponge API and licensed under the MIT License (MIT). 
# Copyright (c) SpongePowered https://www.spongepowered.org
# Copyright (c) contributors
# Permission is hereby granted, free of charge, to any person obtaining a copy of this software and associated documentation files</t>
        </is>
      </c>
      <c r="E1890" t="n">
        <v>0.0053</v>
      </c>
      <c r="F1890" t="n">
        <v>0.1132</v>
      </c>
      <c r="G1890" t="n">
        <v>0.2675</v>
      </c>
      <c r="H1890" t="inlineStr">
        <is>
          <t>This is a README file for the Sponge API project licensed under the MIT License (MIT). The software is provided as-is with no warranty of any kind, express or implied, including but not limited to warranties of merchantability and fitness for a particular purpose and non-infringement. In no event shall the authors be liable for any damages arising from use of this</t>
        </is>
      </c>
      <c r="I1890" t="n">
        <v>0.0039</v>
      </c>
      <c r="J1890" t="n">
        <v>0.0833</v>
      </c>
      <c r="K1890" t="n">
        <v>0.1493</v>
      </c>
      <c r="L1890" t="inlineStr">
        <is>
          <t>The provided code file is part of the Sponge API and it's licensed under the MIT License (MIT). It belongs to Sponge Powered &lt;https://www.spongepowered.org&gt;. 
 This software allows for free use by anyone obtaining a copy of this software along with associated documentation files. However, modifications must be done without restriction</t>
        </is>
      </c>
      <c r="M1890" t="n">
        <v>0.0086</v>
      </c>
      <c r="N1890" t="n">
        <v>0.0645</v>
      </c>
      <c r="O1890" t="n">
        <v>0.2587</v>
      </c>
    </row>
    <row r="1891">
      <c r="A1891" t="inlineStr">
        <is>
          <t>sponge</t>
        </is>
      </c>
      <c r="B1891" t="inlineStr">
        <is>
          <t>src/main/java/org/spongepowered/api/network/channel/ChannelNotSupportedException.java</t>
        </is>
      </c>
      <c r="C1891">
        <f>HYPERLINK("https://github.com/SpongePowered/SpongeAPI/blob/master/src/main/java/org/spongepowered/api/network/channel/ChannelNotSupportedException.java")</f>
        <v/>
      </c>
      <c r="D1891" t="inlineStr">
        <is>
          <t># This file is part of Sponge API and licensed under the MIT License (MIT). 
## Copyright (c) SpongePowered https://www.spongepowered.org
## Copyright (c) contributors
# Permission is hereby granted, free of charge, to any person obtaining a copy of this software and associated documentation files (the</t>
        </is>
      </c>
      <c r="E1891" t="n">
        <v>0.0053</v>
      </c>
      <c r="F1891" t="n">
        <v>0.1132</v>
      </c>
      <c r="G1891" t="n">
        <v>0.2675</v>
      </c>
      <c r="H1891" t="inlineStr">
        <is>
          <t>```python
# This file is part of Sponge API, licensed under the MIT License (MIT).
# Copyright (c) 2022 SpongePowered &lt;https://www.spongepowered.org&gt;
# Copyright (c) contributors
# Permission is hereby granted, free of charge, to any person obtaining</t>
        </is>
      </c>
      <c r="I1891" t="n">
        <v>0.005</v>
      </c>
      <c r="J1891" t="n">
        <v>0.0455</v>
      </c>
      <c r="K1891" t="n">
        <v>0.0917</v>
      </c>
      <c r="L1891" t="inlineStr">
        <is>
          <t>```python
# This file is part of Sponge API, licensed under the MIT License (MIT). 
# Copyright (c) Sponge Powered &lt;https://www.spongepowered.org&gt; 
# Copyright (c) contributors 
# Permission is hereby granted, free of charge, to any person obtaining a copy</t>
        </is>
      </c>
      <c r="M1891" t="n">
        <v>0.0047</v>
      </c>
      <c r="N1891" t="n">
        <v>0.0435</v>
      </c>
      <c r="O1891" t="n">
        <v>0.0901</v>
      </c>
    </row>
    <row r="1892">
      <c r="A1892" t="inlineStr">
        <is>
          <t>sponge</t>
        </is>
      </c>
      <c r="B1892" t="inlineStr">
        <is>
          <t>src/main/java/org/spongepowered/api/network/channel/package-info.java</t>
        </is>
      </c>
      <c r="C1892">
        <f>HYPERLINK("https://github.com/SpongePowered/SpongeAPI/blob/master/src/main/java/org/spongepowered/api/network/channel/package-info.java")</f>
        <v/>
      </c>
      <c r="D1892" t="inlineStr">
        <is>
          <t>The provided code is part of the Sponge API and is licensed under the MIT License (MIT). The software can be used freely without restriction to any person obtaining a copy of this software along with associated documentation files. This includes using, copying, modifying, merging, publishing, distributing, sub-licensing, and selling copies of the Software as well as perm</t>
        </is>
      </c>
      <c r="E1892" t="n">
        <v>0.0041</v>
      </c>
      <c r="F1892" t="n">
        <v>0.0896</v>
      </c>
      <c r="G1892" t="n">
        <v>0.1538</v>
      </c>
      <c r="H1892" t="inlineStr">
        <is>
          <t>This repository contains backend software components that implement core algorithms for various tasks such as mathematical operations and data manipulation. The code is licensed under the MIT License (MIT), which allows anyone to use, copy, modify, merge, publish, distribute, sublicense, sell or permit persons to whom the Software is furnished to do so, subject to the following conditions:
- The above</t>
        </is>
      </c>
      <c r="I1892" t="n">
        <v>0.0042</v>
      </c>
      <c r="J1892" t="n">
        <v>0.1471</v>
      </c>
      <c r="K1892" t="n">
        <v>0.2797</v>
      </c>
      <c r="L1892" t="inlineStr">
        <is>
          <t>The provided code file is part of the Sponge API and it's licensed under the MIT License (MIT). The software can be freely used by anyone to deal in the Software without restriction, including without limitation the rights to use, copy, modify, merge, publish, distribute, sublicense, sell copies of the Software, and permit persons to whom the Software is</t>
        </is>
      </c>
      <c r="M1892" t="n">
        <v>0.0037</v>
      </c>
      <c r="N1892" t="n">
        <v>0.0588</v>
      </c>
      <c r="O1892" t="n">
        <v>0.1145</v>
      </c>
    </row>
    <row r="1893">
      <c r="A1893" t="inlineStr">
        <is>
          <t>sponge</t>
        </is>
      </c>
      <c r="B1893" t="inlineStr">
        <is>
          <t>src/main/java/org/spongepowered/api/network/channel/ChannelIOException.java</t>
        </is>
      </c>
      <c r="C1893">
        <f>HYPERLINK("https://github.com/SpongePowered/SpongeAPI/blob/master/src/main/java/org/spongepowered/api/network/channel/ChannelIOException.java")</f>
        <v/>
      </c>
      <c r="D1893" t="inlineStr">
        <is>
          <t>```python
# This file is part of Sponge API and licensed under the MIT License (MIT). 
# Copyright (c) SpongePowered &lt;https://www.spongepowered.org&gt; 
# Copyright (c) contributors 
# Permission is hereby granted, free of charge, to any person obtaining a</t>
        </is>
      </c>
      <c r="E1893" t="n">
        <v>0.0058</v>
      </c>
      <c r="F1893" t="n">
        <v>0.08890000000000001</v>
      </c>
      <c r="G1893" t="n">
        <v>0.1364</v>
      </c>
      <c r="H1893" t="inlineStr">
        <is>
          <t>```python
# This function takes in two parameters a and b which are integers or floats 
# and returns their summation result. The complexity of this operation is O(1), meaning it always executes the same number of steps regardless of input size.
def add(a, b):
    return a + b
```
In summary, this</t>
        </is>
      </c>
      <c r="I1893" t="n">
        <v>0.0041</v>
      </c>
      <c r="J1893" t="n">
        <v>0.1017</v>
      </c>
      <c r="K1893" t="n">
        <v>0.12</v>
      </c>
      <c r="L1893" t="inlineStr">
        <is>
          <t>The provided code file is a part of Sponge API and it's licensed under the MIT License (MIT). It contains backend software components developed by contributors to the project at &lt;https://www.spongepowered.org&gt;. 
 This piece of software allows for modifications in the Software without restriction including but not limited to rights use, copy, modify</t>
        </is>
      </c>
      <c r="M1893" t="n">
        <v>0.0046</v>
      </c>
      <c r="N1893" t="n">
        <v>0.0625</v>
      </c>
      <c r="O1893" t="n">
        <v>0.1613</v>
      </c>
    </row>
    <row r="1894">
      <c r="A1894" t="inlineStr">
        <is>
          <t>sponge</t>
        </is>
      </c>
      <c r="B1894" t="inlineStr">
        <is>
          <t>src/main/java/org/spongepowered/api/network/channel/ChannelManager.java</t>
        </is>
      </c>
      <c r="C1894">
        <f>HYPERLINK("https://github.com/SpongePowered/SpongeAPI/blob/master/src/main/java/org/spongepowered/api/network/channel/ChannelManager.java")</f>
        <v/>
      </c>
      <c r="D1894" t="inlineStr">
        <is>
          <t>```plaintext
This code is part of the Sponge API and it's licensed under the MIT License (MIT). 
It allows for free use by anyone to obtain a copy of this software and associated documentation files (the "Software"). 
They can deal in the Software without restriction, including without limitation the rights to use, copy, modify, merge</t>
        </is>
      </c>
      <c r="E1894" t="n">
        <v>0.0044</v>
      </c>
      <c r="F1894" t="n">
        <v>0.09379999999999999</v>
      </c>
      <c r="G1894" t="n">
        <v>0.1575</v>
      </c>
      <c r="H1894" t="inlineStr">
        <is>
          <t>```python
# This file is part of Sponge API, licensed under the MIT License (MIT).
# Copyright (c) 2022-present SpongePowered
# https://www.spongepowered.org
# Contributors are not permitted to use this software and associated documentation files in any form without explicit permission from</t>
        </is>
      </c>
      <c r="I1894" t="n">
        <v>0.0058</v>
      </c>
      <c r="J1894" t="n">
        <v>0.12</v>
      </c>
      <c r="K1894" t="n">
        <v>0.2769</v>
      </c>
      <c r="L1894" t="inlineStr">
        <is>
          <t>The provided code file is part of the Sponge API and it's licensed under the MIT License (MIT). The software can be freely used by anyone obtaining a copy of this software along with associated documentation files (the "Software"). This Software may be modified, merged, published, distributed, sublicensed, sold or otherwise transferred without restriction, including but not limited</t>
        </is>
      </c>
      <c r="M1894" t="n">
        <v>0.0041</v>
      </c>
      <c r="N1894" t="n">
        <v>0.0597</v>
      </c>
      <c r="O1894" t="n">
        <v>0.2428</v>
      </c>
    </row>
    <row r="1895">
      <c r="A1895" t="inlineStr">
        <is>
          <t>sponge</t>
        </is>
      </c>
      <c r="B1895" t="inlineStr">
        <is>
          <t>src/main/java/org/spongepowered/api/network/channel/TimeoutException.java</t>
        </is>
      </c>
      <c r="C1895">
        <f>HYPERLINK("https://github.com/SpongePowered/SpongeAPI/blob/master/src/main/java/org/spongepowered/api/network/channel/TimeoutException.java")</f>
        <v/>
      </c>
      <c r="D1895" t="inlineStr">
        <is>
          <t>This code is part of the Sponge API and it's licensed under the MIT License (MIT). The software can be freely used, copied, modified, merged, published, distributed, sublicensed, and sold provided that this copyright notice and permission notices are included in all copies or substantial portions of the Software. 
The software is provided "as is</t>
        </is>
      </c>
      <c r="E1895" t="n">
        <v>0.0044</v>
      </c>
      <c r="F1895" t="n">
        <v>0.09379999999999999</v>
      </c>
      <c r="G1895" t="n">
        <v>0.1575</v>
      </c>
      <c r="H1895" t="inlineStr">
        <is>
          <t>This repository contains backend software components that implement core algorithms used in the Sponge API (MIT License). The add function has a complexity of O(1), meaning it performs a constant number of operations regardless of input size. It adds two numbers together and returns the result. This code is part of the Sponge API licensed under the MIT license which allows anyone to obtain a copy of this</t>
        </is>
      </c>
      <c r="I1895" t="n">
        <v>0.0038</v>
      </c>
      <c r="J1895" t="n">
        <v>0.1558</v>
      </c>
      <c r="K1895" t="n">
        <v>0.3046</v>
      </c>
      <c r="L1895" t="inlineStr">
        <is>
          <t>The provided code file is part of the Sponge API and it's licensed under the MIT License (MIT). It contains backend software components developed by contributors to the project. This software can be freely used, modified, merged, published, distributed, sublicensed, sold or otherwise utilized without restriction as long as this copyright notice and permission notices are included in all</t>
        </is>
      </c>
      <c r="M1895" t="n">
        <v>0.0072</v>
      </c>
      <c r="N1895" t="n">
        <v>0.0882</v>
      </c>
      <c r="O1895" t="n">
        <v>0.1527</v>
      </c>
    </row>
    <row r="1896">
      <c r="A1896" t="inlineStr">
        <is>
          <t>sponge</t>
        </is>
      </c>
      <c r="B1896" t="inlineStr">
        <is>
          <t>src/main/java/org/spongepowered/api/network/channel/ChannelExceptionHandler.java</t>
        </is>
      </c>
      <c r="C1896">
        <f>HYPERLINK("https://github.com/SpongePowered/SpongeAPI/blob/master/src/main/java/org/spongepowered/api/network/channel/ChannelExceptionHandler.java")</f>
        <v/>
      </c>
      <c r="D1896" t="inlineStr">
        <is>
          <t>```python
# This file is part of Sponge API licensed under the MIT License (MIT). 
# Copyright (c) SpongePowered &lt;https://www.spongepowered.org&gt; 
# Copyright (c) contributors
# Permission is hereby granted, free of charge, to any person obtaining a copy</t>
        </is>
      </c>
      <c r="E1896" t="n">
        <v>0.0049</v>
      </c>
      <c r="F1896" t="n">
        <v>0.0444</v>
      </c>
      <c r="G1896" t="n">
        <v>0.09089999999999999</v>
      </c>
      <c r="H1896" t="inlineStr">
        <is>
          <t>This repository contains backend software components implementing core algorithms. The complexity of the code is O(n), where n represents the number of elements in a list or array. It's important to note that this does not necessarily mean performance will scale linearly with input size; it depends on specific details of how these algorithms are implemented.
In terms of functionality, this component provides an add function which</t>
        </is>
      </c>
      <c r="I1896" t="n">
        <v>0.0036</v>
      </c>
      <c r="J1896" t="n">
        <v>0.1299</v>
      </c>
      <c r="K1896" t="n">
        <v>0.2676</v>
      </c>
      <c r="L1896" t="inlineStr">
        <is>
          <t>The provided code file is part of the Sponge API and is licensed under the MIT License (MIT). It's a software component for game development with an emphasis on flexibility, extensibility, and performance optimization. 
    This repository contains backend components that implement core algorithms such as physics simulation, entity system management, and network communication. These functionalities are crucial to</t>
        </is>
      </c>
      <c r="M1896" t="n">
        <v>0.0045</v>
      </c>
      <c r="N1896" t="n">
        <v>0.1194</v>
      </c>
      <c r="O1896" t="n">
        <v>0.328</v>
      </c>
    </row>
    <row r="1897">
      <c r="A1897" t="inlineStr">
        <is>
          <t>sponge</t>
        </is>
      </c>
      <c r="B1897" t="inlineStr">
        <is>
          <t>src/main/java/org/spongepowered/api/network/channel/Channel.java</t>
        </is>
      </c>
      <c r="C1897">
        <f>HYPERLINK("https://github.com/SpongePowered/SpongeAPI/blob/master/src/main/java/org/spongepowered/api/network/channel/Channel.java")</f>
        <v/>
      </c>
      <c r="D1897" t="inlineStr">
        <is>
          <t>```python
# This file is part of Sponge API and licensed under the MIT License (MIT). 
# Copyright (c) SpongePowered &lt;https://www.spongepowered.org&gt; 
# Copyright (c) contributors
# Permission is hereby granted, free of charge, to any person obtaining a copy</t>
        </is>
      </c>
      <c r="E1897" t="n">
        <v>0.0056</v>
      </c>
      <c r="F1897" t="n">
        <v>0.08699999999999999</v>
      </c>
      <c r="G1897" t="n">
        <v>0.1351</v>
      </c>
      <c r="H1897" t="inlineStr">
        <is>
          <t>This repository contains backend software components that implement core algorithms used in the Sponge API. The code is licensed under the MIT License (MIT), which allows anyone to obtain a copy of this software and associated documentation files (the "Software") without restriction provided that these conditions are met.* This includes being able to use, copy, modify, merge, publish, distribute, sublicense,</t>
        </is>
      </c>
      <c r="I1897" t="n">
        <v>0.0043</v>
      </c>
      <c r="J1897" t="n">
        <v>0.1471</v>
      </c>
      <c r="K1897" t="n">
        <v>0.323</v>
      </c>
      <c r="L1897" t="inlineStr">
        <is>
          <t>The provided code file is part of the Sponge API and it's licensed under the MIT License (MIT). It belongs to Sponge Powered &lt;https://www.spongepowered.org&gt;. 
 This software allows for the modification, distribution, selling, etc without restrictions or limitations related to rights, use, copy, modify, merge,</t>
        </is>
      </c>
      <c r="M1897" t="n">
        <v>0.0098</v>
      </c>
      <c r="N1897" t="n">
        <v>0.07140000000000001</v>
      </c>
      <c r="O1897" t="n">
        <v>0.2721</v>
      </c>
    </row>
    <row r="1898">
      <c r="A1898" t="inlineStr">
        <is>
          <t>sponge</t>
        </is>
      </c>
      <c r="B1898" t="inlineStr">
        <is>
          <t>src/main/java/org/spongepowered/api/network/channel/ChannelException.java</t>
        </is>
      </c>
      <c r="C1898">
        <f>HYPERLINK("https://github.com/SpongePowered/SpongeAPI/blob/master/src/main/java/org/spongepowered/api/network/channel/ChannelException.java")</f>
        <v/>
      </c>
      <c r="D1898" t="inlineStr">
        <is>
          <t>```python
# This file is part of Sponge API and licensed under the MIT License (MIT).
# Copyright (c) SpongePowered &lt;https://www.spongepowered.org&gt;
# Copyright (c) contributors
# Permission is hereby granted, free of charge, to any person obtaining a copy
#</t>
        </is>
      </c>
      <c r="E1898" t="n">
        <v>0.0055</v>
      </c>
      <c r="F1898" t="n">
        <v>0.08699999999999999</v>
      </c>
      <c r="G1898" t="n">
        <v>0.1339</v>
      </c>
      <c r="H1898" t="inlineStr">
        <is>
          <t>This is a README file for Sponge API which contains backend software components and implements core algorithms. The complexity of the code varies from O(1) to O(N), depending on the specific algorithm implemented. It's licensed under the MIT License (MIT), with copyright notices indicating that it can be freely used by anyone obtaining a copy of this software and associated documentation files (</t>
        </is>
      </c>
      <c r="I1898" t="n">
        <v>0.0077</v>
      </c>
      <c r="J1898" t="n">
        <v>0.137</v>
      </c>
      <c r="K1898" t="n">
        <v>0.3786</v>
      </c>
      <c r="L1898" t="inlineStr">
        <is>
          <t>This code is a part of the Sponge API and it's licensed under the MIT License (MIT). It was developed by contributors to the project at &lt;https://www.spongepowered.org&gt;. The software can be freely used, modified, merged, published, distributed, sublicensed, or sold provided that this copyright notice and permission notices</t>
        </is>
      </c>
      <c r="M1898" t="n">
        <v>0.005</v>
      </c>
      <c r="N1898" t="n">
        <v>0.1</v>
      </c>
      <c r="O1898" t="n">
        <v>0.1667</v>
      </c>
    </row>
    <row r="1899">
      <c r="A1899" t="inlineStr">
        <is>
          <t>sponge</t>
        </is>
      </c>
      <c r="B1899" t="inlineStr">
        <is>
          <t>src/main/java/org/spongepowered/api/network/channel/NoResponseException.java</t>
        </is>
      </c>
      <c r="C1899">
        <f>HYPERLINK("https://github.com/SpongePowered/SpongeAPI/blob/master/src/main/java/org/spongepowered/api/network/channel/NoResponseException.java")</f>
        <v/>
      </c>
      <c r="D1899" t="inlineStr">
        <is>
          <t>```plaintext
The provided code is part of the Sponge API and it's licensed under the MIT License (MIT). 
It allows for free use, modification, distribution, selling, etc., subject to certain conditions specified in the license. The software can be used, copied, modified, merged, published, distributed without restriction or limitation. It provides a set</t>
        </is>
      </c>
      <c r="E1899" t="n">
        <v>0.0041</v>
      </c>
      <c r="F1899" t="n">
        <v>0.0323</v>
      </c>
      <c r="G1899" t="n">
        <v>0.12</v>
      </c>
      <c r="H1899" t="inlineStr">
        <is>
          <t>This repository contains backend software components that implement core algorithms used in the Sponge API. The code is licensed under the MIT License (MIT), which allows anyone to obtain a copy of this software and associated documentation files (the "Software") without restriction, including without limitation the rights to use, copy, modify, merge, publish, distribute, sublicense, and sell copies of the</t>
        </is>
      </c>
      <c r="I1899" t="n">
        <v>0.0043</v>
      </c>
      <c r="J1899" t="n">
        <v>0.1471</v>
      </c>
      <c r="K1899" t="n">
        <v>0.3872</v>
      </c>
      <c r="L1899" t="inlineStr">
        <is>
          <t>The code provided is part of Sponge API and it's licensed under the MIT License (MIT). It belongs to a software component for Minecraft game engine which allows plugins to be developed using Java or Kotlin programming language. The copyright notice mentions that this software can be freely used, modified, merged, published etc. without any restrictions. However, all copies should include</t>
        </is>
      </c>
      <c r="M1899" t="n">
        <v>0.0036</v>
      </c>
      <c r="N1899" t="n">
        <v>0.0571</v>
      </c>
      <c r="O1899" t="n">
        <v>0.2373</v>
      </c>
    </row>
    <row r="1900">
      <c r="A1900" t="inlineStr">
        <is>
          <t>sponge</t>
        </is>
      </c>
      <c r="B1900" t="inlineStr">
        <is>
          <t>src/main/java/org/spongepowered/api/network/channel/packet/PacketRegistry.java</t>
        </is>
      </c>
      <c r="C1900">
        <f>HYPERLINK("https://github.com/SpongePowered/SpongeAPI/blob/master/src/main/java/org/spongepowered/api/network/channel/packet/PacketRegistry.java")</f>
        <v/>
      </c>
      <c r="D1900" t="inlineStr">
        <is>
          <t># This file is part of Sponge API and it's licensed under the MIT License (MIT). 
# Copyright (c) SpongePowered https://www.spongepowered.org
# Copyright (c) contributors
# Permission is hereby granted, free of charge, to any person obtaining a copy of this software and associated documentation</t>
        </is>
      </c>
      <c r="E1900" t="n">
        <v>0.0054</v>
      </c>
      <c r="F1900" t="n">
        <v>0.1132</v>
      </c>
      <c r="G1900" t="n">
        <v>0.2698</v>
      </c>
      <c r="H1900" t="inlineStr">
        <is>
          <t>This repository contains backend software components that implement core algorithms used in the Sponge API. The code is licensed under the MIT License (MIT), which allows free use and modification of the software without restriction. However, it's important to note that while this license grants permission for anyone to copy or modify the software, there are certain conditions associated with its usage, including restrictions on how the software</t>
        </is>
      </c>
      <c r="I1900" t="n">
        <v>0.0038</v>
      </c>
      <c r="J1900" t="n">
        <v>0.1299</v>
      </c>
      <c r="K1900" t="n">
        <v>0.3651</v>
      </c>
      <c r="L1900" t="inlineStr">
        <is>
          <t>The provided code file is part of the Sponge API and it's licensed under the MIT License (MIT). It's a backend software component that provides various functionalities related to game development like physics calculations or entity interactions in Minecraft style games. 
 This repository contains multiple algorithms implemented for core functionality such as collision detection, pathfinding, AI behavior patterns etc</t>
        </is>
      </c>
      <c r="M1900" t="n">
        <v>0.008200000000000001</v>
      </c>
      <c r="N1900" t="n">
        <v>0.1159</v>
      </c>
      <c r="O1900" t="n">
        <v>0.3255</v>
      </c>
    </row>
    <row r="1901">
      <c r="A1901" t="inlineStr">
        <is>
          <t>sponge</t>
        </is>
      </c>
      <c r="B1901" t="inlineStr">
        <is>
          <t>src/main/java/org/spongepowered/api/network/channel/packet/PacketChannel.java</t>
        </is>
      </c>
      <c r="C1901">
        <f>HYPERLINK("https://github.com/SpongePowered/SpongeAPI/blob/master/src/main/java/org/spongepowered/api/network/channel/packet/PacketChannel.java")</f>
        <v/>
      </c>
      <c r="D1901" t="inlineStr">
        <is>
          <t># This is a summary of the provided code which appears to be part of Sponge API licensed under MIT License (MIT), 
# Copyright (c) SpongePowered https://www.spongepowered.org and contributors. The software can be used free of charge for any person obtaining a copy 
# of this software along with associated documentation</t>
        </is>
      </c>
      <c r="E1901" t="n">
        <v>0.0047</v>
      </c>
      <c r="F1901" t="n">
        <v>0.0678</v>
      </c>
      <c r="G1901" t="n">
        <v>0.2566</v>
      </c>
      <c r="H1901" t="inlineStr">
        <is>
          <t>```python
# This file is part of Sponge API, licensed under the MIT License (MIT).
# Copyright (c) 2014-2016 SpongePowered &lt;http://www.spongepowered.com&gt;
# Copyright (c) contributors
# Permission is hereby granted, free of charge</t>
        </is>
      </c>
      <c r="I1901" t="n">
        <v>0.0056</v>
      </c>
      <c r="J1901" t="n">
        <v>0.0488</v>
      </c>
      <c r="K1901" t="n">
        <v>0.09520000000000001</v>
      </c>
      <c r="L1901" t="inlineStr">
        <is>
          <t>The provided code file is part of the Sponge API and it's licensed under the MIT License (MIT). It contains backend software components developed by Sponge Powered &lt;https://www.spongepowered.org&gt;. 
 This piece of software allows for manipulation and modification of game data in a sandbox environment where modifications can be tested without</t>
        </is>
      </c>
      <c r="M1901" t="n">
        <v>0.0048</v>
      </c>
      <c r="N1901" t="n">
        <v>0.0968</v>
      </c>
      <c r="O1901" t="n">
        <v>0.1639</v>
      </c>
    </row>
    <row r="1902">
      <c r="A1902" t="inlineStr">
        <is>
          <t>sponge</t>
        </is>
      </c>
      <c r="B1902" t="inlineStr">
        <is>
          <t>src/main/java/org/spongepowered/api/network/channel/packet/RequestPacketHandler.java</t>
        </is>
      </c>
      <c r="C1902">
        <f>HYPERLINK("https://github.com/SpongePowered/SpongeAPI/blob/master/src/main/java/org/spongepowered/api/network/channel/packet/RequestPacketHandler.java")</f>
        <v/>
      </c>
      <c r="D1902" t="inlineStr">
        <is>
          <t>```python
# This file is part of Sponge API and licensed under the MIT License (MIT). 
# Copyright (c) SpongePowered &lt;https://www.spongepowered.org&gt; 
# Copyright (c) contributors 
# Permission is hereby granted, free of charge, to any person obtaining a copy</t>
        </is>
      </c>
      <c r="E1902" t="n">
        <v>0.0056</v>
      </c>
      <c r="F1902" t="n">
        <v>0.08699999999999999</v>
      </c>
      <c r="G1902" t="n">
        <v>0.1351</v>
      </c>
      <c r="H1902" t="inlineStr">
        <is>
          <t>```python
# This file is part of Sponge API, licensed under the MIT License (MIT). 
# Copyright (c) SpongePowered &lt;https://www.spongepowered.org&gt; 
# Copyright (c) contributors 
# Permission is hereby granted, free of charge, to any person obtaining a</t>
        </is>
      </c>
      <c r="I1902" t="n">
        <v>0.005</v>
      </c>
      <c r="J1902" t="n">
        <v>0.0455</v>
      </c>
      <c r="K1902" t="n">
        <v>0.0917</v>
      </c>
      <c r="L1902" t="inlineStr">
        <is>
          <t>```python
# This file is part of Sponge API, licensed under the MIT License (MIT).
# Copyright (c) 2022 Sponge Powered &lt;https://www.spongepowered.org&gt;
# Copyright (c) contributors
# Permission is hereby granted, free of charge, to any person obtaining</t>
        </is>
      </c>
      <c r="M1902" t="n">
        <v>0.0049</v>
      </c>
      <c r="N1902" t="n">
        <v>0.0444</v>
      </c>
      <c r="O1902" t="n">
        <v>0.09089999999999999</v>
      </c>
    </row>
    <row r="1903">
      <c r="A1903" t="inlineStr">
        <is>
          <t>sponge</t>
        </is>
      </c>
      <c r="B1903" t="inlineStr">
        <is>
          <t>src/main/java/org/spongepowered/api/network/channel/packet/TransactionalPacketBinding.java</t>
        </is>
      </c>
      <c r="C1903">
        <f>HYPERLINK("https://github.com/SpongePowered/SpongeAPI/blob/master/src/main/java/org/spongepowered/api/network/channel/packet/TransactionalPacketBinding.java")</f>
        <v/>
      </c>
      <c r="D1903" t="inlineStr">
        <is>
          <t># This file is part of Sponge API and licensed under the MIT License (MIT). 
# Copyright (c) SpongePowered https://www.spongepowered.org
# Copyright (c) contributors
# Permission is hereby granted, free of charge, to any person obtaining a copy
# of this software and associated</t>
        </is>
      </c>
      <c r="E1903" t="n">
        <v>0.0055</v>
      </c>
      <c r="F1903" t="n">
        <v>0.12</v>
      </c>
      <c r="G1903" t="n">
        <v>0.2721</v>
      </c>
      <c r="H1903" t="inlineStr">
        <is>
          <t>```python
# This file is part of Sponge API, licensed under the MIT License (MIT).
# Copyright (c) 2022 SpongePowered &lt;https://www.spongepowered.org&gt;
# Copyright (c) contributors
# Permission is hereby granted, free of charge, to any person</t>
        </is>
      </c>
      <c r="I1903" t="n">
        <v>0.0052</v>
      </c>
      <c r="J1903" t="n">
        <v>0.0465</v>
      </c>
      <c r="K1903" t="n">
        <v>0.0926</v>
      </c>
      <c r="L1903" t="inlineStr">
        <is>
          <t>The provided code file is part of the Sponge API and it's licensed under MIT License (MIT). It contains backend software components developed by contributors to the project at &lt;https://www.spongepowered.org&gt;. 
 This piece of software can be freely used, modified, merged, published, distributed, sublicensed or sold as long</t>
        </is>
      </c>
      <c r="M1903" t="n">
        <v>0.0051</v>
      </c>
      <c r="N1903" t="n">
        <v>0.0678</v>
      </c>
      <c r="O1903" t="n">
        <v>0.1681</v>
      </c>
    </row>
    <row r="1904">
      <c r="A1904" t="inlineStr">
        <is>
          <t>sponge</t>
        </is>
      </c>
      <c r="B1904" t="inlineStr">
        <is>
          <t>src/main/java/org/spongepowered/api/network/channel/packet/PacketBinding.java</t>
        </is>
      </c>
      <c r="C1904">
        <f>HYPERLINK("https://github.com/SpongePowered/SpongeAPI/blob/master/src/main/java/org/spongepowered/api/network/channel/packet/PacketBinding.java")</f>
        <v/>
      </c>
      <c r="D1904" t="inlineStr">
        <is>
          <t>This code is part of the Sponge API and it's licensed under the MIT License (MIT), meaning that you can use, copy, modify, merge, publish, distribute, sublicense, sell copies of this software without restriction provided that these conditions are met. The copyright notice and permission notices shall be included in all copies or substantial portions of the Software.</t>
        </is>
      </c>
      <c r="E1904" t="n">
        <v>0.0041</v>
      </c>
      <c r="F1904" t="n">
        <v>0.0896</v>
      </c>
      <c r="G1904" t="n">
        <v>0.2428</v>
      </c>
      <c r="H1904" t="inlineStr">
        <is>
          <t>```python
# This file is part of Sponge API, licensed under the MIT License (MIT). 
# Copyright (c) SpongePowered &lt;https://www.spongepowered.org&gt; 
# Copyright (c) contributors 
# Permission is hereby granted, free of charge, to any person obtaining a</t>
        </is>
      </c>
      <c r="I1904" t="n">
        <v>0.005</v>
      </c>
      <c r="J1904" t="n">
        <v>0.0455</v>
      </c>
      <c r="K1904" t="n">
        <v>0.0917</v>
      </c>
      <c r="L1904" t="inlineStr">
        <is>
          <t>The provided code file is part of the Sponge API and it's licensed under the MIT License (MIT). It belongs to a software component that provides backend functionalities for game servers like Minecraft. 
 This specific piece of code appears to implement core algorithms related to handling player interactions in a multiplayer gaming environment. Its main purpose seems to be managing interaction events between</t>
        </is>
      </c>
      <c r="M1904" t="n">
        <v>0.0041</v>
      </c>
      <c r="N1904" t="n">
        <v>0.0833</v>
      </c>
      <c r="O1904" t="n">
        <v>0.3158</v>
      </c>
    </row>
    <row r="1905">
      <c r="A1905" t="inlineStr">
        <is>
          <t>sponge</t>
        </is>
      </c>
      <c r="B1905" t="inlineStr">
        <is>
          <t>src/main/java/org/spongepowered/api/network/channel/packet/RequestPacket.java</t>
        </is>
      </c>
      <c r="C1905">
        <f>HYPERLINK("https://github.com/SpongePowered/SpongeAPI/blob/master/src/main/java/org/spongepowered/api/network/channel/packet/RequestPacket.java")</f>
        <v/>
      </c>
      <c r="D1905" t="inlineStr">
        <is>
          <t>```python
# This file is part of Sponge API and licensed under the MIT License (MIT). 
# Copyright (c) Sponge Powered &lt;https://www.spongepowered.org&gt; 
# Copyright (c) contributors
# Permission is hereby granted, free of charge, to any person obtaining a copy</t>
        </is>
      </c>
      <c r="E1905" t="n">
        <v>0.0055</v>
      </c>
      <c r="F1905" t="n">
        <v>0.0851</v>
      </c>
      <c r="G1905" t="n">
        <v>0.1339</v>
      </c>
      <c r="H1905" t="inlineStr">
        <is>
          <t>```python
# This file is part of Sponge API, licensed under the MIT License (MIT).
# Copyright (c) 2014-2016 SpongePowered and contributors
# Permission is hereby granted, free of charge, to any person obtaining a copy
# of this software and associated documentation files (</t>
        </is>
      </c>
      <c r="I1905" t="n">
        <v>0.0054</v>
      </c>
      <c r="J1905" t="n">
        <v>0.1224</v>
      </c>
      <c r="K1905" t="n">
        <v>0.2698</v>
      </c>
      <c r="L1905" t="inlineStr">
        <is>
          <t>The provided code file is part of the Sponge API and it's licensed under the MIT License (MIT). It's a backend software component developed by contributors to the SpongePowered project at &lt;https://www.spongepowered.org&gt;. 
 This piece of software allows for modification, distribution, sublicensing, selling</t>
        </is>
      </c>
      <c r="M1905" t="n">
        <v>0.0058</v>
      </c>
      <c r="N1905" t="n">
        <v>0.0727</v>
      </c>
      <c r="O1905" t="n">
        <v>0.1754</v>
      </c>
    </row>
    <row r="1906">
      <c r="A1906" t="inlineStr">
        <is>
          <t>sponge</t>
        </is>
      </c>
      <c r="B1906" t="inlineStr">
        <is>
          <t>src/main/java/org/spongepowered/api/network/channel/packet/package-info.java</t>
        </is>
      </c>
      <c r="C1906">
        <f>HYPERLINK("https://github.com/SpongePowered/SpongeAPI/blob/master/src/main/java/org/spongepowered/api/network/channel/packet/package-info.java")</f>
        <v/>
      </c>
      <c r="D1906" t="inlineStr">
        <is>
          <t># The provided code is a part of Sponge API and it's licensed under the MIT License (MIT), which allows free use, modification, distribution etc., subject to certain conditions outlined in the license text. 
# It appears to be an implementation of core algorithms related to game development or similar fields where complexity can range from O(n) for some operations depending on</t>
        </is>
      </c>
      <c r="E1906" t="n">
        <v>0.0035</v>
      </c>
      <c r="F1906" t="n">
        <v>0.0571</v>
      </c>
      <c r="G1906" t="n">
        <v>0.1493</v>
      </c>
      <c r="H1906" t="inlineStr">
        <is>
          <t>This code is a function named add that takes two parameters (numbers), adds them together and returns the result. It has a time complexity of O(1) as it performs only one operation regardless of input size. The README file explains what this software does, its complexities, comments on different sections of code for understanding, commits made to track changes in source code over time, initial</t>
        </is>
      </c>
      <c r="I1906" t="n">
        <v>0.0037</v>
      </c>
      <c r="J1906" t="n">
        <v>0.08110000000000001</v>
      </c>
      <c r="K1906" t="n">
        <v>0.2304</v>
      </c>
      <c r="L1906" t="inlineStr">
        <is>
          <t># This file is part of Sponge API, licensed under the MIT License (MIT). 
# Copyright (c) Sponge Powered &lt;https://www.spongepowered.org&gt; 
# Copyright (c) contributors 
# Permission is hereby granted, free of charge, to any person obtaining a copy 
# of</t>
        </is>
      </c>
      <c r="M1906" t="n">
        <v>0.0046</v>
      </c>
      <c r="N1906" t="n">
        <v>0.0435</v>
      </c>
      <c r="O1906" t="n">
        <v>0.0893</v>
      </c>
    </row>
    <row r="1907">
      <c r="A1907" t="inlineStr">
        <is>
          <t>sponge</t>
        </is>
      </c>
      <c r="B1907" t="inlineStr">
        <is>
          <t>src/main/java/org/spongepowered/api/network/channel/packet/TransactionalPacketDispatcher.java</t>
        </is>
      </c>
      <c r="C1907">
        <f>HYPERLINK("https://github.com/SpongePowered/SpongeAPI/blob/master/src/main/java/org/spongepowered/api/network/channel/packet/TransactionalPacketDispatcher.java")</f>
        <v/>
      </c>
      <c r="D1907" t="inlineStr">
        <is>
          <t>```python
# This file is part of Sponge API and licensed under the MIT License (MIT). 
# Copyright (c) SpongePowered &lt;https://www.spongepowered.org&gt; 
# Copyright (c) contributors 
# Permission is hereby granted, free of charge, to any person obtaining a</t>
        </is>
      </c>
      <c r="E1907" t="n">
        <v>0.0058</v>
      </c>
      <c r="F1907" t="n">
        <v>0.08890000000000001</v>
      </c>
      <c r="G1907" t="n">
        <v>0.1364</v>
      </c>
      <c r="H1907" t="inlineStr">
        <is>
          <t>This repository contains backend software components that implement core algorithms used in the Sponge API (MIT License). The function add() performs addition of two numbers and has a time complexity of O(1), indicating constant-time performance irrespective of input size. However, there are other functions present with varying complexities such as O(N) for certain implementation tasks.
Please note</t>
        </is>
      </c>
      <c r="I1907" t="n">
        <v>0.0045</v>
      </c>
      <c r="J1907" t="n">
        <v>0.1765</v>
      </c>
      <c r="K1907" t="n">
        <v>0.2326</v>
      </c>
      <c r="L1907" t="inlineStr">
        <is>
          <t>The provided code file is part of the Sponge API and it's licensed under the MIT License (MIT). It contains backend software components for a game engine named "Sponge". This component implements core algorithms related to physics calculations in Minecraft. 
 The main purpose of this code base appears to be handling various aspects of physical interactions between entities within the game environment</t>
        </is>
      </c>
      <c r="M1907" t="n">
        <v>0.0078</v>
      </c>
      <c r="N1907" t="n">
        <v>0.08450000000000001</v>
      </c>
      <c r="O1907" t="n">
        <v>0.3182</v>
      </c>
    </row>
    <row r="1908">
      <c r="A1908" t="inlineStr">
        <is>
          <t>sponge</t>
        </is>
      </c>
      <c r="B1908" t="inlineStr">
        <is>
          <t>src/main/java/org/spongepowered/api/network/channel/packet/PacketDispatcher.java</t>
        </is>
      </c>
      <c r="C1908">
        <f>HYPERLINK("https://github.com/SpongePowered/SpongeAPI/blob/master/src/main/java/org/spongepowered/api/network/channel/packet/PacketDispatcher.java")</f>
        <v/>
      </c>
      <c r="D1908" t="inlineStr">
        <is>
          <t>This code is part of the Sponge API and it's licensed under the MIT License (MIT), meaning that anyone can use this software for any purpose without restriction provided they include a copy of the license in their project and comply with its conditions. The copyright notice mentions both contributors to the software and links to &lt;https://www.spongepowered.org&gt;</t>
        </is>
      </c>
      <c r="E1908" t="n">
        <v>0.0042</v>
      </c>
      <c r="F1908" t="n">
        <v>0.08699999999999999</v>
      </c>
      <c r="G1908" t="n">
        <v>0.155</v>
      </c>
      <c r="H1908" t="inlineStr">
        <is>
          <t>```python
# This file is part of Sponge API, licensed under the MIT License (MIT).
# Copyright (c) SpongePowered &lt;https://www.spongepowered.org&gt; 
# Copyright (c) contributors 
# Permission is hereby granted, free of charge, to any person obtaining a copy</t>
        </is>
      </c>
      <c r="I1908" t="n">
        <v>0.0049</v>
      </c>
      <c r="J1908" t="n">
        <v>0.0444</v>
      </c>
      <c r="K1908" t="n">
        <v>0.09089999999999999</v>
      </c>
      <c r="L1908" t="inlineStr">
        <is>
          <t>```python
# This file is part of Sponge API and licensed under the MIT License (MIT). 
# Copyright (c) Sponge Powered &lt;https://www.spongepowered.org&gt; 
# Copyright (c) contributors
# Permission is hereby granted, free of charge, to any person obtaining a copy 
#</t>
        </is>
      </c>
      <c r="M1908" t="n">
        <v>0.0054</v>
      </c>
      <c r="N1908" t="n">
        <v>0.0851</v>
      </c>
      <c r="O1908" t="n">
        <v>0.1327</v>
      </c>
    </row>
    <row r="1909">
      <c r="A1909" t="inlineStr">
        <is>
          <t>sponge</t>
        </is>
      </c>
      <c r="B1909" t="inlineStr">
        <is>
          <t>src/main/java/org/spongepowered/api/network/channel/packet/ResponsePacketHandler.java</t>
        </is>
      </c>
      <c r="C1909">
        <f>HYPERLINK("https://github.com/SpongePowered/SpongeAPI/blob/master/src/main/java/org/spongepowered/api/network/channel/packet/ResponsePacketHandler.java")</f>
        <v/>
      </c>
      <c r="D1909" t="inlineStr">
        <is>
          <t># This file is part of the Sponge API and licensed under the MIT License (MIT). 
# Copyright (c) SpongePowered &lt;https://www.spongepowered.org&gt; 
# Copyright (c) contributors  
# Permission is hereby granted, free of charge, to any person obtaining a copy of this software and</t>
        </is>
      </c>
      <c r="E1909" t="n">
        <v>0.0056</v>
      </c>
      <c r="F1909" t="n">
        <v>0.12</v>
      </c>
      <c r="G1909" t="n">
        <v>0.2745</v>
      </c>
      <c r="H1909" t="inlineStr">
        <is>
          <t>```python
# This file is part of Sponge API, licensed under the MIT License (MIT).
# Copyright (c) SpongePowered &lt;https://www.spongepowered.org&gt; 
# Copyright (c) contributors 
# Permission is hereby granted, free of charge, to any person obtaining a copy</t>
        </is>
      </c>
      <c r="I1909" t="n">
        <v>0.0049</v>
      </c>
      <c r="J1909" t="n">
        <v>0.0444</v>
      </c>
      <c r="K1909" t="n">
        <v>0.09089999999999999</v>
      </c>
      <c r="L1909" t="inlineStr">
        <is>
          <t>The provided code file is a part of the Sponge API and it's licensed under MIT License (MIT). It belongs to Sponge Powered &lt;https://www.spongepowered.org&gt;. This software can be freely used, modified, merged, published, distributed, sublicensed or sold as long as this copyright notice and permission notices are</t>
        </is>
      </c>
      <c r="M1909" t="n">
        <v>0.0091</v>
      </c>
      <c r="N1909" t="n">
        <v>0.1017</v>
      </c>
      <c r="O1909" t="n">
        <v>0.1681</v>
      </c>
    </row>
    <row r="1910">
      <c r="A1910" t="inlineStr">
        <is>
          <t>sponge</t>
        </is>
      </c>
      <c r="B1910" t="inlineStr">
        <is>
          <t>src/main/java/org/spongepowered/api/network/channel/packet/FixedTransactionalPacketBinding.java</t>
        </is>
      </c>
      <c r="C1910">
        <f>HYPERLINK("https://github.com/SpongePowered/SpongeAPI/blob/master/src/main/java/org/spongepowered/api/network/channel/packet/FixedTransactionalPacketBinding.java")</f>
        <v/>
      </c>
      <c r="D1910" t="inlineStr">
        <is>
          <t># The provided code is part of the Sponge API and it's licensed under the MIT License (MIT). 
# It includes a copyright notice for Sponge Powered at https://www.spongepowered.org and contributors. 
# Permission is granted to anyone obtaining a copy of this software and associated documentation files (the "Software")</t>
        </is>
      </c>
      <c r="E1910" t="n">
        <v>0.0045</v>
      </c>
      <c r="F1910" t="n">
        <v>0.1034</v>
      </c>
      <c r="G1910" t="n">
        <v>0.2608</v>
      </c>
      <c r="H1910" t="inlineStr">
        <is>
          <t>```python
# This file is part of Sponge API, licensed under the MIT License (MIT).
# Copyright (c) 2022 SpongePowered &lt;https://www.spongepowered.org&gt;
# Copyright (c) contributors
# Permission is hereby granted, free of charge, to any person</t>
        </is>
      </c>
      <c r="I1910" t="n">
        <v>0.0052</v>
      </c>
      <c r="J1910" t="n">
        <v>0.0465</v>
      </c>
      <c r="K1910" t="n">
        <v>0.0926</v>
      </c>
      <c r="L1910" t="inlineStr">
        <is>
          <t>The provided code file is part of the Sponge API and it's licensed under the MIT License (MIT). It belongs to Sponge Powered &lt;https://www.spongepowered.org&gt; which also has contributors who have granted permission for anyone to obtain a copy of this software and associated documentation files (the "Software") without restriction, including</t>
        </is>
      </c>
      <c r="M1910" t="n">
        <v>0.0044</v>
      </c>
      <c r="N1910" t="n">
        <v>0.0968</v>
      </c>
      <c r="O1910" t="n">
        <v>0.2587</v>
      </c>
    </row>
    <row r="1911">
      <c r="A1911" t="inlineStr">
        <is>
          <t>sponge</t>
        </is>
      </c>
      <c r="B1911" t="inlineStr">
        <is>
          <t>src/main/java/org/spongepowered/api/network/channel/packet/Packet.java</t>
        </is>
      </c>
      <c r="C1911">
        <f>HYPERLINK("https://github.com/SpongePowered/SpongeAPI/blob/master/src/main/java/org/spongepowered/api/network/channel/packet/Packet.java")</f>
        <v/>
      </c>
      <c r="D1911" t="inlineStr">
        <is>
          <t># This file is part of Sponge API and licensed under the MIT License (MIT). 
# Copyright (c) SpongePowered &lt;https://www.spongepowered.org&gt; 
# Copyright (c) contributors 
# Permission is hereby granted, free of charge, to any person obtaining a copy 
# of</t>
        </is>
      </c>
      <c r="E1911" t="n">
        <v>0.0055</v>
      </c>
      <c r="F1911" t="n">
        <v>0.08699999999999999</v>
      </c>
      <c r="G1911" t="n">
        <v>0.1339</v>
      </c>
      <c r="H1911" t="inlineStr">
        <is>
          <t>```python
# This file is part of Sponge API, licensed under the MIT License (MIT).
# Copyright (c) 2022 Sponge Powered &lt;https://www.spongepowered.org&gt;
# Copyright (c) contributors
# Permission is hereby granted, free of charge, to any person obtaining a</t>
        </is>
      </c>
      <c r="I1911" t="n">
        <v>0.0047</v>
      </c>
      <c r="J1911" t="n">
        <v>0.0435</v>
      </c>
      <c r="K1911" t="n">
        <v>0.0901</v>
      </c>
      <c r="L1911" t="inlineStr">
        <is>
          <t>The provided code file is part of Sponge API and it's licensed under the MIT License (MIT). 
 It's a backend software component that provides functionalities related to game mechanics such as physics calculations and collision detection among others. 
 This repository contains various algorithms used in these computations which are implemented here. 
 The main purpose of this code base</t>
        </is>
      </c>
      <c r="M1911" t="n">
        <v>0.0041</v>
      </c>
      <c r="N1911" t="n">
        <v>0.0882</v>
      </c>
      <c r="O1911" t="n">
        <v>0.1923</v>
      </c>
    </row>
    <row r="1912">
      <c r="A1912" t="inlineStr">
        <is>
          <t>sponge</t>
        </is>
      </c>
      <c r="B1912" t="inlineStr">
        <is>
          <t>src/main/java/org/spongepowered/api/network/channel/packet/PacketHandler.java</t>
        </is>
      </c>
      <c r="C1912">
        <f>HYPERLINK("https://github.com/SpongePowered/SpongeAPI/blob/master/src/main/java/org/spongepowered/api/network/channel/packet/PacketHandler.java")</f>
        <v/>
      </c>
      <c r="D1912" t="inlineStr">
        <is>
          <t>```plaintext
This code is part of the Sponge API and it's licensed under the MIT License (MIT). 
It was written by contributors to Sponge Powered &lt;https://www.spongepowered.org&gt;. The software can be used free of charge for any person obtaining a copy of this software along with associated documentation files (</t>
        </is>
      </c>
      <c r="E1912" t="n">
        <v>0.0049</v>
      </c>
      <c r="F1912" t="n">
        <v>0.0667</v>
      </c>
      <c r="G1912" t="n">
        <v>0.2608</v>
      </c>
      <c r="H1912" t="inlineStr">
        <is>
          <t>The provided code is a function named `add` that takes two parameters (numbers), adds them together and returns the result. This operation has a time complexity of O(1) as it performs only one addition operation regardless of input size.
In the README file, there are details about the repository including its purpose, complexities associated with different parts of the software, licensing</t>
        </is>
      </c>
      <c r="I1912" t="n">
        <v>0.0036</v>
      </c>
      <c r="J1912" t="n">
        <v>0.0571</v>
      </c>
      <c r="K1912" t="n">
        <v>0.1128</v>
      </c>
      <c r="L1912" t="inlineStr">
        <is>
          <t>The provided code file is part of the Sponge API and it's licensed under the MIT License (MIT). It belongs to a software component that's developed by Sponge Powered &lt;https://www.spongepowered.org&gt;. 
 This piece of code implements core algorithms for handling game mechanics in Minecraft servers. Its main purpose seems to</t>
        </is>
      </c>
      <c r="M1912" t="n">
        <v>0.01</v>
      </c>
      <c r="N1912" t="n">
        <v>0.0968</v>
      </c>
      <c r="O1912" t="n">
        <v>0.3524</v>
      </c>
    </row>
    <row r="1913">
      <c r="A1913" t="inlineStr">
        <is>
          <t>sponge</t>
        </is>
      </c>
      <c r="B1913" t="inlineStr">
        <is>
          <t>src/main/java/org/spongepowered/api/network/channel/packet/TransactionalPacketRegistry.java</t>
        </is>
      </c>
      <c r="C1913">
        <f>HYPERLINK("https://github.com/SpongePowered/SpongeAPI/blob/master/src/main/java/org/spongepowered/api/network/channel/packet/TransactionalPacketRegistry.java")</f>
        <v/>
      </c>
      <c r="D1913" t="inlineStr">
        <is>
          <t>import java.util.*;
public class Solution {
    public static int[] twoNumberSum(int[] array, int targetSum) {
        Map&lt;Integer, Boolean&gt; nums = new HashMap&lt;&gt;();
        for (int num : array) {
            if (!nums.containsKey(targetSum - num)) {
                return new int[]{</t>
        </is>
      </c>
      <c r="E1913" t="n">
        <v>0</v>
      </c>
      <c r="F1913" t="n">
        <v>0</v>
      </c>
      <c r="G1913" t="n">
        <v>0</v>
      </c>
      <c r="H1913" t="inlineStr">
        <is>
          <t>This code is a function named "add". It takes two parameters (a and b), adds them together, and returns the result. The time complexity of this operation is O(1), meaning it always executes in constant time regardless of input size.
In summary, this function performs addition on two numbers. 
```python
# Code:
def add(a,</t>
        </is>
      </c>
      <c r="I1913" t="n">
        <v>0.004</v>
      </c>
      <c r="J1913" t="n">
        <v>0.09520000000000001</v>
      </c>
      <c r="K1913" t="n">
        <v>0.119</v>
      </c>
      <c r="L1913" t="inlineStr">
        <is>
          <t>The provided code file is part of the Sponge API and it's licensed under the MIT License (MIT). It belongs to SpongePowered &lt;https://www.spongepowered.org&gt;. The copyright for this software belongs to contributors as well. Permission is hereby granted, free of charge, to any person obtaining a copy of</t>
        </is>
      </c>
      <c r="M1913" t="n">
        <v>0.0046</v>
      </c>
      <c r="N1913" t="n">
        <v>0.0678</v>
      </c>
      <c r="O1913" t="n">
        <v>0.2652</v>
      </c>
    </row>
    <row r="1914">
      <c r="A1914" t="inlineStr">
        <is>
          <t>sponge</t>
        </is>
      </c>
      <c r="B1914" t="inlineStr">
        <is>
          <t>src/main/java/org/spongepowered/api/network/channel/packet/HandlerPacketBinding.java</t>
        </is>
      </c>
      <c r="C1914">
        <f>HYPERLINK("https://github.com/SpongePowered/SpongeAPI/blob/master/src/main/java/org/spongepowered/api/network/channel/packet/HandlerPacketBinding.java")</f>
        <v/>
      </c>
      <c r="D1914" t="inlineStr">
        <is>
          <t>```python
# This file is part of Sponge API and licensed under the MIT License (MIT)
# Copyright (c) 2014-2016 SpongePowered &lt;http://www.spongepowered.org&gt;
# Copyright (c) contributors
# Permission is hereby granted, free of charge</t>
        </is>
      </c>
      <c r="E1914" t="n">
        <v>0.0065</v>
      </c>
      <c r="F1914" t="n">
        <v>0.09520000000000001</v>
      </c>
      <c r="G1914" t="n">
        <v>0.1415</v>
      </c>
      <c r="H1914" t="inlineStr">
        <is>
          <t>```python
# This file is part of SpongeAPI, licensed under the MIT License (MIT).
# Copyright (c) 2019-2020 SpongePowered and contributors
# Permission is hereby granted, free of charge, to any person obtaining a copy
# of this software and associated documentation files (</t>
        </is>
      </c>
      <c r="I1914" t="n">
        <v>0.0055</v>
      </c>
      <c r="J1914" t="n">
        <v>0.125</v>
      </c>
      <c r="K1914" t="n">
        <v>0.2721</v>
      </c>
      <c r="L1914" t="inlineStr">
        <is>
          <t>The provided code file is part of the Sponge API and it's licensed under MIT License (MIT). It's a backend software component for game development in Minecraft. 
 This repository contains core algorithms that are used to manage entities within the game environment like players, mobs, blocks etc. These operations include creation, deletion, updating and querying these</t>
        </is>
      </c>
      <c r="M1914" t="n">
        <v>0.0046</v>
      </c>
      <c r="N1914" t="n">
        <v>0.09089999999999999</v>
      </c>
      <c r="O1914" t="n">
        <v>0.1953</v>
      </c>
    </row>
    <row r="1915">
      <c r="A1915" t="inlineStr">
        <is>
          <t>sponge</t>
        </is>
      </c>
      <c r="B1915" t="inlineStr">
        <is>
          <t>src/main/java/org/spongepowered/api/network/channel/packet/RequestPacketResponse.java</t>
        </is>
      </c>
      <c r="C1915">
        <f>HYPERLINK("https://github.com/SpongePowered/SpongeAPI/blob/master/src/main/java/org/spongepowered/api/network/channel/packet/RequestPacketResponse.java")</f>
        <v/>
      </c>
      <c r="D1915" t="inlineStr">
        <is>
          <t># This file is part of Sponge API and licensed under the MIT License (MIT). 
# Copyright (c) SpongePowered &lt;https://www.spongepowered.org&gt; 
# Copyright (c) contributors 
# Permission is hereby granted, free of charge, to any person obtaining a copy 
#</t>
        </is>
      </c>
      <c r="E1915" t="n">
        <v>0.0056</v>
      </c>
      <c r="F1915" t="n">
        <v>0.08890000000000001</v>
      </c>
      <c r="G1915" t="n">
        <v>0.1351</v>
      </c>
      <c r="H1915" t="inlineStr">
        <is>
          <t>This repository contains backend software components that implement core algorithms used in the Sponge API. The functions are licensed under the MIT License (MIT), and they can be freely used by anyone obtaining a copy of this software and associated documentation files (the "Software"). They may deal in the Software without restriction, including without limitation the rights to use, copy, modify, merge, publish, distribute</t>
        </is>
      </c>
      <c r="I1915" t="n">
        <v>0.004</v>
      </c>
      <c r="J1915" t="n">
        <v>0.1667</v>
      </c>
      <c r="K1915" t="n">
        <v>0.3135</v>
      </c>
      <c r="L1915" t="inlineStr">
        <is>
          <t># This file is part of Sponge API and licensed under the MIT License (MIT). 
# Copyright (c) Sponge Powered &lt;https://www.spongepowered.org&gt; 
# Copyright (c) contributors  
# Permission is hereby granted, free of charge, to any person obtaining a copy 
# of this software</t>
        </is>
      </c>
      <c r="M1915" t="n">
        <v>0.0056</v>
      </c>
      <c r="N1915" t="n">
        <v>0.08160000000000001</v>
      </c>
      <c r="O1915" t="n">
        <v>0.2745</v>
      </c>
    </row>
    <row r="1916">
      <c r="A1916" t="inlineStr">
        <is>
          <t>sponge</t>
        </is>
      </c>
      <c r="B1916" t="inlineStr">
        <is>
          <t>src/main/java/org/spongepowered/api/network/channel/packet/basic/package-info.java</t>
        </is>
      </c>
      <c r="C1916">
        <f>HYPERLINK("https://github.com/SpongePowered/SpongeAPI/blob/master/src/main/java/org/spongepowered/api/network/channel/packet/basic/package-info.java")</f>
        <v/>
      </c>
      <c r="D1916" t="inlineStr">
        <is>
          <t>```python
# This file is part of Sponge API and licensed under the MIT License (MIT). 
# Copyright (c) SpongePowered &lt;https://www.spongepowered.org&gt; 
# Copyright (c) contributors
# Permission is hereby granted, free of charge, to any person obtaining a copy</t>
        </is>
      </c>
      <c r="E1916" t="n">
        <v>0.0056</v>
      </c>
      <c r="F1916" t="n">
        <v>0.08699999999999999</v>
      </c>
      <c r="G1916" t="n">
        <v>0.1351</v>
      </c>
      <c r="H1916" t="inlineStr">
        <is>
          <t>```python
# This file is part of Sponge API, licensed under the MIT License (MIT).
# Copyright (c) SpongePowered &lt;https://www.spongepowered.org&gt;
# Copyright (c) contributors
# Permission is hereby granted, free of charge, to any person obtaining a copy
#</t>
        </is>
      </c>
      <c r="I1916" t="n">
        <v>0.0047</v>
      </c>
      <c r="J1916" t="n">
        <v>0.0444</v>
      </c>
      <c r="K1916" t="n">
        <v>0.0901</v>
      </c>
      <c r="L1916" t="inlineStr">
        <is>
          <t>The provided code file is part of the Sponge API and it's licensed under the MIT License (MIT). It belongs to Sponge Powered &lt;https://www.spongepowered.org&gt;. 
 This software can be freely used by anyone obtaining a copy of this software and associated documentation files (the "Software"). However, redist</t>
        </is>
      </c>
      <c r="M1916" t="n">
        <v>0.0094</v>
      </c>
      <c r="N1916" t="n">
        <v>0.1034</v>
      </c>
      <c r="O1916" t="n">
        <v>0.2675</v>
      </c>
    </row>
    <row r="1917">
      <c r="A1917" t="inlineStr">
        <is>
          <t>sponge</t>
        </is>
      </c>
      <c r="B1917" t="inlineStr">
        <is>
          <t>src/main/java/org/spongepowered/api/network/channel/packet/basic/BasicPacketChannel.java</t>
        </is>
      </c>
      <c r="C1917">
        <f>HYPERLINK("https://github.com/SpongePowered/SpongeAPI/blob/master/src/main/java/org/spongepowered/api/network/channel/packet/basic/BasicPacketChannel.java")</f>
        <v/>
      </c>
      <c r="D1917" t="inlineStr">
        <is>
          <t>The provided code is part of the Sponge API and it's licensed under the MIT License (MIT). The software can be used freely without restriction to any person obtaining a copy of this software and associated documentation files (the "Software"). 
It allows modifications in the Software without restrictions including but not limited to the rights to use, copy, modify, merge</t>
        </is>
      </c>
      <c r="E1917" t="n">
        <v>0.0036</v>
      </c>
      <c r="F1917" t="n">
        <v>0.08699999999999999</v>
      </c>
      <c r="G1917" t="n">
        <v>0.1515</v>
      </c>
      <c r="H1917" t="inlineStr">
        <is>
          <t>```python
# This file is part of Sponge API, licensed under the MIT License (MIT).
# Copyright (c) 2022-present Sponge Powered &lt;https://www.spongepowered.org&gt;
# Copyright (c) contributors
# Permission is hereby granted, free of charge, to any person</t>
        </is>
      </c>
      <c r="I1917" t="n">
        <v>0.005</v>
      </c>
      <c r="J1917" t="n">
        <v>0.0444</v>
      </c>
      <c r="K1917" t="n">
        <v>0.0917</v>
      </c>
      <c r="L1917" t="inlineStr">
        <is>
          <t>```python
# This file is part of Sponge API and licensed under the MIT License (MIT). 
# Copyright (c) Sponge Powered &lt;https://www.spongepowered.org&gt; 
# Copyright (c) contributors 
# Permission is hereby granted, free of charge, to any person obtaining a copy</t>
        </is>
      </c>
      <c r="M1917" t="n">
        <v>0.0055</v>
      </c>
      <c r="N1917" t="n">
        <v>0.0851</v>
      </c>
      <c r="O1917" t="n">
        <v>0.1339</v>
      </c>
    </row>
    <row r="1918">
      <c r="A1918" t="inlineStr">
        <is>
          <t>sponge</t>
        </is>
      </c>
      <c r="B1918" t="inlineStr">
        <is>
          <t>src/main/java/org/spongepowered/api/network/channel/packet/basic/BasicHandshakePacketDispatcher.java</t>
        </is>
      </c>
      <c r="C1918">
        <f>HYPERLINK("https://github.com/SpongePowered/SpongeAPI/blob/master/src/main/java/org/spongepowered/api/network/channel/packet/basic/BasicHandshakePacketDispatcher.java")</f>
        <v/>
      </c>
      <c r="D1918" t="inlineStr">
        <is>
          <t>```python
# This file is part of Sponge API licensed under the MIT License (MIT).
# Copyright (c) 2014-2023 SpongePowered and contributors
# Permission is hereby granted, free of charge, to any person obtaining a copy
# of this software and associated documentation files (the</t>
        </is>
      </c>
      <c r="E1918" t="n">
        <v>0.0054</v>
      </c>
      <c r="F1918" t="n">
        <v>0.12</v>
      </c>
      <c r="G1918" t="n">
        <v>0.2698</v>
      </c>
      <c r="H1918" t="inlineStr">
        <is>
          <t>```python
# This file is part of Sponge API, licensed under the MIT License (MIT). 
# Copyright (c) SpongePowered &lt;https://www.spongepowered.org&gt; 
# Copyright (c) contributors 
# Permission is hereby granted, free of charge, to any person obtaining a</t>
        </is>
      </c>
      <c r="I1918" t="n">
        <v>0.005</v>
      </c>
      <c r="J1918" t="n">
        <v>0.0455</v>
      </c>
      <c r="K1918" t="n">
        <v>0.0917</v>
      </c>
      <c r="L1918" t="inlineStr">
        <is>
          <t>The provided code file is part of the Sponge API and it's licensed under the MIT License (MIT). It contains backend software components developed by contributors to the project at &lt;https://www.spongepowered.org&gt;. 
 This piece of software grants free permission for anyone to obtain a copy of this software along with associated documentation files (the</t>
        </is>
      </c>
      <c r="M1918" t="n">
        <v>0.0045</v>
      </c>
      <c r="N1918" t="n">
        <v>0.0615</v>
      </c>
      <c r="O1918" t="n">
        <v>0.2525</v>
      </c>
    </row>
    <row r="1919">
      <c r="A1919" t="inlineStr">
        <is>
          <t>sponge</t>
        </is>
      </c>
      <c r="B1919" t="inlineStr">
        <is>
          <t>src/main/java/org/spongepowered/api/network/channel/raw/package-info.java</t>
        </is>
      </c>
      <c r="C1919">
        <f>HYPERLINK("https://github.com/SpongePowered/SpongeAPI/blob/master/src/main/java/org/spongepowered/api/network/channel/raw/package-info.java")</f>
        <v/>
      </c>
      <c r="D1919" t="inlineStr">
        <is>
          <t>```python
# This file is part of Sponge API licensed under the MIT License (MIT).
# Copyright (c) 2014-2016 SpongePowered &lt;http://www.spongepowered.org&gt;
# Copyright (c) contributors
# Permission is hereby granted, free of charge,</t>
        </is>
      </c>
      <c r="E1919" t="n">
        <v>0.0056</v>
      </c>
      <c r="F1919" t="n">
        <v>0.0488</v>
      </c>
      <c r="G1919" t="n">
        <v>0.09520000000000001</v>
      </c>
      <c r="H1919" t="inlineStr">
        <is>
          <t>This repository contains backend software components that implement core algorithms. The code is licensed under the MIT License (MIT), which allows free use and modification of the software without restriction. However, it's important to note that while contributions are welcome, they should be in line with the license terms for proper attribution.
The 'add' function has a time complexity of O(1)</t>
        </is>
      </c>
      <c r="I1919" t="n">
        <v>0.0042</v>
      </c>
      <c r="J1919" t="n">
        <v>0.1408</v>
      </c>
      <c r="K1919" t="n">
        <v>0.3206</v>
      </c>
      <c r="L1919" t="inlineStr">
        <is>
          <t>The provided code file is part of the Sponge API and it's licensed under the MIT License (MIT). It belongs to Sponge Powered &lt;https://www.spongepowered.org&gt;. This software can be freely used by anyone obtaining a copy of this software along with associated documentation files (the "Software"). They may use, copy,</t>
        </is>
      </c>
      <c r="M1919" t="n">
        <v>0.008800000000000001</v>
      </c>
      <c r="N1919" t="n">
        <v>0.06560000000000001</v>
      </c>
      <c r="O1919" t="n">
        <v>0.2608</v>
      </c>
    </row>
    <row r="1920">
      <c r="A1920" t="inlineStr">
        <is>
          <t>sponge</t>
        </is>
      </c>
      <c r="B1920" t="inlineStr">
        <is>
          <t>src/main/java/org/spongepowered/api/network/channel/raw/RawDataChannel.java</t>
        </is>
      </c>
      <c r="C1920">
        <f>HYPERLINK("https://github.com/SpongePowered/SpongeAPI/blob/master/src/main/java/org/spongepowered/api/network/channel/raw/RawDataChannel.java")</f>
        <v/>
      </c>
      <c r="D1920" t="inlineStr">
        <is>
          <t>```python
# This file is part of Sponge API and licensed under the MIT License (MIT). 
# Copyright (c) SpongePowered https://www.spongepowered.org
# Copyright (c) contributors
# Permission is hereby granted, free of charge, to any person obtaining a copy 
# of</t>
        </is>
      </c>
      <c r="E1920" t="n">
        <v>0.0054</v>
      </c>
      <c r="F1920" t="n">
        <v>0.0851</v>
      </c>
      <c r="G1920" t="n">
        <v>0.1327</v>
      </c>
      <c r="H1920" t="inlineStr">
        <is>
          <t>```python
# This file is part of Sponge API, licensed under the MIT License (MIT). 
# Copyright (c) SpongePowered &lt;https://www.spongepowered.org&gt; 
# Copyright (c) contributors  
# Permission is hereby granted, free of charge, to any person obtaining a copy</t>
        </is>
      </c>
      <c r="I1920" t="n">
        <v>0.0049</v>
      </c>
      <c r="J1920" t="n">
        <v>0.0444</v>
      </c>
      <c r="K1920" t="n">
        <v>0.09089999999999999</v>
      </c>
      <c r="L1920" t="inlineStr">
        <is>
          <t>The provided code is part of Sponge API and it's licensed under the MIT License (MIT). It's a backend software component that provides various functionalities related to game development like physics calculations, entity interactions etc. This repository contains contributions from multiple developers who have implemented core algorithms for these features. 
 The main purpose of this code base seems to be managing</t>
        </is>
      </c>
      <c r="M1920" t="n">
        <v>0.0042</v>
      </c>
      <c r="N1920" t="n">
        <v>0.08450000000000001</v>
      </c>
      <c r="O1920" t="n">
        <v>0.3206</v>
      </c>
    </row>
    <row r="1921">
      <c r="A1921" t="inlineStr">
        <is>
          <t>sponge</t>
        </is>
      </c>
      <c r="B1921" t="inlineStr">
        <is>
          <t>src/main/java/org/spongepowered/api/network/channel/raw/play/package-info.java</t>
        </is>
      </c>
      <c r="C1921">
        <f>HYPERLINK("https://github.com/SpongePowered/SpongeAPI/blob/master/src/main/java/org/spongepowered/api/network/channel/raw/play/package-info.java")</f>
        <v/>
      </c>
      <c r="D1921" t="inlineStr">
        <is>
          <t>```python
# This file is part of Sponge API licensed under the MIT License (MIT)
# Copyright (c) 2014-2015 SpongePowered &lt;http://www.spongepowered.org&gt;
# Copyright (c) contributors
# Permission is hereby granted, free of charge,</t>
        </is>
      </c>
      <c r="E1921" t="n">
        <v>0.0056</v>
      </c>
      <c r="F1921" t="n">
        <v>0.0488</v>
      </c>
      <c r="G1921" t="n">
        <v>0.09520000000000001</v>
      </c>
      <c r="H1921" t="inlineStr">
        <is>
          <t>```python
# This file is part of Sponge API, licensed under the MIT License (MIT)
# Copyright (c) 2022-present SpongePowered and contributors
# Permission is hereby granted, free of charge, to any person obtaining a copy
# of this software and associated documentation files (the "Soft</t>
        </is>
      </c>
      <c r="I1921" t="n">
        <v>0.0053</v>
      </c>
      <c r="J1921" t="n">
        <v>0.1176</v>
      </c>
      <c r="K1921" t="n">
        <v>0.2675</v>
      </c>
      <c r="L1921" t="inlineStr">
        <is>
          <t># This code file is part of Sponge API and it's licensed under the MIT License (MIT). 
# Copyright (c) Sponge Powered &lt;https://www.spongepowered.org&gt; 
# Copyright (c) contributors 
# Permission is hereby granted, free of charge, to any person obtaining a copy</t>
        </is>
      </c>
      <c r="M1921" t="n">
        <v>0.0054</v>
      </c>
      <c r="N1921" t="n">
        <v>0.08160000000000001</v>
      </c>
      <c r="O1921" t="n">
        <v>0.1327</v>
      </c>
    </row>
    <row r="1922">
      <c r="A1922" t="inlineStr">
        <is>
          <t>sponge</t>
        </is>
      </c>
      <c r="B1922" t="inlineStr">
        <is>
          <t>src/main/java/org/spongepowered/api/network/channel/raw/play/RawPlayDataHandler.java</t>
        </is>
      </c>
      <c r="C1922">
        <f>HYPERLINK("https://github.com/SpongePowered/SpongeAPI/blob/master/src/main/java/org/spongepowered/api/network/channel/raw/play/RawPlayDataHandler.java")</f>
        <v/>
      </c>
      <c r="D1922" t="inlineStr">
        <is>
          <t>The provided code is part of the Sponge API and it's licensed under the MIT License (MIT). It includes a copyright notice for Sponge Powered at https://www.spongepowered.org and contributors. The software can be freely used by anyone to obtain a copy of this software along with associated documentation files (the "Software").</t>
        </is>
      </c>
      <c r="E1922" t="n">
        <v>0.0043</v>
      </c>
      <c r="F1922" t="n">
        <v>0.0635</v>
      </c>
      <c r="G1922" t="n">
        <v>0.2566</v>
      </c>
      <c r="H1922" t="inlineStr">
        <is>
          <t>This repository contains backend software components that implement core algorithms. The code is licensed under the MIT License (MIT), which allows anyone to obtain a copy of this software and associated documentation files (the "Software") without restriction, including without limitation the rights to use, copy, modify, merge, publish, distribute, sublicense, and/or sell copies of the Software, subject to the</t>
        </is>
      </c>
      <c r="I1922" t="n">
        <v>0.0044</v>
      </c>
      <c r="J1922" t="n">
        <v>0.1471</v>
      </c>
      <c r="K1922" t="n">
        <v>0.3405</v>
      </c>
      <c r="L1922" t="inlineStr">
        <is>
          <t>The provided code file is part of the Sponge API and it's licensed under the MIT License (MIT). It's a backend software component that provides functionalities related to core algorithms. This includes data manipulation, processing, and handling tasks such as user authentication, game mechanics, physics calculations etc. 
 The main purpose of this code base seems to be</t>
        </is>
      </c>
      <c r="M1922" t="n">
        <v>0.0045</v>
      </c>
      <c r="N1922" t="n">
        <v>0.0896</v>
      </c>
      <c r="O1922" t="n">
        <v>0.1938</v>
      </c>
    </row>
    <row r="1923">
      <c r="A1923" t="inlineStr">
        <is>
          <t>sponge</t>
        </is>
      </c>
      <c r="B1923" t="inlineStr">
        <is>
          <t>src/main/java/org/spongepowered/api/network/channel/raw/play/RawPlayDataChannel.java</t>
        </is>
      </c>
      <c r="C1923">
        <f>HYPERLINK("https://github.com/SpongePowered/SpongeAPI/blob/master/src/main/java/org/spongepowered/api/network/channel/raw/play/RawPlayDataChannel.java")</f>
        <v/>
      </c>
      <c r="D1923" t="inlineStr">
        <is>
          <t>```python
# This file is part of Sponge API licensed under the MIT License (MIT).
# Copyright (c) 2023 SpongePowered &lt;https://www.spongepowered.org&gt;
# Copyright (c) contributors
# Permission is hereby granted, free of charge, to any person obtaining a</t>
        </is>
      </c>
      <c r="E1923" t="n">
        <v>0.0049</v>
      </c>
      <c r="F1923" t="n">
        <v>0.0444</v>
      </c>
      <c r="G1923" t="n">
        <v>0.09089999999999999</v>
      </c>
      <c r="H1923" t="inlineStr">
        <is>
          <t># This file is part of Sponge API, licensed under the MIT License (MIT).
# Copyright (c) 2014-2016 SpongePowered &lt;http://www.spongepowered.org&gt;
# Copyright (c) contributors
# Permission is hereby granted, free of charge, to any person</t>
        </is>
      </c>
      <c r="I1923" t="n">
        <v>0.0053</v>
      </c>
      <c r="J1923" t="n">
        <v>0.0465</v>
      </c>
      <c r="K1923" t="n">
        <v>0.0935</v>
      </c>
      <c r="L1923" t="inlineStr">
        <is>
          <t># Summary of Sponge API Code 
## Purpose and Functionality
The provided code is part of the Sponge API (Application Programming Interface for Minecraft servers), licensed under the MIT License. The software allows users to create plugins that extend its functionality by adding new blocks or items, modifying existing ones, creating new mechanics, etc. It's a</t>
        </is>
      </c>
      <c r="M1923" t="n">
        <v>0.0043</v>
      </c>
      <c r="N1923" t="n">
        <v>0.0635</v>
      </c>
      <c r="O1923" t="n">
        <v>0.1172</v>
      </c>
    </row>
    <row r="1924">
      <c r="A1924" t="inlineStr">
        <is>
          <t>sponge</t>
        </is>
      </c>
      <c r="B1924" t="inlineStr">
        <is>
          <t>src/main/java/org/spongepowered/api/network/channel/raw/handshake/package-info.java</t>
        </is>
      </c>
      <c r="C1924">
        <f>HYPERLINK("https://github.com/SpongePowered/SpongeAPI/blob/master/src/main/java/org/spongepowered/api/network/channel/raw/handshake/package-info.java")</f>
        <v/>
      </c>
      <c r="D1924" t="inlineStr">
        <is>
          <t>```python
# This file is part of Sponge API licensed under the MIT License (MIT).
# Copyright (c) 2014-2016 SpongePowered and contributors
# Permission is hereby granted, free of charge, to any person obtaining a copy
# of this software and associated documentation files (the</t>
        </is>
      </c>
      <c r="E1924" t="n">
        <v>0.0054</v>
      </c>
      <c r="F1924" t="n">
        <v>0.12</v>
      </c>
      <c r="G1924" t="n">
        <v>0.2698</v>
      </c>
      <c r="H1924" t="inlineStr">
        <is>
          <t>This code is a simple function to add two numbers together in Python. It takes two arguments (numbers), adds them together and returns the result. The time complexity of this operation is O(1), meaning it always executes in constant time regardless of input size.
In terms of functionality, this code provides an addition operation on any pair of numerical inputs provided as parameters 'a'</t>
        </is>
      </c>
      <c r="I1924" t="n">
        <v>0.0034</v>
      </c>
      <c r="J1924" t="n">
        <v>0.0822</v>
      </c>
      <c r="K1924" t="n">
        <v>0.1103</v>
      </c>
      <c r="L1924" t="inlineStr">
        <is>
          <t>```python
# This file is part of Sponge API, licensed under the MIT License (MIT). 
# Copyright (c) Sponge Powered &lt;https://www.spongepowered.org&gt; 
# Copyright (c) contributors 
# Permission is hereby granted, free of charge, to any person obtaining a copy</t>
        </is>
      </c>
      <c r="M1924" t="n">
        <v>0.0047</v>
      </c>
      <c r="N1924" t="n">
        <v>0.0435</v>
      </c>
      <c r="O1924" t="n">
        <v>0.0901</v>
      </c>
    </row>
    <row r="1925">
      <c r="A1925" t="inlineStr">
        <is>
          <t>sponge</t>
        </is>
      </c>
      <c r="B1925" t="inlineStr">
        <is>
          <t>src/main/java/org/spongepowered/api/network/channel/raw/handshake/RawHandshakeDataRequestResponse.java</t>
        </is>
      </c>
      <c r="C1925">
        <f>HYPERLINK("https://github.com/SpongePowered/SpongeAPI/blob/master/src/main/java/org/spongepowered/api/network/channel/raw/handshake/RawHandshakeDataRequestResponse.java")</f>
        <v/>
      </c>
      <c r="D1925" t="inlineStr">
        <is>
          <t># This code is part of the Sponge API and licensed under the MIT License (MIT), which allows free use, modification, distribution, etc., provided certain conditions are met. The software can be used without restriction in all copies or substantial portions of it, subject to these same conditions. If a copy of this software is furnished to someone else, they may sell their own copies</t>
        </is>
      </c>
      <c r="E1925" t="n">
        <v>0.0037</v>
      </c>
      <c r="F1925" t="n">
        <v>0.0556</v>
      </c>
      <c r="G1925" t="n">
        <v>0.2304</v>
      </c>
      <c r="H1925" t="inlineStr">
        <is>
          <t>This repository contains backend software components that are used in Sponge API (Minecraft), licensed under the MIT License. It includes implementations of core algorithms for various tasks such as addition and other mathematical operations. The code is written in Java and it's open-source with no restrictions on use or modification. However, please note that this does not include all parts of the Sponge API</t>
        </is>
      </c>
      <c r="I1925" t="n">
        <v>0.004</v>
      </c>
      <c r="J1925" t="n">
        <v>0.1351</v>
      </c>
      <c r="K1925" t="n">
        <v>0.2206</v>
      </c>
      <c r="L1925" t="inlineStr">
        <is>
          <t>```python
# This file is part of Sponge API and licensed under the MIT License (MIT). 
# Copyright (c) Sponge Powered &lt;https://www.spongepowered.org&gt; 
# Copyright (c) contributors 
# Permission is hereby granted, free of charge, to any person obtaining a copy</t>
        </is>
      </c>
      <c r="M1925" t="n">
        <v>0.0055</v>
      </c>
      <c r="N1925" t="n">
        <v>0.0851</v>
      </c>
      <c r="O1925" t="n">
        <v>0.1339</v>
      </c>
    </row>
    <row r="1926">
      <c r="A1926" t="inlineStr">
        <is>
          <t>sponge</t>
        </is>
      </c>
      <c r="B1926" t="inlineStr">
        <is>
          <t>src/main/java/org/spongepowered/api/network/channel/raw/handshake/RawHandshakeDataChannel.java</t>
        </is>
      </c>
      <c r="C1926">
        <f>HYPERLINK("https://github.com/SpongePowered/SpongeAPI/blob/master/src/main/java/org/spongepowered/api/network/channel/raw/handshake/RawHandshakeDataChannel.java")</f>
        <v/>
      </c>
      <c r="D1926" t="inlineStr">
        <is>
          <t>```python
# This file is part of Sponge API and licensed under the MIT License (MIT). 
# Copyright (c) SpongePowered &lt;https://www.spongepowered.org&gt; 
# Copyright (c) contributors 
# Permission is hereby granted, free of charge, to any person obtaining a</t>
        </is>
      </c>
      <c r="E1926" t="n">
        <v>0.0058</v>
      </c>
      <c r="F1926" t="n">
        <v>0.08890000000000001</v>
      </c>
      <c r="G1926" t="n">
        <v>0.1364</v>
      </c>
      <c r="H1926" t="inlineStr">
        <is>
          <t>```python
# This function takes two numbers as input and returns their sum.
def add(num1, num2):
    return num1 + num2
``` 
In this code snippet, the complexity is O(1), which means that it has a constant time complexity because no matter how large the inputs are, the operation will always take the</t>
        </is>
      </c>
      <c r="I1926" t="n">
        <v>0.0042</v>
      </c>
      <c r="J1926" t="n">
        <v>0.1017</v>
      </c>
      <c r="K1926" t="n">
        <v>0.121</v>
      </c>
      <c r="L1926" t="inlineStr">
        <is>
          <t>## Code Summary
This file is part of the Sponge API and it's licensed under the MIT License (MIT). 
It contains backend software components for a game engine named "Sponge". The purpose of this code base appears to be implementing core algorithms related to game mechanics such as physics calculations or AI behavior. It provides functionality that allows entities in</t>
        </is>
      </c>
      <c r="M1926" t="n">
        <v>0.0045</v>
      </c>
      <c r="N1926" t="n">
        <v>0.1471</v>
      </c>
      <c r="O1926" t="n">
        <v>0.323</v>
      </c>
    </row>
    <row r="1927">
      <c r="A1927" t="inlineStr">
        <is>
          <t>sponge</t>
        </is>
      </c>
      <c r="B1927" t="inlineStr">
        <is>
          <t>src/main/java/org/spongepowered/api/network/channel/raw/handshake/RawHandshakeDataRequestHandler.java</t>
        </is>
      </c>
      <c r="C1927">
        <f>HYPERLINK("https://github.com/SpongePowered/SpongeAPI/blob/master/src/main/java/org/spongepowered/api/network/channel/raw/handshake/RawHandshakeDataRequestHandler.java")</f>
        <v/>
      </c>
      <c r="D1927" t="inlineStr">
        <is>
          <t>This code is part of the Sponge API and it's licensed under the MIT License (MIT). It provides a set of core algorithms for implementing game mechanics in Minecraft-like environments. The software can be used free of charge to any person obtaining a copy of this software and its associated documentation files (the "Software"). 
    The Software may be</t>
        </is>
      </c>
      <c r="E1927" t="n">
        <v>0.0045</v>
      </c>
      <c r="F1927" t="n">
        <v>0.0882</v>
      </c>
      <c r="G1927" t="n">
        <v>0.2308</v>
      </c>
      <c r="H1927" t="inlineStr">
        <is>
          <t>The provided code is a function named "add". It takes two parameters (a and b), adds them together using the addition operator ("+") and returns the result. The time complexity of this operation is O(1), meaning it performs a constant number of operations regardless of the size of the input data.
In summary, this code represents simple mathematical functionality where numbers are added together.</t>
        </is>
      </c>
      <c r="I1927" t="n">
        <v>0.0034</v>
      </c>
      <c r="J1927" t="n">
        <v>0.0556</v>
      </c>
      <c r="K1927" t="n">
        <v>0.1103</v>
      </c>
      <c r="L1927" t="inlineStr">
        <is>
          <t>The code provided appears to be a part of the Sponge API (Application Programming Interface) for Minecraft game engine, licensed under MIT License. It is designed as an extension or plugin that adds additional features and functionalities to the core game mechanics. The main purpose seems to be handling events related to player interactions with blocks in the game world. 
It takes inputs such</t>
        </is>
      </c>
      <c r="M1927" t="n">
        <v>0.0034</v>
      </c>
      <c r="N1927" t="n">
        <v>0.0278</v>
      </c>
      <c r="O1927" t="n">
        <v>0.1103</v>
      </c>
    </row>
    <row r="1928">
      <c r="A1928" t="inlineStr">
        <is>
          <t>sponge</t>
        </is>
      </c>
      <c r="B1928" t="inlineStr">
        <is>
          <t>src/main/java/org/spongepowered/api/network/status/package-info.java</t>
        </is>
      </c>
      <c r="C1928">
        <f>HYPERLINK("https://github.com/SpongePowered/SpongeAPI/blob/master/src/main/java/org/spongepowered/api/network/status/package-info.java")</f>
        <v/>
      </c>
      <c r="D1928" t="inlineStr">
        <is>
          <t># This is a summary of the provided code which appears to be part of Sponge API licensed under MIT License (MIT). 
# It's written in Java and it seems like it includes core algorithms for various functionalities related to game development or any other software that uses this kind of architecture. The complexity of the code is O(N), indicating linear time complexity due to</t>
        </is>
      </c>
      <c r="E1928" t="n">
        <v>0.004</v>
      </c>
      <c r="F1928" t="n">
        <v>0.0822</v>
      </c>
      <c r="G1928" t="n">
        <v>0.1825</v>
      </c>
      <c r="H1928" t="inlineStr">
        <is>
          <t>This repository contains backend software components that implement core algorithms used in the Sponge API. The function add() performs addition of two numbers and has a time complexity of O(1), indicating constant-time performance irrespective of input size.
In terms of code size, it is 1000 lines long with each line representing an implementation of one or more functions from these</t>
        </is>
      </c>
      <c r="I1928" t="n">
        <v>0.0043</v>
      </c>
      <c r="J1928" t="n">
        <v>0.1714</v>
      </c>
      <c r="K1928" t="n">
        <v>0.2273</v>
      </c>
      <c r="L1928" t="inlineStr">
        <is>
          <t>The provided code file is part of Sponge API and it's licensed under the MIT License (MIT). It belongs to a software component that provides backend functionalities for various game engines like Minecraft. This repository contains contributions from multiple developers who have implemented core algorithms used in game mechanics such as collision detection or physics calculations. 
 The main purpose of this code base appears</t>
        </is>
      </c>
      <c r="M1928" t="n">
        <v>0.004</v>
      </c>
      <c r="N1928" t="n">
        <v>0.0822</v>
      </c>
      <c r="O1928" t="n">
        <v>0.3135</v>
      </c>
    </row>
    <row r="1929">
      <c r="A1929" t="inlineStr">
        <is>
          <t>sponge</t>
        </is>
      </c>
      <c r="B1929" t="inlineStr">
        <is>
          <t>src/main/java/org/spongepowered/api/network/status/Favicon.java</t>
        </is>
      </c>
      <c r="C1929">
        <f>HYPERLINK("https://github.com/SpongePowered/SpongeAPI/blob/master/src/main/java/org/spongepowered/api/network/status/Favicon.java")</f>
        <v/>
      </c>
      <c r="D1929" t="inlineStr">
        <is>
          <t>```python
# This file is part of Sponge API licensed under the MIT License (MIT). 
# Copyright (c) SpongePowered &lt;https://www.spongepowered.org&gt; 
# Copyright (c) contributors
# Permission is hereby granted, free of charge, to any person obtaining a copy 
#</t>
        </is>
      </c>
      <c r="E1929" t="n">
        <v>0.0047</v>
      </c>
      <c r="F1929" t="n">
        <v>0.0444</v>
      </c>
      <c r="G1929" t="n">
        <v>0.0901</v>
      </c>
      <c r="H1929" t="inlineStr">
        <is>
          <t>This repository contains backend software components for a game engine called Sponge. The code is licensed under the MIT License and it's open source. It provides an implementation of core algorithms used in game development like collision detection or physics simulations. However, without more specific details about what this function does (e.g., addition), I can only provide a general summary based on its functionality provided in the</t>
        </is>
      </c>
      <c r="I1929" t="n">
        <v>0.0041</v>
      </c>
      <c r="J1929" t="n">
        <v>0.1299</v>
      </c>
      <c r="K1929" t="n">
        <v>0.2158</v>
      </c>
      <c r="L1929" t="inlineStr">
        <is>
          <t>The provided code file is part of the Sponge API and it's licensed under the MIT License (MIT). It belongs to Sponge Powered &lt;https://www.spongepowered.org&gt;. This software can be used freely but must adhere to certain conditions as outlined in the license. 
 The main purpose of this code appears to be</t>
        </is>
      </c>
      <c r="M1929" t="n">
        <v>0.0086</v>
      </c>
      <c r="N1929" t="n">
        <v>0.0645</v>
      </c>
      <c r="O1929" t="n">
        <v>0.1639</v>
      </c>
    </row>
    <row r="1930">
      <c r="A1930" t="inlineStr">
        <is>
          <t>sponge</t>
        </is>
      </c>
      <c r="B1930" t="inlineStr">
        <is>
          <t>src/main/java/org/spongepowered/api/network/status/StatusClient.java</t>
        </is>
      </c>
      <c r="C1930">
        <f>HYPERLINK("https://github.com/SpongePowered/SpongeAPI/blob/master/src/main/java/org/spongepowered/api/network/status/StatusClient.java")</f>
        <v/>
      </c>
      <c r="D1930" t="inlineStr">
        <is>
          <t>```python
# This file is part of Sponge API, licensed under the MIT License (MIT). 
# Copyright (c) SpongePowered https://www.spongepowered.org
# Copyright (c) contributors
# Permission is hereby granted, free of charge, to any person obtaining a copy
# of this</t>
        </is>
      </c>
      <c r="E1930" t="n">
        <v>0.0045</v>
      </c>
      <c r="F1930" t="n">
        <v>0.0426</v>
      </c>
      <c r="G1930" t="n">
        <v>0.0885</v>
      </c>
      <c r="H1930" t="inlineStr">
        <is>
          <t>```python
# This file is part of Sponge API, licensed under the MIT License (MIT).
# Copyright (c) SpongePowered &lt;https://www.spongepowered.org&gt; 
# Copyright (c) contributors 
# Permission is hereby granted, free of charge, to any person obtaining a copy</t>
        </is>
      </c>
      <c r="I1930" t="n">
        <v>0.0049</v>
      </c>
      <c r="J1930" t="n">
        <v>0.0444</v>
      </c>
      <c r="K1930" t="n">
        <v>0.09089999999999999</v>
      </c>
      <c r="L1930" t="inlineStr">
        <is>
          <t>The provided code file is part of the Sponge API and it's licensed under the MIT License (MIT). It belongs to Sponge Powered &lt;https://www.spongepowered.org&gt; contributors. 
 This software can be freely used by any person obtaining a copy of this software along with associated documentation files (the "Software").</t>
        </is>
      </c>
      <c r="M1930" t="n">
        <v>0.0091</v>
      </c>
      <c r="N1930" t="n">
        <v>0.0678</v>
      </c>
      <c r="O1930" t="n">
        <v>0.2652</v>
      </c>
    </row>
    <row r="1931">
      <c r="A1931" t="inlineStr">
        <is>
          <t>sponge</t>
        </is>
      </c>
      <c r="B1931" t="inlineStr">
        <is>
          <t>src/main/java/org/spongepowered/api/network/status/StatusResponse.java</t>
        </is>
      </c>
      <c r="C1931">
        <f>HYPERLINK("https://github.com/SpongePowered/SpongeAPI/blob/master/src/main/java/org/spongepowered/api/network/status/StatusResponse.java")</f>
        <v/>
      </c>
      <c r="D1931" t="inlineStr">
        <is>
          <t># This is a summary of the provided code. 
## The MIT License (MIT)
Copyright (c) SpongePowered &lt;https://www.spongepowered.org&gt; 
Copyright (c) contributors
Permission is hereby granted, free of charge, to any person obtaining a copy of this software and associated documentation files (</t>
        </is>
      </c>
      <c r="E1931" t="n">
        <v>0.0058</v>
      </c>
      <c r="F1931" t="n">
        <v>0.12</v>
      </c>
      <c r="G1931" t="n">
        <v>0.2242</v>
      </c>
      <c r="H1931" t="inlineStr">
        <is>
          <t># This file is part of Sponge API, licensed under the MIT License (MIT). 
# Copyright (c) SpongePowered &lt;https://www.spongepowered.org&gt; 
# Copyright (c) contributors 
# Permission is hereby granted, free of charge, to any person obtaining a copy</t>
        </is>
      </c>
      <c r="I1931" t="n">
        <v>0.005</v>
      </c>
      <c r="J1931" t="n">
        <v>0.0455</v>
      </c>
      <c r="K1931" t="n">
        <v>0.0917</v>
      </c>
      <c r="L1931" t="inlineStr">
        <is>
          <t>The provided code file is part of Sponge API and it's licensed under the MIT License (MIT). It belongs to Sponge Powered &lt;https://www.spongepowered.org&gt;. This software can be freely used by anyone obtaining a copy of this software along with associated documentation files (the "Software"). 
 The Software may be</t>
        </is>
      </c>
      <c r="M1931" t="n">
        <v>0.008999999999999999</v>
      </c>
      <c r="N1931" t="n">
        <v>0.0667</v>
      </c>
      <c r="O1931" t="n">
        <v>0.1667</v>
      </c>
    </row>
    <row r="1932">
      <c r="A1932" t="inlineStr">
        <is>
          <t>sponge</t>
        </is>
      </c>
      <c r="B1932" t="inlineStr">
        <is>
          <t>src/main/java/org/spongepowered/api/raid/Raid.java</t>
        </is>
      </c>
      <c r="C1932">
        <f>HYPERLINK("https://github.com/SpongePowered/SpongeAPI/blob/master/src/main/java/org/spongepowered/api/raid/Raid.java")</f>
        <v/>
      </c>
      <c r="D1932" t="inlineStr">
        <is>
          <t># This file is part of Sponge API and licensed under the MIT License (MIT). 
# Copyright (c) SpongePowered https://www.spongepowered.org
# Copyright (c) contributors
# Permission is hereby granted, free of charge, to any person obtaining a copy
# of this software and associated</t>
        </is>
      </c>
      <c r="E1932" t="n">
        <v>0.0055</v>
      </c>
      <c r="F1932" t="n">
        <v>0.12</v>
      </c>
      <c r="G1932" t="n">
        <v>0.2721</v>
      </c>
      <c r="H1932" t="inlineStr">
        <is>
          <t>This repository contains backend software components that implement core algorithms used in the Sponge API. The code is licensed under the MIT License (MIT), which allows anyone to obtain a copy of this software and associated documentation files (the "Software") without restriction, including without limitation the rights to use, copy, modify, merge, publish, distribute, sublicense, and/or sell copies</t>
        </is>
      </c>
      <c r="I1932" t="n">
        <v>0.0045</v>
      </c>
      <c r="J1932" t="n">
        <v>0.1493</v>
      </c>
      <c r="K1932" t="n">
        <v>0.3932</v>
      </c>
      <c r="L1932" t="inlineStr">
        <is>
          <t>The provided code is part of the Sponge API and it's licensed under the MIT License (MIT). 
 It was written by contributors to provide backend software components for a game engine called "Sponge". This software allows users to create mods or plugins that extend its functionality.
 The purpose of this code seems to be related to core algorithms used in</t>
        </is>
      </c>
      <c r="M1932" t="n">
        <v>0.0076</v>
      </c>
      <c r="N1932" t="n">
        <v>0.08699999999999999</v>
      </c>
      <c r="O1932" t="n">
        <v>0.1894</v>
      </c>
    </row>
    <row r="1933">
      <c r="A1933" t="inlineStr">
        <is>
          <t>sponge</t>
        </is>
      </c>
      <c r="B1933" t="inlineStr">
        <is>
          <t>src/main/java/org/spongepowered/api/raid/package-info.java</t>
        </is>
      </c>
      <c r="C1933">
        <f>HYPERLINK("https://github.com/SpongePowered/SpongeAPI/blob/master/src/main/java/org/spongepowered/api/raid/package-info.java")</f>
        <v/>
      </c>
      <c r="D1933" t="inlineStr">
        <is>
          <t># This file is part of Sponge API and licensed under the MIT License (MIT). 
# Copyright (c) Sponge Powered &lt;https://www.spongepowered.org&gt; 
# Copyright (c) contributors 
# Permission is hereby granted, free of charge, to any person obtaining a copy 
# of</t>
        </is>
      </c>
      <c r="E1933" t="n">
        <v>0.0054</v>
      </c>
      <c r="F1933" t="n">
        <v>0.0851</v>
      </c>
      <c r="G1933" t="n">
        <v>0.1327</v>
      </c>
      <c r="H1933" t="inlineStr">
        <is>
          <t>This repository contains backend software components that implement core algorithms. The function add() performs addition of two numbers and has a time complexity of O(1), indicating constant-time execution regardless of the input size. It is licensed under the MIT License (MIT), with copyright notices for Sponge Powered &lt;https://www.spongepowered.org&gt; and contributors. Permission</t>
        </is>
      </c>
      <c r="I1933" t="n">
        <v>0.0051</v>
      </c>
      <c r="J1933" t="n">
        <v>0.1875</v>
      </c>
      <c r="K1933" t="n">
        <v>0.3467</v>
      </c>
      <c r="L1933" t="inlineStr">
        <is>
          <t>The provided code file is part of the Sponge API and it's licensed under MIT License (MIT). It belongs to 'Sponge Powered', a software organization with an open source project on GitHub. This piece of code appears to be implementing core algorithms for game physics simulations which are crucial in games like Minecraft or other similar ones. 
 The main</t>
        </is>
      </c>
      <c r="M1933" t="n">
        <v>0.0044</v>
      </c>
      <c r="N1933" t="n">
        <v>0.0882</v>
      </c>
      <c r="O1933" t="n">
        <v>0.3255</v>
      </c>
    </row>
    <row r="1934">
      <c r="A1934" t="inlineStr">
        <is>
          <t>sponge</t>
        </is>
      </c>
      <c r="B1934" t="inlineStr">
        <is>
          <t>src/main/java/org/spongepowered/api/raid/RaidWave.java</t>
        </is>
      </c>
      <c r="C1934">
        <f>HYPERLINK("https://github.com/SpongePowered/SpongeAPI/blob/master/src/main/java/org/spongepowered/api/raid/RaidWave.java")</f>
        <v/>
      </c>
      <c r="D1934" t="inlineStr">
        <is>
          <t>```python
# This file is part of Sponge API, licensed under the MIT License (MIT). 
# Copyright (c) SpongePowered &lt;https://www.spongepowered.org&gt; 
# Copyright (c) contributors 
# Permission is hereby granted, free of charge, to any person obtaining a</t>
        </is>
      </c>
      <c r="E1934" t="n">
        <v>0.005</v>
      </c>
      <c r="F1934" t="n">
        <v>0.0455</v>
      </c>
      <c r="G1934" t="n">
        <v>0.0917</v>
      </c>
      <c r="H1934" t="inlineStr">
        <is>
          <t>```python
# This file is part of Sponge API, licensed under the MIT License (MIT).
# Copyright (c) 2022 SpongePowered &lt;https://www.spongepowered.org&gt;
# Copyright (c) contributors
# Permission is hereby granted, free of charge, to any person</t>
        </is>
      </c>
      <c r="I1934" t="n">
        <v>0.0052</v>
      </c>
      <c r="J1934" t="n">
        <v>0.0465</v>
      </c>
      <c r="K1934" t="n">
        <v>0.0926</v>
      </c>
      <c r="L1934" t="inlineStr">
        <is>
          <t>## Code Summary 
This code file is part of the Sponge API and it's licensed under MIT License (MIT). The software can be freely used by anyone to deal in the Software without restriction, including without limitation the rights to use, copy, modify, merge, publish, distribute, sublicense, sell copies of the Software, and permit persons to</t>
        </is>
      </c>
      <c r="M1934" t="n">
        <v>0.0043</v>
      </c>
      <c r="N1934" t="n">
        <v>0.09379999999999999</v>
      </c>
      <c r="O1934" t="n">
        <v>0.1563</v>
      </c>
    </row>
    <row r="1935">
      <c r="A1935" t="inlineStr">
        <is>
          <t>sponge</t>
        </is>
      </c>
      <c r="B1935" t="inlineStr">
        <is>
          <t>src/main/java/org/spongepowered/api/block/package-info.java</t>
        </is>
      </c>
      <c r="C1935">
        <f>HYPERLINK("https://github.com/SpongePowered/SpongeAPI/blob/master/src/main/java/org/spongepowered/api/block/package-info.java")</f>
        <v/>
      </c>
      <c r="D1935" t="inlineStr">
        <is>
          <t>```python
# This file is part of Sponge API and licensed under the MIT License (MIT).
# Copyright (c) 2014-2015 SpongePowered &lt;http://www.spongepowered.org&gt;
# Copyright (c) contributors
# Permission is hereby granted, free of charge</t>
        </is>
      </c>
      <c r="E1935" t="n">
        <v>0.0065</v>
      </c>
      <c r="F1935" t="n">
        <v>0.09520000000000001</v>
      </c>
      <c r="G1935" t="n">
        <v>0.1415</v>
      </c>
      <c r="H1935" t="inlineStr">
        <is>
          <t>This repository contains backend software components that implement core algorithms used in Sponge API. The code is licensed under the MIT License (MIT), which allows anyone to obtain a copy of this software and associated documentation files (the "Software") without restriction, including without limitation the rights to use, copy, modify, merge, publish, distribute, sublicense, and/or sell copies of</t>
        </is>
      </c>
      <c r="I1935" t="n">
        <v>0.0045</v>
      </c>
      <c r="J1935" t="n">
        <v>0.1493</v>
      </c>
      <c r="K1935" t="n">
        <v>0.3932</v>
      </c>
      <c r="L1935" t="inlineStr">
        <is>
          <t>The provided code file is part of the Sponge API and it's licensed under the MIT License (MIT). It contains backend software components that are used to power a game engine called 'Sponge'. This repository also includes features for core algorithms like physics calculations, entity management etc. 
 The main purpose of this code base appears to be managing entities in a</t>
        </is>
      </c>
      <c r="M1935" t="n">
        <v>0.0042</v>
      </c>
      <c r="N1935" t="n">
        <v>0.0571</v>
      </c>
      <c r="O1935" t="n">
        <v>0.188</v>
      </c>
    </row>
    <row r="1936">
      <c r="A1936" t="inlineStr">
        <is>
          <t>sponge</t>
        </is>
      </c>
      <c r="B1936" t="inlineStr">
        <is>
          <t>src/main/java/org/spongepowered/api/block/BlockSnapshot.java</t>
        </is>
      </c>
      <c r="C1936">
        <f>HYPERLINK("https://github.com/SpongePowered/SpongeAPI/blob/master/src/main/java/org/spongepowered/api/block/BlockSnapshot.java")</f>
        <v/>
      </c>
      <c r="D1936" t="inlineStr">
        <is>
          <t># This file is part of Sponge API and licensed under the MIT License (MIT). 
# Copyright (c) SpongePowered https://www.spongepowered.org
# Copyright (c) contributors
# Permission is hereby granted, free of charge, to any person obtaining a copy of this software and associated documentation files (the</t>
        </is>
      </c>
      <c r="E1936" t="n">
        <v>0.0053</v>
      </c>
      <c r="F1936" t="n">
        <v>0.1132</v>
      </c>
      <c r="G1936" t="n">
        <v>0.2675</v>
      </c>
      <c r="H1936" t="inlineStr">
        <is>
          <t>```python
# This file is part of Sponge API, licensed under the MIT License (MIT).
# Copyright (c) SpongePowered &lt;https://www.spongepowered.org&gt; 
# Copyright (c) contributors 
# Permission is hereby granted, free of charge, to any person obtaining a copy</t>
        </is>
      </c>
      <c r="I1936" t="n">
        <v>0.0049</v>
      </c>
      <c r="J1936" t="n">
        <v>0.0444</v>
      </c>
      <c r="K1936" t="n">
        <v>0.09089999999999999</v>
      </c>
      <c r="L1936" t="inlineStr">
        <is>
          <t>The provided code file is part of the Sponge API and it's licensed under the MIT License (MIT). It belongs to the Sponge Powered organization at &lt;https://www.spongepowered.org&gt;. 
 This software can be freely used by any person obtaining a copy of this software along with associated documentation files (the "Software</t>
        </is>
      </c>
      <c r="M1936" t="n">
        <v>0.008800000000000001</v>
      </c>
      <c r="N1936" t="n">
        <v>0.06560000000000001</v>
      </c>
      <c r="O1936" t="n">
        <v>0.2608</v>
      </c>
    </row>
    <row r="1937">
      <c r="A1937" t="inlineStr">
        <is>
          <t>sponge</t>
        </is>
      </c>
      <c r="B1937" t="inlineStr">
        <is>
          <t>src/main/java/org/spongepowered/api/block/BlockState.java</t>
        </is>
      </c>
      <c r="C1937">
        <f>HYPERLINK("https://github.com/SpongePowered/SpongeAPI/blob/master/src/main/java/org/spongepowered/api/block/BlockState.java")</f>
        <v/>
      </c>
      <c r="D1937" t="inlineStr">
        <is>
          <t># This is a summary of the provided code as per your request. 
## The given piece of software (presumably related to Sponge API), licensed under MIT License, has been granted permission for free use by any person obtaining a copy of it and associated documentation files. It can be used without restriction including rights like usage, copying, modifying, merging,</t>
        </is>
      </c>
      <c r="E1937" t="n">
        <v>0.004</v>
      </c>
      <c r="F1937" t="n">
        <v>0.09089999999999999</v>
      </c>
      <c r="G1937" t="n">
        <v>0.1515</v>
      </c>
      <c r="H1937" t="inlineStr">
        <is>
          <t>```python
# This file is part of Sponge API, licensed under the MIT License (MIT). 
# Copyright (c) SpongePowered &lt;https://www.spongepowered.org&gt; 
# Copyright (c) contributors 
# Permission is hereby granted, free of charge, to any person obtaining a</t>
        </is>
      </c>
      <c r="I1937" t="n">
        <v>0.005</v>
      </c>
      <c r="J1937" t="n">
        <v>0.0455</v>
      </c>
      <c r="K1937" t="n">
        <v>0.0917</v>
      </c>
      <c r="L1937" t="inlineStr">
        <is>
          <t>```python
# This file is part of Sponge API, licensed under the MIT License (MIT). 
# Copyright (c) Sponge Powered &lt;https://www.spongepowered.org&gt; 
# Copyright (c) contributors 
# Permission is hereby granted, free of charge, to any person obtaining a copy</t>
        </is>
      </c>
      <c r="M1937" t="n">
        <v>0.0047</v>
      </c>
      <c r="N1937" t="n">
        <v>0.0435</v>
      </c>
      <c r="O1937" t="n">
        <v>0.0901</v>
      </c>
    </row>
    <row r="1938">
      <c r="A1938" t="inlineStr">
        <is>
          <t>sponge</t>
        </is>
      </c>
      <c r="B1938" t="inlineStr">
        <is>
          <t>src/main/java/org/spongepowered/api/block/BlockTypes.java</t>
        </is>
      </c>
      <c r="C1938">
        <f>HYPERLINK("https://github.com/SpongePowered/SpongeAPI/blob/master/src/main/java/org/spongepowered/api/block/BlockTypes.java")</f>
        <v/>
      </c>
      <c r="D1938" t="inlineStr">
        <is>
          <t>```python
# This file is part of Sponge API and licensed under the MIT License (MIT). 
# Copyright (c) SpongePowered &lt;https://www.spongepowered.org&gt; 
# Copyright (c) contributors 
# Permission is hereby granted, free of charge, to any person obtaining a</t>
        </is>
      </c>
      <c r="E1938" t="n">
        <v>0.0058</v>
      </c>
      <c r="F1938" t="n">
        <v>0.08890000000000001</v>
      </c>
      <c r="G1938" t="n">
        <v>0.1364</v>
      </c>
      <c r="H1938" t="inlineStr">
        <is>
          <t>```python
# This file is part of Sponge API, licensed under the MIT License (MIT). 
# Copyright (c) SpongePowered &lt;https://www.spongepowered.org&gt; 
# Copyright (c) contributors
# Permission is hereby granted, free of charge, to any person obtaining a copy
#</t>
        </is>
      </c>
      <c r="I1938" t="n">
        <v>0.0047</v>
      </c>
      <c r="J1938" t="n">
        <v>0.0444</v>
      </c>
      <c r="K1938" t="n">
        <v>0.0901</v>
      </c>
      <c r="L1938" t="inlineStr">
        <is>
          <t>This code file is part of the Sponge API and it's licensed under MIT License (MIT). It's a software component that provides functionalities related to backend operations in a game environment. The main purpose of this code seems to be implementing core algorithms for various tasks such as physics calculations or AI behavior prediction based on certain inputs. 
 Inputs are usually</t>
        </is>
      </c>
      <c r="M1938" t="n">
        <v>0.0042</v>
      </c>
      <c r="N1938" t="n">
        <v>0.1127</v>
      </c>
      <c r="O1938" t="n">
        <v>0.3206</v>
      </c>
    </row>
    <row r="1939">
      <c r="A1939" t="inlineStr">
        <is>
          <t>sponge</t>
        </is>
      </c>
      <c r="B1939" t="inlineStr">
        <is>
          <t>src/main/java/org/spongepowered/api/block/BlockType.java</t>
        </is>
      </c>
      <c r="C1939">
        <f>HYPERLINK("https://github.com/SpongePowered/SpongeAPI/blob/master/src/main/java/org/spongepowered/api/block/BlockType.java")</f>
        <v/>
      </c>
      <c r="D1939" t="inlineStr">
        <is>
          <t># The provided code appears to be a part of Sponge API and is licensed under the MIT License (MIT). 
# It includes copyright notices for both Sponge Powered &lt;https://www.spongepowered.org&gt; 
# and contributors. Permission is granted free of charge to any person obtaining a copy 
# of this software and associated</t>
        </is>
      </c>
      <c r="E1939" t="n">
        <v>0.0043</v>
      </c>
      <c r="F1939" t="n">
        <v>0.1034</v>
      </c>
      <c r="G1939" t="n">
        <v>0.2566</v>
      </c>
      <c r="H1939" t="inlineStr">
        <is>
          <t>```python
# This file is part of Sponge API, licensed under the MIT License (MIT). 
# Copyright (c) SpongePowered &lt;https://www.spongepowered.org&gt; 
# Copyright (c) contributors 
# Permission is hereby granted, free of charge, to any person obtaining a</t>
        </is>
      </c>
      <c r="I1939" t="n">
        <v>0.005</v>
      </c>
      <c r="J1939" t="n">
        <v>0.0455</v>
      </c>
      <c r="K1939" t="n">
        <v>0.0917</v>
      </c>
      <c r="L1939" t="inlineStr">
        <is>
          <t>## Code Summary
The provided code is part of the Sponge API and it's licensed under MIT License (MIT). The software can be freely used, modified, merged, published, distributed, sublicensed, sold or otherwise transferred without any restrictions. 
It appears to implement core algorithms for a game engine named "Sponge". It seems to</t>
        </is>
      </c>
      <c r="M1939" t="n">
        <v>0.0046</v>
      </c>
      <c r="N1939" t="n">
        <v>0.1</v>
      </c>
      <c r="O1939" t="n">
        <v>0.3</v>
      </c>
    </row>
    <row r="1940">
      <c r="A1940" t="inlineStr">
        <is>
          <t>sponge</t>
        </is>
      </c>
      <c r="B1940" t="inlineStr">
        <is>
          <t>src/main/java/org/spongepowered/api/block/BlockSoundGroup.java</t>
        </is>
      </c>
      <c r="C1940">
        <f>HYPERLINK("https://github.com/SpongePowered/SpongeAPI/blob/master/src/main/java/org/spongepowered/api/block/BlockSoundGroup.java")</f>
        <v/>
      </c>
      <c r="D1940" t="inlineStr">
        <is>
          <t>```python
# This file is part of Sponge API and licensed under the MIT License (MIT). 
# Copyright (c) Sponge Powered &lt;https://www.spongepowered.org&gt; 
# Copyright (c) contributors 
# Permission is hereby granted, free of charge, to any person obtaining a copy</t>
        </is>
      </c>
      <c r="E1940" t="n">
        <v>0.0055</v>
      </c>
      <c r="F1940" t="n">
        <v>0.0851</v>
      </c>
      <c r="G1940" t="n">
        <v>0.1339</v>
      </c>
      <c r="H1940" t="inlineStr">
        <is>
          <t>```python
# This file is part of Sponge API, licensed under the MIT License (MIT). 
# Copyright (c) SpongePowered &lt;https://www.spongepowered.org&gt; 
# Copyright (c) contributors 
# Permission is hereby granted, free of charge, to any person obtaining a</t>
        </is>
      </c>
      <c r="I1940" t="n">
        <v>0.005</v>
      </c>
      <c r="J1940" t="n">
        <v>0.0455</v>
      </c>
      <c r="K1940" t="n">
        <v>0.0917</v>
      </c>
      <c r="L1940" t="inlineStr">
        <is>
          <t>The provided code file is part of the Sponge API and it's licensed under the MIT License (MIT). It belongs to Sponge Powered &lt;https://www.spongepowered.org&gt;. 
 This software provides a set of backend software components for game development platforms like Minecraft. Its main purpose appears to be implementing core algorithms related to game</t>
        </is>
      </c>
      <c r="M1940" t="n">
        <v>0.008999999999999999</v>
      </c>
      <c r="N1940" t="n">
        <v>0.127</v>
      </c>
      <c r="O1940" t="n">
        <v>0.3467</v>
      </c>
    </row>
    <row r="1941">
      <c r="A1941" t="inlineStr">
        <is>
          <t>sponge</t>
        </is>
      </c>
      <c r="B1941" t="inlineStr">
        <is>
          <t>src/main/java/org/spongepowered/api/block/entity/Comparator.java</t>
        </is>
      </c>
      <c r="C1941">
        <f>HYPERLINK("https://github.com/SpongePowered/SpongeAPI/blob/master/src/main/java/org/spongepowered/api/block/entity/Comparator.java")</f>
        <v/>
      </c>
      <c r="D1941" t="inlineStr">
        <is>
          <t>```python
# This file is part of Sponge API and licensed under the MIT License (MIT). 
# Copyright (c) SpongePowered &lt;https://www.spongepowered.org&gt; 
# Copyright (c) contributors 
# Permission is hereby granted, free of charge, to any person obtaining a</t>
        </is>
      </c>
      <c r="E1941" t="n">
        <v>0.0058</v>
      </c>
      <c r="F1941" t="n">
        <v>0.08890000000000001</v>
      </c>
      <c r="G1941" t="n">
        <v>0.1364</v>
      </c>
      <c r="H1941" t="inlineStr">
        <is>
          <t>This repository contains backend software components that implement core algorithms used in Sponge API. The code is licensed under the MIT License (MIT), which allows free use and modification of the Software without restriction. However, it's important to note that this does not grant rights for commercial or proprietary uses of the Software.
The copyright notice and permission notice shall be included in all copies or</t>
        </is>
      </c>
      <c r="I1941" t="n">
        <v>0.0039</v>
      </c>
      <c r="J1941" t="n">
        <v>0.1333</v>
      </c>
      <c r="K1941" t="n">
        <v>0.309</v>
      </c>
      <c r="L1941" t="inlineStr">
        <is>
          <t>The provided code is part of the Sponge API and it's licensed under the MIT License (MIT). It belongs to a software component that allows for game development in Minecraft. This software provides core algorithms used by other parts of the game engine such as physics calculations or entity interactions. 
 Its main purpose seems to be managing entities within a game environment, possibly involving</t>
        </is>
      </c>
      <c r="M1941" t="n">
        <v>0.0072</v>
      </c>
      <c r="N1941" t="n">
        <v>0.0822</v>
      </c>
      <c r="O1941" t="n">
        <v>0.2735</v>
      </c>
    </row>
    <row r="1942">
      <c r="A1942" t="inlineStr">
        <is>
          <t>sponge</t>
        </is>
      </c>
      <c r="B1942" t="inlineStr">
        <is>
          <t>src/main/java/org/spongepowered/api/block/entity/Sign.java</t>
        </is>
      </c>
      <c r="C1942">
        <f>HYPERLINK("https://github.com/SpongePowered/SpongeAPI/blob/master/src/main/java/org/spongepowered/api/block/entity/Sign.java")</f>
        <v/>
      </c>
      <c r="D1942" t="inlineStr">
        <is>
          <t>The provided code is part of the Sponge API and it's licensed under the MIT License (MIT), which allows for free use, modification, distribution etc., subject to certain conditions outlined in the license text. The software is provided "as-is," without warranty of any kind, express or implied including but not limited to warranties of merchantability, fitness for a</t>
        </is>
      </c>
      <c r="E1942" t="n">
        <v>0.0037</v>
      </c>
      <c r="F1942" t="n">
        <v>0.0294</v>
      </c>
      <c r="G1942" t="n">
        <v>0.1154</v>
      </c>
      <c r="H1942" t="inlineStr">
        <is>
          <t>```python
# This function takes two arguments and returns their sum
def add(a, b):  # O(1) complexity
    return a + b
```
In this code snippet, the `add` function is defined to take in two parameters (`a` and `b`), perform an addition operation on them using Python's built</t>
        </is>
      </c>
      <c r="I1942" t="n">
        <v>0.0045</v>
      </c>
      <c r="J1942" t="n">
        <v>0.1091</v>
      </c>
      <c r="K1942" t="n">
        <v>0.1667</v>
      </c>
      <c r="L1942" t="inlineStr">
        <is>
          <t>The provided code file is part of the Sponge API and it's licensed under the MIT License (MIT). It contains backend software components developed by contributors to the project at &lt;https://www.spongepowered.org&gt;. 
 This piece of software can be freely used for any purpose, including but not limited to using, copying, modifying</t>
        </is>
      </c>
      <c r="M1942" t="n">
        <v>0.0048</v>
      </c>
      <c r="N1942" t="n">
        <v>0.0645</v>
      </c>
      <c r="O1942" t="n">
        <v>0.1639</v>
      </c>
    </row>
    <row r="1943">
      <c r="A1943" t="inlineStr">
        <is>
          <t>sponge</t>
        </is>
      </c>
      <c r="B1943" t="inlineStr">
        <is>
          <t>src/main/java/org/spongepowered/api/block/entity/Lectern.java</t>
        </is>
      </c>
      <c r="C1943">
        <f>HYPERLINK("https://github.com/SpongePowered/SpongeAPI/blob/master/src/main/java/org/spongepowered/api/block/entity/Lectern.java")</f>
        <v/>
      </c>
      <c r="D1943" t="inlineStr">
        <is>
          <t>```python
# This file is part of Sponge API and licensed under the MIT License (MIT). 
# Copyright (c) SpongePowered &lt;https://www.spongepowered.org&gt; 
# Copyright (c) contributors 
# Permission is hereby granted, free of charge, to any person obtaining a</t>
        </is>
      </c>
      <c r="E1943" t="n">
        <v>0.0058</v>
      </c>
      <c r="F1943" t="n">
        <v>0.08890000000000001</v>
      </c>
      <c r="G1943" t="n">
        <v>0.1364</v>
      </c>
      <c r="H1943" t="inlineStr">
        <is>
          <t>The provided code is a function named add that takes two parameters and returns their sum. The complexity of this operation is O(1), meaning it always executes in the same amount of time regardless of input size.
In terms of functionality, this function performs basic arithmetic addition on its inputs. It's used to perform mathematical operations within software applications or scripts where you need to combine</t>
        </is>
      </c>
      <c r="I1943" t="n">
        <v>0.0033</v>
      </c>
      <c r="J1943" t="n">
        <v>0.0526</v>
      </c>
      <c r="K1943" t="n">
        <v>0.1449</v>
      </c>
      <c r="L1943" t="inlineStr">
        <is>
          <t>```python
# This file is part of Sponge API and licensed under the MIT License (MIT). 
# Copyright (c) SpongePowered &lt;https://www.spongepowered.org&gt; 
# Copyright (c) contributors 
# Permission is hereby granted, free of charge, to any person obtaining a copy</t>
        </is>
      </c>
      <c r="M1943" t="n">
        <v>0.0056</v>
      </c>
      <c r="N1943" t="n">
        <v>0.08699999999999999</v>
      </c>
      <c r="O1943" t="n">
        <v>0.1351</v>
      </c>
    </row>
    <row r="1944">
      <c r="A1944" t="inlineStr">
        <is>
          <t>sponge</t>
        </is>
      </c>
      <c r="B1944" t="inlineStr">
        <is>
          <t>src/main/java/org/spongepowered/api/block/entity/DecoratedPot.java</t>
        </is>
      </c>
      <c r="C1944">
        <f>HYPERLINK("https://github.com/SpongePowered/SpongeAPI/blob/master/src/main/java/org/spongepowered/api/block/entity/DecoratedPot.java")</f>
        <v/>
      </c>
      <c r="D1944" t="inlineStr">
        <is>
          <t># This is a summary of the provided code which appears to be part of Sponge API licensed under MIT License (MIT), it includes copyright notices and grants permission for anyone obtaining a copy of this software and associated documentation files (the "Software") to deal in the Software without restriction, including without limitation the rights to use, copy, modify, merge, publish, distribute</t>
        </is>
      </c>
      <c r="E1944" t="n">
        <v>0.0039</v>
      </c>
      <c r="F1944" t="n">
        <v>0.08699999999999999</v>
      </c>
      <c r="G1944" t="n">
        <v>0.1493</v>
      </c>
      <c r="H1944" t="inlineStr">
        <is>
          <t>```python
# This file is part of SpongeAPI, licensed under the MIT License (MIT).
# Copyright (c) 2017-2022 SpongePowered and contributors
# Permission is hereby granted, free of charge, to any person obtaining a copy
# of this software and associated documentation files (</t>
        </is>
      </c>
      <c r="I1944" t="n">
        <v>0.0055</v>
      </c>
      <c r="J1944" t="n">
        <v>0.125</v>
      </c>
      <c r="K1944" t="n">
        <v>0.2721</v>
      </c>
      <c r="L1944" t="inlineStr">
        <is>
          <t>The provided code file is part of the Sponge API and it's licensed under the MIT License (MIT). It belongs to a project called "Sponge Powered". This software allows for modifications, distribution, selling etc. without any restrictions or limitations as stated in the license conditions mentioned above. However, use of this software requires attribution back to its original source</t>
        </is>
      </c>
      <c r="M1944" t="n">
        <v>0.0072</v>
      </c>
      <c r="N1944" t="n">
        <v>0.0588</v>
      </c>
      <c r="O1944" t="n">
        <v>0.2409</v>
      </c>
    </row>
    <row r="1945">
      <c r="A1945" t="inlineStr">
        <is>
          <t>sponge</t>
        </is>
      </c>
      <c r="B1945" t="inlineStr">
        <is>
          <t>src/main/java/org/spongepowered/api/block/entity/BlockEntityTypes.java</t>
        </is>
      </c>
      <c r="C1945">
        <f>HYPERLINK("https://github.com/SpongePowered/SpongeAPI/blob/master/src/main/java/org/spongepowered/api/block/entity/BlockEntityTypes.java")</f>
        <v/>
      </c>
      <c r="D1945" t="inlineStr">
        <is>
          <t>This code is part of the Sponge API and it's licensed under the MIT License (MIT), which allows anyone to obtain a copy of this software and associated documentation files without any restrictions. The software can be used, copied, modified, merged, published, distributed, sublicensed, sold or otherwise transferred for free. 
However, there are conditions attached</t>
        </is>
      </c>
      <c r="E1945" t="n">
        <v>0.0044</v>
      </c>
      <c r="F1945" t="n">
        <v>0.09379999999999999</v>
      </c>
      <c r="G1945" t="n">
        <v>0.1575</v>
      </c>
      <c r="H1945" t="inlineStr">
        <is>
          <t>```python
# This file is part of Sponge API, licensed under the MIT License (MIT).
# Copyright (c) 2019-2020 SpongePowered and contributors
# Permission is hereby granted, free of charge, to any person obtaining a copy
# of this software and associated documentation files (</t>
        </is>
      </c>
      <c r="I1945" t="n">
        <v>0.0054</v>
      </c>
      <c r="J1945" t="n">
        <v>0.1224</v>
      </c>
      <c r="K1945" t="n">
        <v>0.2698</v>
      </c>
      <c r="L1945" t="inlineStr">
        <is>
          <t>The provided code is part of the Sponge API and it's licensed under the MIT License (MIT). It belongs to a software component that provides backend functionality for games like Minecraft. 
 This piece of code appears to implement core algorithms related to game mechanics such as physics calculations or AI behavior in multiplayer games. However, without context about its specific purpose within this</t>
        </is>
      </c>
      <c r="M1945" t="n">
        <v>0.0043</v>
      </c>
      <c r="N1945" t="n">
        <v>0.0833</v>
      </c>
      <c r="O1945" t="n">
        <v>0.3158</v>
      </c>
    </row>
    <row r="1946">
      <c r="A1946" t="inlineStr">
        <is>
          <t>sponge</t>
        </is>
      </c>
      <c r="B1946" t="inlineStr">
        <is>
          <t>src/main/java/org/spongepowered/api/block/entity/package-info.java</t>
        </is>
      </c>
      <c r="C1946">
        <f>HYPERLINK("https://github.com/SpongePowered/SpongeAPI/blob/master/src/main/java/org/spongepowered/api/block/entity/package-info.java")</f>
        <v/>
      </c>
      <c r="D1946" t="inlineStr">
        <is>
          <t>```python
# This file is part of Sponge API and licensed under the MIT License (MIT)
# Copyright (c) 2014-2023 The SpongePowered Developers
# https://www.spongepowered.org
# Permission is hereby granted, free of charge, to any person obtaining</t>
        </is>
      </c>
      <c r="E1946" t="n">
        <v>0.006</v>
      </c>
      <c r="F1946" t="n">
        <v>0.08890000000000001</v>
      </c>
      <c r="G1946" t="n">
        <v>0.1376</v>
      </c>
      <c r="H1946" t="inlineStr">
        <is>
          <t>```python
# This file is part of Sponge API, licensed under the MIT License (MIT).
# Copyright (c) 2022 SpongePowered
# https://www.spongepowered.org
# Copyright (c) contributors
# Permission is hereby granted, free of charge, to any person obtaining</t>
        </is>
      </c>
      <c r="I1946" t="n">
        <v>0.0049</v>
      </c>
      <c r="J1946" t="n">
        <v>0.0455</v>
      </c>
      <c r="K1946" t="n">
        <v>0.09089999999999999</v>
      </c>
      <c r="L1946" t="inlineStr">
        <is>
          <t>```python
# This file is part of Sponge API and licensed under the MIT License (MIT). 
# Copyright (c) Sponge Powered &lt;https://www.spongepowered.org&gt; 
# Copyright (c) contributors 
# Permission is hereby granted, free of charge, to any person obtaining a copy</t>
        </is>
      </c>
      <c r="M1946" t="n">
        <v>0.0055</v>
      </c>
      <c r="N1946" t="n">
        <v>0.0851</v>
      </c>
      <c r="O1946" t="n">
        <v>0.1339</v>
      </c>
    </row>
    <row r="1947">
      <c r="A1947" t="inlineStr">
        <is>
          <t>sponge</t>
        </is>
      </c>
      <c r="B1947" t="inlineStr">
        <is>
          <t>src/main/java/org/spongepowered/api/block/entity/TrialSpawner.java</t>
        </is>
      </c>
      <c r="C1947">
        <f>HYPERLINK("https://github.com/SpongePowered/SpongeAPI/blob/master/src/main/java/org/spongepowered/api/block/entity/TrialSpawner.java")</f>
        <v/>
      </c>
      <c r="D1947" t="inlineStr">
        <is>
          <t>```python
# This file is part of Sponge API, licensed under the MIT License (MIT).
# Copyright (c) SpongePowered &lt;https://www.spongepowered.org&gt;
# Copyright (c) contributors 
# Permission is hereby granted, free of charge, to any person obtaining a copy</t>
        </is>
      </c>
      <c r="E1947" t="n">
        <v>0.0049</v>
      </c>
      <c r="F1947" t="n">
        <v>0.0444</v>
      </c>
      <c r="G1947" t="n">
        <v>0.09089999999999999</v>
      </c>
      <c r="H1947" t="inlineStr">
        <is>
          <t>```python
# This file is part of Sponge API, licensed under the MIT License (MIT). 
# Copyright (c) SpongePowered &lt;https://www.spongepowered.org&gt; 
# Copyright (c) contributors 
# Permission is hereby granted, free of charge, to any person obtaining a</t>
        </is>
      </c>
      <c r="I1947" t="n">
        <v>0.005</v>
      </c>
      <c r="J1947" t="n">
        <v>0.0455</v>
      </c>
      <c r="K1947" t="n">
        <v>0.0917</v>
      </c>
      <c r="L1947" t="inlineStr">
        <is>
          <t>The provided code file is part of the Sponge API and is licensed under the MIT License (MIT). It's a backend software component that provides various functionalities related to game development. The copyright information states that it was developed by contributors from SpongePowered &lt;https://www.spongepowered.org&gt;. Permission is granted for anyone</t>
        </is>
      </c>
      <c r="M1947" t="n">
        <v>0.0045</v>
      </c>
      <c r="N1947" t="n">
        <v>0.06560000000000001</v>
      </c>
      <c r="O1947" t="n">
        <v>0.124</v>
      </c>
    </row>
    <row r="1948">
      <c r="A1948" t="inlineStr">
        <is>
          <t>sponge</t>
        </is>
      </c>
      <c r="B1948" t="inlineStr">
        <is>
          <t>src/main/java/org/spongepowered/api/block/entity/Piston.java</t>
        </is>
      </c>
      <c r="C1948">
        <f>HYPERLINK("https://github.com/SpongePowered/SpongeAPI/blob/master/src/main/java/org/spongepowered/api/block/entity/Piston.java")</f>
        <v/>
      </c>
      <c r="D1948" t="inlineStr">
        <is>
          <t>```python
# This file is part of Sponge API, licensed under the MIT License (MIT).
# Copyright (c) 2014-2015 SpongePowered &lt;http://www.spongepowered.org&gt;
# Copyright (c) contributors
# Permission is hereby granted, free of charge</t>
        </is>
      </c>
      <c r="E1948" t="n">
        <v>0.0056</v>
      </c>
      <c r="F1948" t="n">
        <v>0.0488</v>
      </c>
      <c r="G1948" t="n">
        <v>0.09520000000000001</v>
      </c>
      <c r="H1948" t="inlineStr">
        <is>
          <t># This file is part of Sponge API, licensed under the MIT License (MIT).
# Copyright (c) 2014-2016 SpongePowered &lt;http://www.spongepowered.org&gt;
# Copyright (c) contributors
# Permission is hereby granted, free of charge, to any person</t>
        </is>
      </c>
      <c r="I1948" t="n">
        <v>0.0053</v>
      </c>
      <c r="J1948" t="n">
        <v>0.0465</v>
      </c>
      <c r="K1948" t="n">
        <v>0.0935</v>
      </c>
      <c r="L1948" t="inlineStr">
        <is>
          <t>It seems like you're looking for a concise summary of the functionality provided by some source code file along with contextual information. However, no specific code or additional details were given in your request. 
Please provide the relevant code and any other necessary context so that I can assist you better.</t>
        </is>
      </c>
      <c r="M1948" t="n">
        <v>0.0043</v>
      </c>
      <c r="N1948" t="n">
        <v>0.0667</v>
      </c>
      <c r="O1948" t="n">
        <v>0.0813</v>
      </c>
    </row>
    <row r="1949">
      <c r="A1949" t="inlineStr">
        <is>
          <t>sponge</t>
        </is>
      </c>
      <c r="B1949" t="inlineStr">
        <is>
          <t>src/main/java/org/spongepowered/api/block/entity/BlockEntity.java</t>
        </is>
      </c>
      <c r="C1949">
        <f>HYPERLINK("https://github.com/SpongePowered/SpongeAPI/blob/master/src/main/java/org/spongepowered/api/block/entity/BlockEntity.java")</f>
        <v/>
      </c>
      <c r="D1949" t="inlineStr">
        <is>
          <t># This code is part of the Sponge API and licensed under the MIT License (MIT). 
# Copyright (c) SpongePowered https://www.spongepowered.org
# Copyright (c) contributors
# Permission is hereby granted, free of charge, to any person obtaining a copy
# of this software and</t>
        </is>
      </c>
      <c r="E1949" t="n">
        <v>0.0055</v>
      </c>
      <c r="F1949" t="n">
        <v>0.12</v>
      </c>
      <c r="G1949" t="n">
        <v>0.2721</v>
      </c>
      <c r="H1949" t="inlineStr">
        <is>
          <t>This repository contains backend software components that implement core algorithms used in the Sponge API. The code is licensed under the MIT License (MIT), which allows free use and modification of the software without restriction. However, it's important to note that these files are part of a larger project with its own licensing terms. Please refer to the license file for more details.
The</t>
        </is>
      </c>
      <c r="I1949" t="n">
        <v>0.004</v>
      </c>
      <c r="J1949" t="n">
        <v>0.137</v>
      </c>
      <c r="K1949" t="n">
        <v>0.3135</v>
      </c>
      <c r="L1949" t="inlineStr">
        <is>
          <t>The provided code file is part of the Sponge API and it's licensed under the MIT License (MIT). It belongs to a software component that is being developed by contributors at &lt;https://www.spongepowered.org&gt;. 
 This piece of software allows for modifications in the Software without restriction, including but not limited to the rights to use</t>
        </is>
      </c>
      <c r="M1949" t="n">
        <v>0.0045</v>
      </c>
      <c r="N1949" t="n">
        <v>0.0615</v>
      </c>
      <c r="O1949" t="n">
        <v>0.16</v>
      </c>
    </row>
    <row r="1950">
      <c r="A1950" t="inlineStr">
        <is>
          <t>sponge</t>
        </is>
      </c>
      <c r="B1950" t="inlineStr">
        <is>
          <t>src/main/java/org/spongepowered/api/block/entity/Bell.java</t>
        </is>
      </c>
      <c r="C1950">
        <f>HYPERLINK("https://github.com/SpongePowered/SpongeAPI/blob/master/src/main/java/org/spongepowered/api/block/entity/Bell.java")</f>
        <v/>
      </c>
      <c r="D1950" t="inlineStr">
        <is>
          <t>```plaintext
This code is part of the Sponge API and it's licensed under the MIT License (MIT). 
It provides a set of core algorithms for functionality in software applications. The code can be used freely without restriction provided that this copyright notice and permission notices are included with all copies or substantial portions of the Software.
The software is provided</t>
        </is>
      </c>
      <c r="E1950" t="n">
        <v>0.0045</v>
      </c>
      <c r="F1950" t="n">
        <v>0.1159</v>
      </c>
      <c r="G1950" t="n">
        <v>0.1894</v>
      </c>
      <c r="H1950" t="inlineStr">
        <is>
          <t>This repository contains backend software components that implement core algorithms used in Sponge API. The code is licensed under the MIT License (MIT), which allows anyone to obtain a copy of this software and associated documentation files (the "Software") without restriction, including without limitation the rights to use, copy, modify, merge, publish, distribute, sublicense, and/or sell copies of</t>
        </is>
      </c>
      <c r="I1950" t="n">
        <v>0.0045</v>
      </c>
      <c r="J1950" t="n">
        <v>0.1493</v>
      </c>
      <c r="K1950" t="n">
        <v>0.3932</v>
      </c>
      <c r="L1950" t="inlineStr">
        <is>
          <t>This code is a part of the Sponge API and it's licensed under the MIT License (MIT). 
 The software was initially developed by contributors to this repository on GitHub. It allows for modifications, merging, distribution, selling etc without any restrictions provided in the license. However, permission must be granted upon obtaining a copy of the software for use,</t>
        </is>
      </c>
      <c r="M1950" t="n">
        <v>0.0041</v>
      </c>
      <c r="N1950" t="n">
        <v>0.0597</v>
      </c>
      <c r="O1950" t="n">
        <v>0.1538</v>
      </c>
    </row>
    <row r="1951">
      <c r="A1951" t="inlineStr">
        <is>
          <t>sponge</t>
        </is>
      </c>
      <c r="B1951" t="inlineStr">
        <is>
          <t>src/main/java/org/spongepowered/api/block/entity/EndPortal.java</t>
        </is>
      </c>
      <c r="C1951">
        <f>HYPERLINK("https://github.com/SpongePowered/SpongeAPI/blob/master/src/main/java/org/spongepowered/api/block/entity/EndPortal.java")</f>
        <v/>
      </c>
      <c r="D1951" t="inlineStr">
        <is>
          <t>The code provided appears to be a part of the Sponge API (a Minecraft modding platform), licensed under the MIT License. It is designed for use in backend software components and implements core algorithms related to various tasks such as dealing with rights, copying, modifying, merging, publishing etc., without any restriction including those regarding merchantability, fitness for a particular purpose or non-</t>
        </is>
      </c>
      <c r="E1951" t="n">
        <v>0.0074</v>
      </c>
      <c r="F1951" t="n">
        <v>0.0857</v>
      </c>
      <c r="G1951" t="n">
        <v>0.2776</v>
      </c>
      <c r="H1951" t="inlineStr">
        <is>
          <t>This repository contains backend software components that implement core algorithms used in Sponge API. The function add() performs addition of two numbers and has a time complexity of O(1), indicating constant time execution regardless of the input size.
However, it's important to note that this readme file is written using Markdown syntax for clarity and organization purposes. It provides information about the license</t>
        </is>
      </c>
      <c r="I1951" t="n">
        <v>0.0041</v>
      </c>
      <c r="J1951" t="n">
        <v>0.1644</v>
      </c>
      <c r="K1951" t="n">
        <v>0.3158</v>
      </c>
      <c r="L1951" t="inlineStr">
        <is>
          <t>The provided code file is part of the Sponge API and it's licensed under the MIT License (MIT). 
 Copyright (c) Sponge Powered &lt;https://www.spongepowered.org&gt; 
 Copyright (c) contributors 
 Permission is hereby granted, free of charge, to any person obtaining a copy of this software</t>
        </is>
      </c>
      <c r="M1951" t="n">
        <v>0.0052</v>
      </c>
      <c r="N1951" t="n">
        <v>0.0741</v>
      </c>
      <c r="O1951" t="n">
        <v>0.2769</v>
      </c>
    </row>
    <row r="1952">
      <c r="A1952" t="inlineStr">
        <is>
          <t>sponge</t>
        </is>
      </c>
      <c r="B1952" t="inlineStr">
        <is>
          <t>src/main/java/org/spongepowered/api/block/entity/NameableBlockEntity.java</t>
        </is>
      </c>
      <c r="C1952">
        <f>HYPERLINK("https://github.com/SpongePowered/SpongeAPI/blob/master/src/main/java/org/spongepowered/api/block/entity/NameableBlockEntity.java")</f>
        <v/>
      </c>
      <c r="D1952" t="inlineStr">
        <is>
          <t>```python
# This file is part of Sponge API and licensed under the MIT License (MIT). 
# Copyright (c) SpongePowered https://www.spongepowered.org
# Copyright (c) contributors
# Permission is hereby granted, free of charge, to any person obtaining a copy
# of this</t>
        </is>
      </c>
      <c r="E1952" t="n">
        <v>0.0052</v>
      </c>
      <c r="F1952" t="n">
        <v>0.0833</v>
      </c>
      <c r="G1952" t="n">
        <v>0.1316</v>
      </c>
      <c r="H1952" t="inlineStr">
        <is>
          <t>```python
# This file is part of SpongeAPI, licensed under the MIT License (MIT).
# Copyright (c) 2019-2020 SpongePowered and contributors
# Permission is hereby granted, free of charge, to any person obtaining a copy
# of this software and associated documentation files (</t>
        </is>
      </c>
      <c r="I1952" t="n">
        <v>0.0055</v>
      </c>
      <c r="J1952" t="n">
        <v>0.125</v>
      </c>
      <c r="K1952" t="n">
        <v>0.2721</v>
      </c>
      <c r="L1952" t="inlineStr">
        <is>
          <t>The provided code file is part of the Sponge API and it's licensed under the MIT License (MIT). It provides a core algorithm implementation for some game mechanics in Minecraft, including block interactions, entity behavior, world generation, etc. 
    This software can be used freely by anyone obtaining a copy of this software along with associated documentation files (the "</t>
        </is>
      </c>
      <c r="M1952" t="n">
        <v>0.0078</v>
      </c>
      <c r="N1952" t="n">
        <v>0.0597</v>
      </c>
      <c r="O1952" t="n">
        <v>0.3255</v>
      </c>
    </row>
    <row r="1953">
      <c r="A1953" t="inlineStr">
        <is>
          <t>sponge</t>
        </is>
      </c>
      <c r="B1953" t="inlineStr">
        <is>
          <t>src/main/java/org/spongepowered/api/block/entity/BlockEntityType.java</t>
        </is>
      </c>
      <c r="C1953">
        <f>HYPERLINK("https://github.com/SpongePowered/SpongeAPI/blob/master/src/main/java/org/spongepowered/api/block/entity/BlockEntityType.java")</f>
        <v/>
      </c>
      <c r="D1953" t="inlineStr">
        <is>
          <t>The provided code is part of the Sponge API and licensed under the MIT License (MIT), which allows free use, modification, distribution, etc., subject to certain conditions outlined in the license text. The software can be used without restriction for any purpose including but not limited to copying, modifying, merging, publishing, distributing, selling copies or portions of it.</t>
        </is>
      </c>
      <c r="E1953" t="n">
        <v>0.0037</v>
      </c>
      <c r="F1953" t="n">
        <v>0.0303</v>
      </c>
      <c r="G1953" t="n">
        <v>0.1154</v>
      </c>
      <c r="H1953" t="inlineStr">
        <is>
          <t>The provided code is a simple function that adds two numbers together. It takes in parameters 'a' and 'b', performs the addition operation on them, and returns the result. This functionality can be summarized as follows: "The add() function accepts two numerical inputs (parameters named 'a' and 'b'), performs an arithmetic addition operation on these values, and then returns the resulting sum</t>
        </is>
      </c>
      <c r="I1953" t="n">
        <v>0.0039</v>
      </c>
      <c r="J1953" t="n">
        <v>0.0857</v>
      </c>
      <c r="K1953" t="n">
        <v>0.1493</v>
      </c>
      <c r="L1953" t="inlineStr">
        <is>
          <t>The provided code is a part of the Sponge API and it's licensed under the MIT License (MIT). It's copyrighted by Sponge Powered &lt;https://www.spongepowered.org&gt; along with contributors. 
 This software can be freely used for any purpose without restriction including but not limited to using, copying, mod</t>
        </is>
      </c>
      <c r="M1953" t="n">
        <v>0.0094</v>
      </c>
      <c r="N1953" t="n">
        <v>0.0678</v>
      </c>
      <c r="O1953" t="n">
        <v>0.2675</v>
      </c>
    </row>
    <row r="1954">
      <c r="A1954" t="inlineStr">
        <is>
          <t>sponge</t>
        </is>
      </c>
      <c r="B1954" t="inlineStr">
        <is>
          <t>src/main/java/org/spongepowered/api/block/entity/EnderChest.java</t>
        </is>
      </c>
      <c r="C1954">
        <f>HYPERLINK("https://github.com/SpongePowered/SpongeAPI/blob/master/src/main/java/org/spongepowered/api/block/entity/EnderChest.java")</f>
        <v/>
      </c>
      <c r="D1954" t="inlineStr">
        <is>
          <t>```python
# This file is part of Sponge API and licensed under the MIT License (MIT). 
# Copyright (c) SpongePowered &lt;https://www.spongepowered.org&gt; 
# Copyright (c) contributors
# Permission is hereby granted, free of charge, to any person obtaining a copy</t>
        </is>
      </c>
      <c r="E1954" t="n">
        <v>0.0056</v>
      </c>
      <c r="F1954" t="n">
        <v>0.08699999999999999</v>
      </c>
      <c r="G1954" t="n">
        <v>0.1351</v>
      </c>
      <c r="H1954" t="inlineStr">
        <is>
          <t>```python
# This file is part of Sponge API, licensed under the MIT License (MIT).
# Copyright (c) 2014-2016 SpongePowered &lt;http://www.spongepowered.org&gt;
# Copyright (c) contributors
# Permission is hereby granted, free of charge</t>
        </is>
      </c>
      <c r="I1954" t="n">
        <v>0.0056</v>
      </c>
      <c r="J1954" t="n">
        <v>0.0488</v>
      </c>
      <c r="K1954" t="n">
        <v>0.09520000000000001</v>
      </c>
      <c r="L1954" t="inlineStr">
        <is>
          <t>This code is part of the Sponge API and is licensed under the MIT License (MIT). It's a backend software component that provides various functionalities related to game development. The purpose of this code seems to be implementing core algorithms for handling events in a game environment. 
 The main operations include event registration, triggering, and cancellation. Input could potentially be</t>
        </is>
      </c>
      <c r="M1954" t="n">
        <v>0.0043</v>
      </c>
      <c r="N1954" t="n">
        <v>0.1449</v>
      </c>
      <c r="O1954" t="n">
        <v>0.323</v>
      </c>
    </row>
    <row r="1955">
      <c r="A1955" t="inlineStr">
        <is>
          <t>sponge</t>
        </is>
      </c>
      <c r="B1955" t="inlineStr">
        <is>
          <t>src/main/java/org/spongepowered/api/block/entity/Conduit.java</t>
        </is>
      </c>
      <c r="C1955">
        <f>HYPERLINK("https://github.com/SpongePowered/SpongeAPI/blob/master/src/main/java/org/spongepowered/api/block/entity/Conduit.java")</f>
        <v/>
      </c>
      <c r="D1955" t="inlineStr">
        <is>
          <t>```python
# This file is part of Sponge API and licensed under the MIT License (MIT). 
# Copyright (c) SpongePowered &lt;https://www.spongepowered.org&gt; 
# Copyright (c) contributors 
# Permission is hereby granted, free of charge, to any person obtaining a copy</t>
        </is>
      </c>
      <c r="E1955" t="n">
        <v>0.0056</v>
      </c>
      <c r="F1955" t="n">
        <v>0.08699999999999999</v>
      </c>
      <c r="G1955" t="n">
        <v>0.1351</v>
      </c>
      <c r="H1955" t="inlineStr">
        <is>
          <t>This repository contains backend software components that implement core algorithms used in Sponge API. The code is licensed under the MIT License (MIT), which allows anyone to obtain a copy of this software and associated documentation files (the "Software") without restriction, including without limitation the rights to use, copy, modify, merge, publish, distribute, sublicense, and/or sell copies of</t>
        </is>
      </c>
      <c r="I1955" t="n">
        <v>0.0045</v>
      </c>
      <c r="J1955" t="n">
        <v>0.1493</v>
      </c>
      <c r="K1955" t="n">
        <v>0.3932</v>
      </c>
      <c r="L1955" t="inlineStr">
        <is>
          <t># This file is part of the Sponge API, licensed under the MIT License (MIT). 
# Copyright (c) SpongePowered &lt;https://www.spongepowered.org&gt; 
# Copyright (c) contributors 
# Permission is hereby granted, free of charge, to any person obtaining a copy</t>
        </is>
      </c>
      <c r="M1955" t="n">
        <v>0.0049</v>
      </c>
      <c r="N1955" t="n">
        <v>0.0444</v>
      </c>
      <c r="O1955" t="n">
        <v>0.09089999999999999</v>
      </c>
    </row>
    <row r="1956">
      <c r="A1956" t="inlineStr">
        <is>
          <t>sponge</t>
        </is>
      </c>
      <c r="B1956" t="inlineStr">
        <is>
          <t>src/main/java/org/spongepowered/api/block/entity/MobSpawner.java</t>
        </is>
      </c>
      <c r="C1956">
        <f>HYPERLINK("https://github.com/SpongePowered/SpongeAPI/blob/master/src/main/java/org/spongepowered/api/block/entity/MobSpawner.java")</f>
        <v/>
      </c>
      <c r="D1956" t="inlineStr">
        <is>
          <t># This file is part of Sponge API and licensed under the MIT License (MIT). 
# Copyright (c) SpongePowered &lt;https://www.spongepowered.org&gt; 
# Copyright (c) contributors 
# Permission is hereby granted, free of charge, to any person obtaining a copy 
# of</t>
        </is>
      </c>
      <c r="E1956" t="n">
        <v>0.0055</v>
      </c>
      <c r="F1956" t="n">
        <v>0.08699999999999999</v>
      </c>
      <c r="G1956" t="n">
        <v>0.1339</v>
      </c>
      <c r="H1956" t="inlineStr">
        <is>
          <t>```python
# This file is part of Sponge API, licensed under the MIT License (MIT).
# Copyright (c) 2022 SpongePowered &lt;https://www.spongepowered.org&gt;
# Copyright (c) contributors
# Permission is hereby granted, free of charge, to any person</t>
        </is>
      </c>
      <c r="I1956" t="n">
        <v>0.0052</v>
      </c>
      <c r="J1956" t="n">
        <v>0.0465</v>
      </c>
      <c r="K1956" t="n">
        <v>0.0926</v>
      </c>
      <c r="L1956" t="inlineStr">
        <is>
          <t>The provided code is part of the Sponge API and it's licensed under the MIT License (MIT). It belongs to a software component that powers game servers such as Minecraft. This file contains core algorithms for managing server data like players, worlds, entities etc. 
 The main purpose of this code seems to be handling player interactions with various objects in the world by</t>
        </is>
      </c>
      <c r="M1956" t="n">
        <v>0.0041</v>
      </c>
      <c r="N1956" t="n">
        <v>0.0556</v>
      </c>
      <c r="O1956" t="n">
        <v>0.1852</v>
      </c>
    </row>
    <row r="1957">
      <c r="A1957" t="inlineStr">
        <is>
          <t>sponge</t>
        </is>
      </c>
      <c r="B1957" t="inlineStr">
        <is>
          <t>src/main/java/org/spongepowered/api/block/entity/Jigsaw.java</t>
        </is>
      </c>
      <c r="C1957">
        <f>HYPERLINK("https://github.com/SpongePowered/SpongeAPI/blob/master/src/main/java/org/spongepowered/api/block/entity/Jigsaw.java")</f>
        <v/>
      </c>
      <c r="D1957" t="inlineStr">
        <is>
          <t>```python
# This file is part of Sponge API and licensed under the MIT License (MIT).
# Copyright (c) 2023 SpongePowered &lt;https://www.spongepowered.org&gt;
# Copyright (c) contributors
# Permission is hereby granted, free of charge, to any person obtaining</t>
        </is>
      </c>
      <c r="E1957" t="n">
        <v>0.0058</v>
      </c>
      <c r="F1957" t="n">
        <v>0.08890000000000001</v>
      </c>
      <c r="G1957" t="n">
        <v>0.1364</v>
      </c>
      <c r="H1957" t="inlineStr">
        <is>
          <t>This repository contains backend software components that implement core algorithms used by Sponge API. The code is licensed under the MIT License (MIT), which allows free use, modification and distribution of the Software without restriction provided in the license text.
The function `add` takes two numbers as input parameters and returns their sum. Its time complexity is O(1), indicating constant-time execution</t>
        </is>
      </c>
      <c r="I1957" t="n">
        <v>0.0042</v>
      </c>
      <c r="J1957" t="n">
        <v>0.169</v>
      </c>
      <c r="K1957" t="n">
        <v>0.3206</v>
      </c>
      <c r="L1957" t="inlineStr">
        <is>
          <t>```python
# This file is part of Sponge API and licensed under the MIT License (MIT). 
# Copyright (c) Sponge Powered &lt;https://www.spongepowered.org&gt; 
# Copyright (c) contributors 
# Permission is hereby granted, free of charge, to any person obtaining a copy of this</t>
        </is>
      </c>
      <c r="M1957" t="n">
        <v>0.0052</v>
      </c>
      <c r="N1957" t="n">
        <v>0.08160000000000001</v>
      </c>
      <c r="O1957" t="n">
        <v>0.1316</v>
      </c>
    </row>
    <row r="1958">
      <c r="A1958" t="inlineStr">
        <is>
          <t>sponge</t>
        </is>
      </c>
      <c r="B1958" t="inlineStr">
        <is>
          <t>src/main/java/org/spongepowered/api/block/entity/CommandBlock.java</t>
        </is>
      </c>
      <c r="C1958">
        <f>HYPERLINK("https://github.com/SpongePowered/SpongeAPI/blob/master/src/main/java/org/spongepowered/api/block/entity/CommandBlock.java")</f>
        <v/>
      </c>
      <c r="D1958" t="inlineStr">
        <is>
          <t>The provided code is part of the Sponge API and it's licensed under the MIT License (MIT). It includes a copyright notice for Sponge Powered at &lt;https://www.spongepowered.org&gt; as well as contributor rights. The software can be used free of charge by anyone obtaining a copy of this software along with associated documentation files (the "</t>
        </is>
      </c>
      <c r="E1958" t="n">
        <v>0.004</v>
      </c>
      <c r="F1958" t="n">
        <v>0.0606</v>
      </c>
      <c r="G1958" t="n">
        <v>0.2485</v>
      </c>
      <c r="H1958" t="inlineStr">
        <is>
          <t>```python
# This file is part of Sponge API, licensed under the MIT License (MIT)
# Copyright (c) 2022 SpongePowered &lt;https://www.spongepowered.org&gt;
# Copyright (c) contributors
# Permission is hereby granted, free of charge, to any person obtaining</t>
        </is>
      </c>
      <c r="I1958" t="n">
        <v>0.005</v>
      </c>
      <c r="J1958" t="n">
        <v>0.0455</v>
      </c>
      <c r="K1958" t="n">
        <v>0.0917</v>
      </c>
      <c r="L1958" t="inlineStr">
        <is>
          <t>The provided code file is part of the Sponge API and it's licensed under the MIT License (MIT). It contains backend software components that are used for game development in Minecraft. This code implements core algorithms related to physics calculations like collision detection or movement simulation. 
 The main purpose of this code is to simulate physical interactions between objects in a virtual environment by calculating</t>
        </is>
      </c>
      <c r="M1958" t="n">
        <v>0.0074</v>
      </c>
      <c r="N1958" t="n">
        <v>0.08110000000000001</v>
      </c>
      <c r="O1958" t="n">
        <v>0.3112</v>
      </c>
    </row>
    <row r="1959">
      <c r="A1959" t="inlineStr">
        <is>
          <t>sponge</t>
        </is>
      </c>
      <c r="B1959" t="inlineStr">
        <is>
          <t>src/main/java/org/spongepowered/api/block/entity/Skull.java</t>
        </is>
      </c>
      <c r="C1959">
        <f>HYPERLINK("https://github.com/SpongePowered/SpongeAPI/blob/master/src/main/java/org/spongepowered/api/block/entity/Skull.java")</f>
        <v/>
      </c>
      <c r="D1959" t="inlineStr">
        <is>
          <t>The provided code is a part of Sponge API licensed under the MIT License (MIT), which allows free use and modification without restriction. It includes copyright notices for both SpongePowered &lt;https://www.spongepowered.org&gt; and contributors. The software can be used, copied, modified, merged, published, distributed, sublicensed</t>
        </is>
      </c>
      <c r="E1959" t="n">
        <v>0.005</v>
      </c>
      <c r="F1959" t="n">
        <v>0.0364</v>
      </c>
      <c r="G1959" t="n">
        <v>0.1293</v>
      </c>
      <c r="H1959" t="inlineStr">
        <is>
          <t>This code is a simple addition function that takes two numbers as arguments and returns their sum. The time complexity of this operation is O(1), meaning it always executes in the same amount of time regardless of the size of the input data.
Here's how you can summarize it: 
```python
# File: sponge_api/math/add</t>
        </is>
      </c>
      <c r="I1959" t="n">
        <v>0.0041</v>
      </c>
      <c r="J1959" t="n">
        <v>0.09229999999999999</v>
      </c>
      <c r="K1959" t="n">
        <v>0.12</v>
      </c>
      <c r="L1959" t="inlineStr">
        <is>
          <t>&lt;!-- This file is part of SpongeAPI, licensed under the MIT License (MIT). --&gt;
/* Copyright (c) SpongePowered &lt;https://www.spongepowered.org&gt; 
 * Copyright (c) contributors 
 * Permission is hereby granted, free of charge, to any person obtaining a copy 
 *</t>
        </is>
      </c>
      <c r="M1959" t="n">
        <v>0.0049</v>
      </c>
      <c r="N1959" t="n">
        <v>0.0465</v>
      </c>
      <c r="O1959" t="n">
        <v>0.09089999999999999</v>
      </c>
    </row>
    <row r="1960">
      <c r="A1960" t="inlineStr">
        <is>
          <t>sponge</t>
        </is>
      </c>
      <c r="B1960" t="inlineStr">
        <is>
          <t>src/main/java/org/spongepowered/api/block/entity/EndGateway.java</t>
        </is>
      </c>
      <c r="C1960">
        <f>HYPERLINK("https://github.com/SpongePowered/SpongeAPI/blob/master/src/main/java/org/spongepowered/api/block/entity/EndGateway.java")</f>
        <v/>
      </c>
      <c r="D1960" t="inlineStr">
        <is>
          <t>```python
# This file is part of Sponge API and licensed under the MIT License (MIT). 
# Copyright (c) SpongePowered https://www.spongepowered.org
# Copyright (c) contributors
# Permission is hereby granted, free of charge, to any person obtaining a copy of this software and</t>
        </is>
      </c>
      <c r="E1960" t="n">
        <v>0.0056</v>
      </c>
      <c r="F1960" t="n">
        <v>0.12</v>
      </c>
      <c r="G1960" t="n">
        <v>0.2745</v>
      </c>
      <c r="H1960" t="inlineStr">
        <is>
          <t>This repository contains backend software components that implement core algorithms used in the Sponge API. The functions included are part of a larger code base and have been modified to include comments explaining their functionality. These files are licensed under the MIT License (MIT), which allows for free use, modification, distribution, etc., provided certain conditions are met as outlined below.
The function add() performs</t>
        </is>
      </c>
      <c r="I1960" t="n">
        <v>0.004</v>
      </c>
      <c r="J1960" t="n">
        <v>0.1667</v>
      </c>
      <c r="K1960" t="n">
        <v>0.3135</v>
      </c>
      <c r="L1960" t="inlineStr">
        <is>
          <t># This file is part of Sponge API and licensed under the MIT License (MIT). 
# Copyright (c) Sponge Powered &lt;https://www.spongepowered.org&gt; 
# Copyright (c) contributors 
# Permission is hereby granted, free of charge, to any person obtaining a copy 
# of this</t>
        </is>
      </c>
      <c r="M1960" t="n">
        <v>0.0052</v>
      </c>
      <c r="N1960" t="n">
        <v>0.0833</v>
      </c>
      <c r="O1960" t="n">
        <v>0.1316</v>
      </c>
    </row>
    <row r="1961">
      <c r="A1961" t="inlineStr">
        <is>
          <t>sponge</t>
        </is>
      </c>
      <c r="B1961" t="inlineStr">
        <is>
          <t>src/main/java/org/spongepowered/api/block/entity/SculkSensor.java</t>
        </is>
      </c>
      <c r="C1961">
        <f>HYPERLINK("https://github.com/SpongePowered/SpongeAPI/blob/master/src/main/java/org/spongepowered/api/block/entity/SculkSensor.java")</f>
        <v/>
      </c>
      <c r="D1961" t="inlineStr">
        <is>
          <t>```python
# This file is part of Sponge API and licensed under the MIT License (MIT).
# Copyright (c) 2023 SpongePowered &lt;https://www.spongepowered.org&gt;
# Copyright (c) contributors
# Permission is hereby granted, free of charge, to any person obtaining</t>
        </is>
      </c>
      <c r="E1961" t="n">
        <v>0.0058</v>
      </c>
      <c r="F1961" t="n">
        <v>0.08890000000000001</v>
      </c>
      <c r="G1961" t="n">
        <v>0.1364</v>
      </c>
      <c r="H1961" t="inlineStr">
        <is>
          <t>The code provided is a simple function for addition of two numbers in Python named `add`. It takes two parameters (numbers), adds them and returns the result. The time complexity of this operation is O(1), meaning it performs constant number of operations regardless of input size.
In summary, the README file states that this repository contains backend software components implementing core algorithms. The</t>
        </is>
      </c>
      <c r="I1961" t="n">
        <v>0.0038</v>
      </c>
      <c r="J1961" t="n">
        <v>0.1111</v>
      </c>
      <c r="K1961" t="n">
        <v>0.3158</v>
      </c>
      <c r="L1961" t="inlineStr">
        <is>
          <t>The provided code file is part of Sponge API and it's licensed under the MIT License (MIT). It belongs to Sponge Powered &lt;https://www.spongepowered.org&gt;. This software can be freely used by anyone obtaining a copy of this software along with associated documentation files (the "Software"). 
 The Software may be</t>
        </is>
      </c>
      <c r="M1961" t="n">
        <v>0.008999999999999999</v>
      </c>
      <c r="N1961" t="n">
        <v>0.0667</v>
      </c>
      <c r="O1961" t="n">
        <v>0.1667</v>
      </c>
    </row>
    <row r="1962">
      <c r="A1962" t="inlineStr">
        <is>
          <t>sponge</t>
        </is>
      </c>
      <c r="B1962" t="inlineStr">
        <is>
          <t>src/main/java/org/spongepowered/api/block/entity/Banner.java</t>
        </is>
      </c>
      <c r="C1962">
        <f>HYPERLINK("https://github.com/SpongePowered/SpongeAPI/blob/master/src/main/java/org/spongepowered/api/block/entity/Banner.java")</f>
        <v/>
      </c>
      <c r="D1962" t="inlineStr">
        <is>
          <t>The provided code is part of the Sponge API and it's licensed under the MIT License (MIT). It appears to be a backend software component that implements core algorithms for various functionalities in game development. The copyright notice at the top indicates that this software can be used freely by anyone without restrictions. 
It seems to deal with copying, modifying, merg</t>
        </is>
      </c>
      <c r="E1962" t="n">
        <v>0.0075</v>
      </c>
      <c r="F1962" t="n">
        <v>0.1143</v>
      </c>
      <c r="G1962" t="n">
        <v>0.3843</v>
      </c>
      <c r="H1962" t="inlineStr">
        <is>
          <t>```python
# This function takes two arguments and returns their sum. 
# It has a time complexity of O(1), meaning it performs constant number of operations regardless of the size of input data.
def add(a, b):
    return a + b
```
## Summary:
This Python function is used to perform addition operation on two</t>
        </is>
      </c>
      <c r="I1962" t="n">
        <v>0.004</v>
      </c>
      <c r="J1962" t="n">
        <v>0.1017</v>
      </c>
      <c r="K1962" t="n">
        <v>0.119</v>
      </c>
      <c r="L1962" t="inlineStr">
        <is>
          <t>The provided code file is part of the Sponge API and it's licensed under the MIT License (MIT). It was developed by contributors to the software project "Sponge Powered". This software can be freely used for any purpose without restriction, including but not limited to the rights to use, copy, modify, merge, publish, distribute, sublicense</t>
        </is>
      </c>
      <c r="M1962" t="n">
        <v>0.0078</v>
      </c>
      <c r="N1962" t="n">
        <v>0.0625</v>
      </c>
      <c r="O1962" t="n">
        <v>0.2485</v>
      </c>
    </row>
    <row r="1963">
      <c r="A1963" t="inlineStr">
        <is>
          <t>sponge</t>
        </is>
      </c>
      <c r="B1963" t="inlineStr">
        <is>
          <t>src/main/java/org/spongepowered/api/block/entity/DaylightDetector.java</t>
        </is>
      </c>
      <c r="C1963">
        <f>HYPERLINK("https://github.com/SpongePowered/SpongeAPI/blob/master/src/main/java/org/spongepowered/api/block/entity/DaylightDetector.java")</f>
        <v/>
      </c>
      <c r="D1963" t="inlineStr">
        <is>
          <t>The provided code is part of the Sponge API and it's licensed under the MIT License (MIT). This software can be freely used, modified, merged, published, distributed, or sold without restriction from contributors to anyone obtaining a copy of this software and associated documentation files ("Software"). The Software may be used, copied, modified, merged, published, distributed</t>
        </is>
      </c>
      <c r="E1963" t="n">
        <v>0.0076</v>
      </c>
      <c r="F1963" t="n">
        <v>0.09229999999999999</v>
      </c>
      <c r="G1963" t="n">
        <v>0.1563</v>
      </c>
      <c r="H1963" t="inlineStr">
        <is>
          <t>This code is a simple addition function that takes two numbers as input and returns their sum. The time complexity of this operation is O(1), meaning it always executes in the same amount of time regardless of the size of the inputs.
Here's how you can summarize it: 
```python
# File: README.md
# Licence: MIT</t>
        </is>
      </c>
      <c r="I1963" t="n">
        <v>0.004</v>
      </c>
      <c r="J1963" t="n">
        <v>0.09379999999999999</v>
      </c>
      <c r="K1963" t="n">
        <v>0.1181</v>
      </c>
      <c r="L1963" t="inlineStr">
        <is>
          <t>The provided code file is part of the Sponge API and it's licensed under the MIT License (MIT). It belongs to Sponge Powered &lt;https://www.spongepowered.org&gt;. This software can be freely used by anyone obtaining a copy of this software along with associated documentation files (the "Software"). To deal in the Software without</t>
        </is>
      </c>
      <c r="M1963" t="n">
        <v>0.008399999999999999</v>
      </c>
      <c r="N1963" t="n">
        <v>0.0635</v>
      </c>
      <c r="O1963" t="n">
        <v>0.1626</v>
      </c>
    </row>
    <row r="1964">
      <c r="A1964" t="inlineStr">
        <is>
          <t>sponge</t>
        </is>
      </c>
      <c r="B1964" t="inlineStr">
        <is>
          <t>src/main/java/org/spongepowered/api/block/entity/StructureBlock.java</t>
        </is>
      </c>
      <c r="C1964">
        <f>HYPERLINK("https://github.com/SpongePowered/SpongeAPI/blob/master/src/main/java/org/spongepowered/api/block/entity/StructureBlock.java")</f>
        <v/>
      </c>
      <c r="D1964" t="inlineStr">
        <is>
          <t>```python
# This file is part of Sponge API licensed under the MIT License (MIT). 
# Copyright (c) Sponge Powered &lt;https://www.spongepowered.org&gt; 
# Copyright (c) contributors 
# Permission is hereby granted, free of charge, to any person obtaining a copy</t>
        </is>
      </c>
      <c r="E1964" t="n">
        <v>0.0047</v>
      </c>
      <c r="F1964" t="n">
        <v>0.0435</v>
      </c>
      <c r="G1964" t="n">
        <v>0.0901</v>
      </c>
      <c r="H1964" t="inlineStr">
        <is>
          <t>This repository contains backend software components that implement core algorithms used in the Sponge API. The code is licensed under the MIT License (MIT), which allows free use of any person obtaining a copy of this software and associated documentation files to deal in the Software without restriction, including without limitation the rights to use, copy, modify, merge, publish, distribute, sublicense, and/or</t>
        </is>
      </c>
      <c r="I1964" t="n">
        <v>0.0042</v>
      </c>
      <c r="J1964" t="n">
        <v>0.1408</v>
      </c>
      <c r="K1964" t="n">
        <v>0.3182</v>
      </c>
      <c r="L1964" t="inlineStr">
        <is>
          <t>```python
# This file is part of Sponge API, licensed under the MIT License (MIT). 
# Copyright (c) SpongePowered &lt;https://www.spongepowered.org&gt; 
# Copyright (c) contributors 
# Permission is hereby granted, free of charge, to any person obtaining a</t>
        </is>
      </c>
      <c r="M1964" t="n">
        <v>0.005</v>
      </c>
      <c r="N1964" t="n">
        <v>0.0455</v>
      </c>
      <c r="O1964" t="n">
        <v>0.0917</v>
      </c>
    </row>
    <row r="1965">
      <c r="A1965" t="inlineStr">
        <is>
          <t>sponge</t>
        </is>
      </c>
      <c r="B1965" t="inlineStr">
        <is>
          <t>src/main/java/org/spongepowered/api/block/entity/EnchantmentTable.java</t>
        </is>
      </c>
      <c r="C1965">
        <f>HYPERLINK("https://github.com/SpongePowered/SpongeAPI/blob/master/src/main/java/org/spongepowered/api/block/entity/EnchantmentTable.java")</f>
        <v/>
      </c>
      <c r="D1965" t="inlineStr">
        <is>
          <t>```python
# This file is part of Sponge API and licensed under the MIT License (MIT).
# Copyright (c) SpongePowered &lt;https://www.spongepowered.org&gt;
# Copyright (c) contributors
# Permission is hereby granted, free of charge, to any person obtaining a copy</t>
        </is>
      </c>
      <c r="E1965" t="n">
        <v>0.0056</v>
      </c>
      <c r="F1965" t="n">
        <v>0.08699999999999999</v>
      </c>
      <c r="G1965" t="n">
        <v>0.1351</v>
      </c>
      <c r="H1965" t="inlineStr">
        <is>
          <t>This repository contains backend software components that implement core algorithms used in the Sponge API. The code is licensed under the MIT License (MIT), which allows free use, modification and distribution of the software without restriction provided certain conditions are met. In particular, this includes permission to use, copy, modify, merge, publish, distribute, sublicense, sell copies of the Software or permit persons</t>
        </is>
      </c>
      <c r="I1965" t="n">
        <v>0.0042</v>
      </c>
      <c r="J1965" t="n">
        <v>0.1429</v>
      </c>
      <c r="K1965" t="n">
        <v>0.3182</v>
      </c>
      <c r="L1965" t="inlineStr">
        <is>
          <t>```python
# This file is part of Sponge API and licensed under the MIT License (MIT). 
# Copyright (c) Sponge Powered &lt;https://www.spongepowered.org&gt; 
# Copyright (c) contributors 
# Permission is hereby granted, free of charge, to any person obtaining a copy</t>
        </is>
      </c>
      <c r="M1965" t="n">
        <v>0.0055</v>
      </c>
      <c r="N1965" t="n">
        <v>0.0851</v>
      </c>
      <c r="O1965" t="n">
        <v>0.1339</v>
      </c>
    </row>
    <row r="1966">
      <c r="A1966" t="inlineStr">
        <is>
          <t>sponge</t>
        </is>
      </c>
      <c r="B1966" t="inlineStr">
        <is>
          <t>src/main/java/org/spongepowered/api/block/entity/Beehive.java</t>
        </is>
      </c>
      <c r="C1966">
        <f>HYPERLINK("https://github.com/SpongePowered/SpongeAPI/blob/master/src/main/java/org/spongepowered/api/block/entity/Beehive.java")</f>
        <v/>
      </c>
      <c r="D1966" t="inlineStr">
        <is>
          <t># This file is part of Sponge API and licensed under the MIT License (MIT). 
# Copyright (c) SpongePowered &lt;https://www.spongepowered.org&gt; 
# Copyright (c) contributors 
# Permission is hereby granted, free of charge, to any person obtaining a copy 
#</t>
        </is>
      </c>
      <c r="E1966" t="n">
        <v>0.0056</v>
      </c>
      <c r="F1966" t="n">
        <v>0.08890000000000001</v>
      </c>
      <c r="G1966" t="n">
        <v>0.1351</v>
      </c>
      <c r="H1966" t="inlineStr">
        <is>
          <t>This repository contains backend software components that implement core algorithms used in the Sponge API. The functions included are for addition of two numbers. They can be found under the 'src' directory and include a function named add with complexity O(1), meaning it has constant time complexity as its operation is independent of input size. It takes two parameters (numbers to be added), adds them together and</t>
        </is>
      </c>
      <c r="I1966" t="n">
        <v>0.0038</v>
      </c>
      <c r="J1966" t="n">
        <v>0.1579</v>
      </c>
      <c r="K1966" t="n">
        <v>0.3068</v>
      </c>
      <c r="L1966" t="inlineStr">
        <is>
          <t>The provided code file is part of the Sponge API and it's licensed under the MIT License (MIT). It belongs to a software component that provides backend functionality for games like Minecraft. This repository contains various components related to game physics, including collision detection algorithms used in such games. 
 The main purpose of this code base appears to be implementing core algorithms related to</t>
        </is>
      </c>
      <c r="M1966" t="n">
        <v>0.0043</v>
      </c>
      <c r="N1966" t="n">
        <v>0.0822</v>
      </c>
      <c r="O1966" t="n">
        <v>0.3135</v>
      </c>
    </row>
    <row r="1967">
      <c r="A1967" t="inlineStr">
        <is>
          <t>sponge</t>
        </is>
      </c>
      <c r="B1967" t="inlineStr">
        <is>
          <t>src/main/java/org/spongepowered/api/block/entity/Jukebox.java</t>
        </is>
      </c>
      <c r="C1967">
        <f>HYPERLINK("https://github.com/SpongePowered/SpongeAPI/blob/master/src/main/java/org/spongepowered/api/block/entity/Jukebox.java")</f>
        <v/>
      </c>
      <c r="D1967" t="inlineStr">
        <is>
          <t># This is a summary of the provided code. 
## The MIT License (MIT)
Copyright Â© SpongePowered &lt;https://www.spongepowered.org&gt; 
And contributors
Permission is hereby granted, free of charge, to any person obtaining a copy of this software and associated documentation files (the "Software"),</t>
        </is>
      </c>
      <c r="E1967" t="n">
        <v>0.0058</v>
      </c>
      <c r="F1967" t="n">
        <v>0.12</v>
      </c>
      <c r="G1967" t="n">
        <v>0.2242</v>
      </c>
      <c r="H1967" t="inlineStr">
        <is>
          <t>```python
# This file is part of Sponge API, licensed under the MIT License (MIT).
# Copyright (c) 2014-2016 SpongePowered &lt;http://www.spongepowered.org&gt;
# Copyright (c) contributors
# Permission is hereby granted, free of charge</t>
        </is>
      </c>
      <c r="I1967" t="n">
        <v>0.0056</v>
      </c>
      <c r="J1967" t="n">
        <v>0.0488</v>
      </c>
      <c r="K1967" t="n">
        <v>0.09520000000000001</v>
      </c>
      <c r="L1967" t="inlineStr">
        <is>
          <t>```python
# This file is part of Sponge API and licensed under the MIT License (MIT). 
# Copyright (c) Sponge Powered &lt;https://www.spongepowered.org&gt; 
# Copyright (c) contributors 
# Permission is hereby granted, free of charge, to any person obtaining a copy</t>
        </is>
      </c>
      <c r="M1967" t="n">
        <v>0.0055</v>
      </c>
      <c r="N1967" t="n">
        <v>0.0851</v>
      </c>
      <c r="O1967" t="n">
        <v>0.1339</v>
      </c>
    </row>
    <row r="1968">
      <c r="A1968" t="inlineStr">
        <is>
          <t>sponge</t>
        </is>
      </c>
      <c r="B1968" t="inlineStr">
        <is>
          <t>src/main/java/org/spongepowered/api/block/entity/Bed.java</t>
        </is>
      </c>
      <c r="C1968">
        <f>HYPERLINK("https://github.com/SpongePowered/SpongeAPI/blob/master/src/main/java/org/spongepowered/api/block/entity/Bed.java")</f>
        <v/>
      </c>
      <c r="D1968" t="inlineStr">
        <is>
          <t>It appears that you have not provided any code for summarization. Please provide the code so I can help you with it.</t>
        </is>
      </c>
      <c r="E1968" t="n">
        <v>0</v>
      </c>
      <c r="F1968" t="n">
        <v>0</v>
      </c>
      <c r="G1968" t="n">
        <v>0</v>
      </c>
      <c r="H1968" t="inlineStr">
        <is>
          <t>```python
# This file is part of Sponge API, licensed under the MIT License (MIT)
# Copyright (c) 2022-2023 SpongePowered and contributors
# Permission is hereby granted, free of charge, to any person obtaining a copy
# of this software and associated documentation files (</t>
        </is>
      </c>
      <c r="I1968" t="n">
        <v>0.0054</v>
      </c>
      <c r="J1968" t="n">
        <v>0.1224</v>
      </c>
      <c r="K1968" t="n">
        <v>0.2698</v>
      </c>
      <c r="L1968" t="inlineStr">
        <is>
          <t>```python
# This file is part of Sponge API, licensed under the MIT License (MIT). 
# Copyright (c) Sponge Powered &lt;https://www.spongepowered.org&gt; 
# Copyright (c) contributors 
# Permission is hereby granted, free of charge, to any person obtaining a copy</t>
        </is>
      </c>
      <c r="M1968" t="n">
        <v>0.0047</v>
      </c>
      <c r="N1968" t="n">
        <v>0.0435</v>
      </c>
      <c r="O1968" t="n">
        <v>0.0901</v>
      </c>
    </row>
    <row r="1969">
      <c r="A1969" t="inlineStr">
        <is>
          <t>sponge</t>
        </is>
      </c>
      <c r="B1969" t="inlineStr">
        <is>
          <t>src/main/java/org/spongepowered/api/block/entity/BlockEntityArchetype.java</t>
        </is>
      </c>
      <c r="C1969">
        <f>HYPERLINK("https://github.com/SpongePowered/SpongeAPI/blob/master/src/main/java/org/spongepowered/api/block/entity/BlockEntityArchetype.java")</f>
        <v/>
      </c>
      <c r="D1969" t="inlineStr">
        <is>
          <t>```python
# This file is part of Sponge API and licensed under the MIT License (MIT)
# Copyright (c) 2014-2016 SpongePowered &lt;http://www.spongepowered.org&gt;
# Copyright (c) contributors
# Permission is hereby granted, free of charge</t>
        </is>
      </c>
      <c r="E1969" t="n">
        <v>0.0065</v>
      </c>
      <c r="F1969" t="n">
        <v>0.09520000000000001</v>
      </c>
      <c r="G1969" t="n">
        <v>0.1415</v>
      </c>
      <c r="H1969" t="inlineStr">
        <is>
          <t>```python
# This function takes two parameters a and b and returns their sum. 
def add(a, b):
    return a + b
```
README file contains information about the software license (MIT), copyright notice and conditions for use of this code. The complexity is O(1) as it performs only one operation regardless of input size. It</t>
        </is>
      </c>
      <c r="I1969" t="n">
        <v>0.0044</v>
      </c>
      <c r="J1969" t="n">
        <v>0.0968</v>
      </c>
      <c r="K1969" t="n">
        <v>0.1575</v>
      </c>
      <c r="L1969" t="inlineStr">
        <is>
          <t>The provided code file is part of the Sponge API and it's licensed under the MIT License (MIT). It's a backend software component that provides various functionalities related to game development such as physics calculations or world generation based on user input. 
 This repository contains several algorithms implemented in Java for core functionality like collision detection, ray casting, noise generation etc</t>
        </is>
      </c>
      <c r="M1969" t="n">
        <v>0.007900000000000001</v>
      </c>
      <c r="N1969" t="n">
        <v>0.1127</v>
      </c>
      <c r="O1969" t="n">
        <v>0.3206</v>
      </c>
    </row>
    <row r="1970">
      <c r="A1970" t="inlineStr">
        <is>
          <t>sponge</t>
        </is>
      </c>
      <c r="B1970" t="inlineStr">
        <is>
          <t>src/main/java/org/spongepowered/api/block/entity/carrier/Barrel.java</t>
        </is>
      </c>
      <c r="C1970">
        <f>HYPERLINK("https://github.com/SpongePowered/SpongeAPI/blob/master/src/main/java/org/spongepowered/api/block/entity/carrier/Barrel.java")</f>
        <v/>
      </c>
      <c r="D1970" t="inlineStr">
        <is>
          <t>```python
# This file is part of Sponge API and licensed under the MIT License (MIT). 
# Copyright (c) SpongePowered &lt;https://www.spongepowered.org&gt; 
# Copyright (c) contributors 
# Permission is hereby granted, free of charge, to any person obtaining a</t>
        </is>
      </c>
      <c r="E1970" t="n">
        <v>0.0058</v>
      </c>
      <c r="F1970" t="n">
        <v>0.08890000000000001</v>
      </c>
      <c r="G1970" t="n">
        <v>0.1364</v>
      </c>
      <c r="H1970" t="inlineStr">
        <is>
          <t>This repository contains backend software components that implement core algorithms. The code is licensed under the MIT License (MIT), and it's open for anyone to use, copy, modify, merge, publish, distribute, sublicense or sell copies of the Software provided there are no restrictions on how this can be done.
Please note that all copyright notices shall be included in all copies</t>
        </is>
      </c>
      <c r="I1970" t="n">
        <v>0.0042</v>
      </c>
      <c r="J1970" t="n">
        <v>0.1429</v>
      </c>
      <c r="K1970" t="n">
        <v>0.2797</v>
      </c>
      <c r="L1970" t="inlineStr">
        <is>
          <t>```python
# This file is part of Sponge API, licensed under the MIT License (MIT). 
# Copyright (c) Sponge Powered &lt;https://www.spongepowered.org&gt; 
# Copyright (c) contributors 
# Permission is hereby granted, free of charge, to any person obtaining a copy</t>
        </is>
      </c>
      <c r="M1970" t="n">
        <v>0.0047</v>
      </c>
      <c r="N1970" t="n">
        <v>0.0435</v>
      </c>
      <c r="O1970" t="n">
        <v>0.0901</v>
      </c>
    </row>
    <row r="1971">
      <c r="A1971" t="inlineStr">
        <is>
          <t>sponge</t>
        </is>
      </c>
      <c r="B1971" t="inlineStr">
        <is>
          <t>src/main/java/org/spongepowered/api/block/entity/carrier/Dispenser.java</t>
        </is>
      </c>
      <c r="C1971">
        <f>HYPERLINK("https://github.com/SpongePowered/SpongeAPI/blob/master/src/main/java/org/spongepowered/api/block/entity/carrier/Dispenser.java")</f>
        <v/>
      </c>
      <c r="D1971" t="inlineStr">
        <is>
          <t>```python
# This file is part of Sponge API licensed under the MIT License (MIT). 
# Copyright (c) Sponge Powered &lt;https://www.spongepowered.org&gt; 
# Copyright (c) contributors
# Permission is hereby granted, free of charge, to any person obtaining a copy 
# of</t>
        </is>
      </c>
      <c r="E1971" t="n">
        <v>0.0045</v>
      </c>
      <c r="F1971" t="n">
        <v>0.0426</v>
      </c>
      <c r="G1971" t="n">
        <v>0.0885</v>
      </c>
      <c r="H1971" t="inlineStr">
        <is>
          <t>This repository contains backend software components that implement core algorithms. The code is licensed under the MIT License (MIT), and it's open for any person to obtain a copy of this software and associated documentation files (the "Software") without restriction, including without limitation the rights to use, copy, modify, merge, publish, distribute, sublicense, and sell copies of the Software,</t>
        </is>
      </c>
      <c r="I1971" t="n">
        <v>0.0044</v>
      </c>
      <c r="J1971" t="n">
        <v>0.1471</v>
      </c>
      <c r="K1971" t="n">
        <v>0.3405</v>
      </c>
      <c r="L1971" t="inlineStr">
        <is>
          <t>The provided code file is part of the Sponge API and it's licensed under the MIT License (MIT). It contains backend software components developed by Sponge Powered &lt;https://www.spongepowered.org&gt; contributors. Permission is hereby granted to any person obtaining a copy of this software and associated documentation files (the "Software")</t>
        </is>
      </c>
      <c r="M1971" t="n">
        <v>0.0045</v>
      </c>
      <c r="N1971" t="n">
        <v>0.1</v>
      </c>
      <c r="O1971" t="n">
        <v>0.263</v>
      </c>
    </row>
    <row r="1972">
      <c r="A1972" t="inlineStr">
        <is>
          <t>sponge</t>
        </is>
      </c>
      <c r="B1972" t="inlineStr">
        <is>
          <t>src/main/java/org/spongepowered/api/block/entity/carrier/Dropper.java</t>
        </is>
      </c>
      <c r="C1972">
        <f>HYPERLINK("https://github.com/SpongePowered/SpongeAPI/blob/master/src/main/java/org/spongepowered/api/block/entity/carrier/Dropper.java")</f>
        <v/>
      </c>
      <c r="D1972" t="inlineStr">
        <is>
          <t># This is a summary of the provided code which appears to be part of Sponge API licensed under MIT License (MIT), 
# Copyright (c) SpongePowered https://www.spongepowered.org and contributors. The software can be used free of charge for any person obtaining a copy of it along with associated documentation files (the "</t>
        </is>
      </c>
      <c r="E1972" t="n">
        <v>0.0046</v>
      </c>
      <c r="F1972" t="n">
        <v>0.0667</v>
      </c>
      <c r="G1972" t="n">
        <v>0.1613</v>
      </c>
      <c r="H1972" t="inlineStr">
        <is>
          <t>This code is a simple function that adds two numbers together and returns the result. The time complexity of this operation is O(1), meaning it takes constant time to execute regardless of the size of the input data.
Here's how you can summarize it in one line: 
```python
# Function add() takes two parameters (numbers) and returns their sum</t>
        </is>
      </c>
      <c r="I1972" t="n">
        <v>0.0037</v>
      </c>
      <c r="J1972" t="n">
        <v>0.0882</v>
      </c>
      <c r="K1972" t="n">
        <v>0.1527</v>
      </c>
      <c r="L1972" t="inlineStr">
        <is>
          <t># This file is part of Sponge API and licensed under the MIT License (MIT). 
# Copyright (c) Sponge Powered &lt;https://www.spongepowered.org&gt; 
# Copyright (c) contributors 
# Permission is hereby granted, free of charge, to any person obtaining a copy 
# of</t>
        </is>
      </c>
      <c r="M1972" t="n">
        <v>0.0054</v>
      </c>
      <c r="N1972" t="n">
        <v>0.0851</v>
      </c>
      <c r="O1972" t="n">
        <v>0.1327</v>
      </c>
    </row>
    <row r="1973">
      <c r="A1973" t="inlineStr">
        <is>
          <t>sponge</t>
        </is>
      </c>
      <c r="B1973" t="inlineStr">
        <is>
          <t>src/main/java/org/spongepowered/api/block/entity/carrier/package-info.java</t>
        </is>
      </c>
      <c r="C1973">
        <f>HYPERLINK("https://github.com/SpongePowered/SpongeAPI/blob/master/src/main/java/org/spongepowered/api/block/entity/carrier/package-info.java")</f>
        <v/>
      </c>
      <c r="D1973" t="inlineStr">
        <is>
          <t>```python
# This file is part of Sponge API and licensed under the MIT License (MIT).
# Copyright (c) 2014-2017 SpongePowered &lt;http://www.spongepowered.org&gt;
# Copyright (c) contributors
# Permission is hereby granted, free of charge</t>
        </is>
      </c>
      <c r="E1973" t="n">
        <v>0.0065</v>
      </c>
      <c r="F1973" t="n">
        <v>0.09520000000000001</v>
      </c>
      <c r="G1973" t="n">
        <v>0.1415</v>
      </c>
      <c r="H1973" t="inlineStr">
        <is>
          <t>This code is a simple function for addition of two numbers in Python and it has time complexity O(1), meaning the operation takes constant time irrespective of input size. The README file explains about the license under which this software can be used, its purpose, conditions to use etc., making it easy for users to understand what they are working with.
In terms of functionality,</t>
        </is>
      </c>
      <c r="I1973" t="n">
        <v>0.0037</v>
      </c>
      <c r="J1973" t="n">
        <v>0.08110000000000001</v>
      </c>
      <c r="K1973" t="n">
        <v>0.2304</v>
      </c>
      <c r="L1973" t="inlineStr">
        <is>
          <t>The provided code file is part of the Sponge API and it's licensed under the MIT License (MIT). 
 It belongs to a software component that provides backend functionalities for game engines like Minecraft. 
 This particular piece of code appears to implement core algorithms related to block manipulation in a video game environment. 
 However, without more context or specific details</t>
        </is>
      </c>
      <c r="M1973" t="n">
        <v>0.0044</v>
      </c>
      <c r="N1973" t="n">
        <v>0.0882</v>
      </c>
      <c r="O1973" t="n">
        <v>0.3255</v>
      </c>
    </row>
    <row r="1974">
      <c r="A1974" t="inlineStr">
        <is>
          <t>sponge</t>
        </is>
      </c>
      <c r="B1974" t="inlineStr">
        <is>
          <t>src/main/java/org/spongepowered/api/block/entity/carrier/CarrierBlockEntity.java</t>
        </is>
      </c>
      <c r="C1974">
        <f>HYPERLINK("https://github.com/SpongePowered/SpongeAPI/blob/master/src/main/java/org/spongepowered/api/block/entity/carrier/CarrierBlockEntity.java")</f>
        <v/>
      </c>
      <c r="D1974" t="inlineStr">
        <is>
          <t>```python
# This file is part of Sponge API licensed under the MIT License (MIT)
# Copyright (c) 2018-2020 SpongePowered and contributors
# Permission is hereby granted, free of charge, to any person obtaining a copy
# of this software and associated documentation files (</t>
        </is>
      </c>
      <c r="E1974" t="n">
        <v>0.0054</v>
      </c>
      <c r="F1974" t="n">
        <v>0.1224</v>
      </c>
      <c r="G1974" t="n">
        <v>0.2698</v>
      </c>
      <c r="H1974" t="inlineStr">
        <is>
          <t>```python
# This function takes in two parameters and returns their summation result. 
# The time complexity of this operation is O(1), meaning it performs a constant number of operations regardless of the input size.
def add(a, b):
    return a + b
```
In summary, this code defines an addition function that adds together two</t>
        </is>
      </c>
      <c r="I1974" t="n">
        <v>0.004</v>
      </c>
      <c r="J1974" t="n">
        <v>0.0984</v>
      </c>
      <c r="K1974" t="n">
        <v>0.1181</v>
      </c>
      <c r="L1974" t="inlineStr">
        <is>
          <t>```python
# This file is part of Sponge API and licensed under the MIT License (MIT). 
# Copyright (c) Sponge Powered &lt;https://www.spongepowered.org&gt; 
# Copyright (c) contributors 
# Permission is hereby granted, free of charge, to any person obtaining a copy</t>
        </is>
      </c>
      <c r="M1974" t="n">
        <v>0.0055</v>
      </c>
      <c r="N1974" t="n">
        <v>0.0851</v>
      </c>
      <c r="O1974" t="n">
        <v>0.1339</v>
      </c>
    </row>
    <row r="1975">
      <c r="A1975" t="inlineStr">
        <is>
          <t>sponge</t>
        </is>
      </c>
      <c r="B1975" t="inlineStr">
        <is>
          <t>src/main/java/org/spongepowered/api/block/entity/carrier/BrewingStand.java</t>
        </is>
      </c>
      <c r="C1975">
        <f>HYPERLINK("https://github.com/SpongePowered/SpongeAPI/blob/master/src/main/java/org/spongepowered/api/block/entity/carrier/BrewingStand.java")</f>
        <v/>
      </c>
      <c r="D1975" t="inlineStr">
        <is>
          <t>```python
# This file is part of Sponge API and licensed under the MIT License (MIT). 
# Copyright (c) SpongePowered &lt;https://www.spongepowered.org&gt; 
# Copyright (c) contributors 
# Permission is hereby granted, free of charge, to any person obtaining a</t>
        </is>
      </c>
      <c r="E1975" t="n">
        <v>0.0058</v>
      </c>
      <c r="F1975" t="n">
        <v>0.08890000000000001</v>
      </c>
      <c r="G1975" t="n">
        <v>0.1364</v>
      </c>
      <c r="H1975" t="inlineStr">
        <is>
          <t>```python
# This file is part of Sponge API, licensed under the MIT License (MIT)
# Copyright (c) 2022 SpongePowered &lt;https://www.spongepowered.org&gt;
# Copyright (c) contributors
# Permission is hereby granted, free of charge, to any person obtaining</t>
        </is>
      </c>
      <c r="I1975" t="n">
        <v>0.005</v>
      </c>
      <c r="J1975" t="n">
        <v>0.0455</v>
      </c>
      <c r="K1975" t="n">
        <v>0.0917</v>
      </c>
      <c r="L1975" t="inlineStr">
        <is>
          <t>The provided code file is part of Sponge API and it's licensed under the MIT License (MIT). 
 It provides backend software components for a game engine called "Sponge". This component implements core algorithms to manage server events efficiently. 
 However, without context or specific details about what these algorithms do in detail, we can only provide an overview based on</t>
        </is>
      </c>
      <c r="M1975" t="n">
        <v>0.008200000000000001</v>
      </c>
      <c r="N1975" t="n">
        <v>0.0882</v>
      </c>
      <c r="O1975" t="n">
        <v>0.3255</v>
      </c>
    </row>
    <row r="1976">
      <c r="A1976" t="inlineStr">
        <is>
          <t>sponge</t>
        </is>
      </c>
      <c r="B1976" t="inlineStr">
        <is>
          <t>src/main/java/org/spongepowered/api/block/entity/carrier/Crafter.java</t>
        </is>
      </c>
      <c r="C1976">
        <f>HYPERLINK("https://github.com/SpongePowered/SpongeAPI/blob/master/src/main/java/org/spongepowered/api/block/entity/carrier/Crafter.java")</f>
        <v/>
      </c>
      <c r="D1976" t="inlineStr">
        <is>
          <t>```python
# This file is part of Sponge API and licensed under the MIT License (MIT). 
# Copyright (c) SpongePowered https://www.spongepowered.org
# Copyright (c) contributors
# Permission is hereby granted, free of charge, to any person obtaining a copy 
#</t>
        </is>
      </c>
      <c r="E1976" t="n">
        <v>0.0055</v>
      </c>
      <c r="F1976" t="n">
        <v>0.08699999999999999</v>
      </c>
      <c r="G1976" t="n">
        <v>0.1339</v>
      </c>
      <c r="H1976" t="inlineStr">
        <is>
          <t>This repository contains backend software components and implements core algorithms. The code is licensed under the MIT License (MIT), which allows free use, modification, merging, distribution etc., provided certain conditions are met. Specifically, it states that copies of this software must include both copyright notices and permission notice statements. It also prohibits anyone from using or copying the software without these terms.</t>
        </is>
      </c>
      <c r="I1976" t="n">
        <v>0.0078</v>
      </c>
      <c r="J1976" t="n">
        <v>0.1429</v>
      </c>
      <c r="K1976" t="n">
        <v>0.3182</v>
      </c>
      <c r="L1976" t="inlineStr">
        <is>
          <t># This file is part of Sponge API and it's licensed under the MIT License (MIT). 
# Copyright (c) Sponge Powered &lt;https://www.spongepowered.org&gt; 
# Copyright (c) contributors  
# Permission is hereby granted, free of charge, to any person obtaining a copy 
# of</t>
        </is>
      </c>
      <c r="M1976" t="n">
        <v>0.0052</v>
      </c>
      <c r="N1976" t="n">
        <v>0.08160000000000001</v>
      </c>
      <c r="O1976" t="n">
        <v>0.1316</v>
      </c>
    </row>
    <row r="1977">
      <c r="A1977" t="inlineStr">
        <is>
          <t>sponge</t>
        </is>
      </c>
      <c r="B1977" t="inlineStr">
        <is>
          <t>src/main/java/org/spongepowered/api/block/entity/carrier/Beacon.java</t>
        </is>
      </c>
      <c r="C1977">
        <f>HYPERLINK("https://github.com/SpongePowered/SpongeAPI/blob/master/src/main/java/org/spongepowered/api/block/entity/carrier/Beacon.java")</f>
        <v/>
      </c>
      <c r="D1977" t="inlineStr">
        <is>
          <t>```python
# This file is part of Sponge API and licensed under the MIT License (MIT).
# Copyright (c) SpongePowered &lt;https://www.spongepowered.org&gt;
# Copyright (c) contributors
# 
# Permission is hereby granted, free of charge, to any person obtaining a copy</t>
        </is>
      </c>
      <c r="E1977" t="n">
        <v>0.0055</v>
      </c>
      <c r="F1977" t="n">
        <v>0.08699999999999999</v>
      </c>
      <c r="G1977" t="n">
        <v>0.1339</v>
      </c>
      <c r="H1977" t="inlineStr">
        <is>
          <t>This is a README file for Sponge API which contains backend software components licensed under the MIT License (MIT). The copyright notice and permission notice shall be included in all copies or substantial portions of the Software. The Software is provided "AS IS", without warranty of any kind, express or implied, including but not limited to warranties that the Software will meet your needs, work well with</t>
        </is>
      </c>
      <c r="I1977" t="n">
        <v>0.0036</v>
      </c>
      <c r="J1977" t="n">
        <v>0.08</v>
      </c>
      <c r="K1977" t="n">
        <v>0.1439</v>
      </c>
      <c r="L1977" t="inlineStr">
        <is>
          <t>The provided code file is part of the Sponge API and it's licensed under the MIT License (MIT). 
 This software can be freely used by anyone obtaining a copy of this software along with associated documentation files (the "Software"). 
 To deal in the Software without restriction, including without limitation the rights to use, copy, modify, merge, publish</t>
        </is>
      </c>
      <c r="M1977" t="n">
        <v>0.0075</v>
      </c>
      <c r="N1977" t="n">
        <v>0.0606</v>
      </c>
      <c r="O1977" t="n">
        <v>0.155</v>
      </c>
    </row>
    <row r="1978">
      <c r="A1978" t="inlineStr">
        <is>
          <t>sponge</t>
        </is>
      </c>
      <c r="B1978" t="inlineStr">
        <is>
          <t>src/main/java/org/spongepowered/api/block/entity/carrier/Campfire.java</t>
        </is>
      </c>
      <c r="C1978">
        <f>HYPERLINK("https://github.com/SpongePowered/SpongeAPI/blob/master/src/main/java/org/spongepowered/api/block/entity/carrier/Campfire.java")</f>
        <v/>
      </c>
      <c r="D1978" t="inlineStr">
        <is>
          <t>```python
# This file is part of Sponge API and licensed under the MIT License (MIT). 
# Copyright (c) SpongePowered &lt;https://www.spongepowered.org&gt; 
# Copyright (c) contributors 
# Permission is hereby granted, free of charge, to any person obtaining a</t>
        </is>
      </c>
      <c r="E1978" t="n">
        <v>0.0058</v>
      </c>
      <c r="F1978" t="n">
        <v>0.08890000000000001</v>
      </c>
      <c r="G1978" t="n">
        <v>0.1364</v>
      </c>
      <c r="H1978" t="inlineStr">
        <is>
          <t>This repository contains backend software components that are implemented using core algorithms. The complexity of the code is O(n), where n represents the number of elements in a list or array. It's important to note that this does not necessarily mean it has linear time complexity but rather an average case scenario for most operations on these data structures.
In terms of functionality, there are several modules within</t>
        </is>
      </c>
      <c r="I1978" t="n">
        <v>0.0035</v>
      </c>
      <c r="J1978" t="n">
        <v>0.1282</v>
      </c>
      <c r="K1978" t="n">
        <v>0.2143</v>
      </c>
      <c r="L1978" t="inlineStr">
        <is>
          <t>```python
# This file is part of Sponge API and licensed under the MIT License (MIT). 
# Copyright (c) Sponge Powered &lt;https://www.spongepowered.org&gt; 
# Copyright (c) contributors
# Permission is hereby granted, free of charge, to any person obtaining a copy 
#</t>
        </is>
      </c>
      <c r="M1978" t="n">
        <v>0.0054</v>
      </c>
      <c r="N1978" t="n">
        <v>0.0851</v>
      </c>
      <c r="O1978" t="n">
        <v>0.1327</v>
      </c>
    </row>
    <row r="1979">
      <c r="A1979" t="inlineStr">
        <is>
          <t>sponge</t>
        </is>
      </c>
      <c r="B1979" t="inlineStr">
        <is>
          <t>src/main/java/org/spongepowered/api/block/entity/carrier/Hopper.java</t>
        </is>
      </c>
      <c r="C1979">
        <f>HYPERLINK("https://github.com/SpongePowered/SpongeAPI/blob/master/src/main/java/org/spongepowered/api/block/entity/carrier/Hopper.java")</f>
        <v/>
      </c>
      <c r="D1979" t="inlineStr">
        <is>
          <t># This code is part of Sponge API and licensed under the MIT License (MIT). 
# It's a backend software component that implements core algorithms for various functionalities in Minecraft servers. 
# The complexity of this implementation seems to be O(N), where N represents some kind of data size or number of elements. 
# There are comments explaining the purpose</t>
        </is>
      </c>
      <c r="E1979" t="n">
        <v>0.0081</v>
      </c>
      <c r="F1979" t="n">
        <v>0.1515</v>
      </c>
      <c r="G1979" t="n">
        <v>0.323</v>
      </c>
      <c r="H1979" t="inlineStr">
        <is>
          <t>This repository contains backend software components that implement core algorithms for various tasks such as data manipulation and computation. The code is licensed under the MIT License (MIT), which allows free use, modification, merging, distribution etc., provided certain conditions are met. Specifically, it permits usage, copying, modifying of the Software without restriction including right to sell copies of the Software. This license applies in</t>
        </is>
      </c>
      <c r="I1979" t="n">
        <v>0.004</v>
      </c>
      <c r="J1979" t="n">
        <v>0.1389</v>
      </c>
      <c r="K1979" t="n">
        <v>0.2735</v>
      </c>
      <c r="L1979" t="inlineStr">
        <is>
          <t>The provided code file is part of Sponge API and it's licensed under the MIT License (MIT). It contains backend software components developed by contributors to Sponge Powered &lt;https://www.spongepowered.org&gt;. 
 This piece of software can be freely used, modified, merged, published, distributed, sublicensed or sold</t>
        </is>
      </c>
      <c r="M1979" t="n">
        <v>0.0055</v>
      </c>
      <c r="N1979" t="n">
        <v>0.07140000000000001</v>
      </c>
      <c r="O1979" t="n">
        <v>0.1724</v>
      </c>
    </row>
    <row r="1980">
      <c r="A1980" t="inlineStr">
        <is>
          <t>storm</t>
        </is>
      </c>
      <c r="B1980" t="inlineStr">
        <is>
          <t>storm-client/test/py/test_storm_cli.py</t>
        </is>
      </c>
      <c r="C1980">
        <f>HYPERLINK("https://github.com/apache/storm/blob/master/storm-client/test/py/test_storm_cli.py")</f>
        <v/>
      </c>
      <c r="D1980" t="inlineStr">
        <is>
          <t>The code provided is a Python test case for the Storm CLI (Command Line Interface). It tests the functionality of this component by mocking certain dependencies and setting up an environment to run unit tests. The purpose of these tests seems to be validation that the core algorithms are correctly implemented.
#
# This script uses unittest module in python which provides a rich set of tools for constructing</t>
        </is>
      </c>
      <c r="E1980" t="n">
        <v>0.0039</v>
      </c>
      <c r="F1980" t="n">
        <v>0.0533</v>
      </c>
      <c r="G1980" t="n">
        <v>0.1773</v>
      </c>
      <c r="H1980" t="inlineStr">
        <is>
          <t>```Python
#!/usr/bin/env python3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t>
        </is>
      </c>
      <c r="I1980" t="n">
        <v>0</v>
      </c>
      <c r="J1980" t="n">
        <v>0.0328</v>
      </c>
      <c r="K1980" t="n">
        <v>0.122</v>
      </c>
      <c r="L1980" t="inlineStr">
        <is>
          <t>The code provided is a Python script that tests the functionality of a command line interface (CLI). The CLI seems to be used for running various tasks related to Storm, which appears to be an Apache project. 
The main purpose of this test suite is to verify the correctness and efficiency of different commands in the Storm CLI. It does so by setting up mock objects for</t>
        </is>
      </c>
      <c r="M1980" t="n">
        <v>0.0032</v>
      </c>
      <c r="N1980" t="n">
        <v>0.0533</v>
      </c>
      <c r="O1980" t="n">
        <v>0.1079</v>
      </c>
    </row>
    <row r="1981">
      <c r="A1981" t="inlineStr">
        <is>
          <t>storm</t>
        </is>
      </c>
      <c r="B1981" t="inlineStr">
        <is>
          <t>storm-client/test/jvm/org/apache/storm/TestConfigValidate.java</t>
        </is>
      </c>
      <c r="C1981">
        <f>HYPERLINK("https://github.com/apache/storm/blob/master/storm-client/test/jvm/org/apache/storm/TestConfigValidate.java")</f>
        <v/>
      </c>
      <c r="D1981"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1981" t="n">
        <v>0</v>
      </c>
      <c r="F1981" t="n">
        <v>0.0308</v>
      </c>
      <c r="G1981" t="n">
        <v>0.1163</v>
      </c>
      <c r="H1981" t="inlineStr">
        <is>
          <t>This repository contains backend software components implementing core algorithms. The complexity of the code is O(n), where n represents the size of input data. It's licensed under Apache License 2.0 and can be found at http://www.apache.org/licenses/LICENSE-2.0. The license permits use in compliance with it or by obtaining a copy from there.</t>
        </is>
      </c>
      <c r="I1981" t="n">
        <v>0.0051</v>
      </c>
      <c r="J1981" t="n">
        <v>0.1449</v>
      </c>
      <c r="K1981" t="n">
        <v>0.3467</v>
      </c>
      <c r="L1981"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M1981" t="n">
        <v>0</v>
      </c>
      <c r="N1981" t="n">
        <v>0.0308</v>
      </c>
      <c r="O1981" t="n">
        <v>0.1163</v>
      </c>
    </row>
    <row r="1982">
      <c r="A1982" t="inlineStr">
        <is>
          <t>storm</t>
        </is>
      </c>
      <c r="B1982" t="inlineStr">
        <is>
          <t>storm-client/test/jvm/org/apache/storm/TestStormTimer.java</t>
        </is>
      </c>
      <c r="C1982">
        <f>HYPERLINK("https://github.com/apache/storm/blob/master/storm-client/test/jvm/org/apache/storm/TestStormTimer.java")</f>
        <v/>
      </c>
      <c r="D1982" t="inlineStr">
        <is>
          <t>```plaintext
This code is licensed under the Apache Software Foundation (ASF) license version 2.0 and can be found at http://www.apache.org/licenses/LICENSE-2.0. The ASF licenses this file to you under the same terms. You may not use this file except in compliance with the License. This software distributed under</t>
        </is>
      </c>
      <c r="E1982" t="n">
        <v>0.0091</v>
      </c>
      <c r="F1982" t="n">
        <v>0.09520000000000001</v>
      </c>
      <c r="G1982" t="n">
        <v>0.2652</v>
      </c>
      <c r="H1982" t="inlineStr">
        <is>
          <t>This repository contains backend software components that implement core algorithms. The complexity of the code is O(n), where n represents the number of elements in a list or array.
The Apache Software Foundation (ASF) licenses this file to you under the Apache License, Version 2.0 (the "License"); you may not use this file except in compliance with the License. You</t>
        </is>
      </c>
      <c r="I1982" t="n">
        <v>0.004</v>
      </c>
      <c r="J1982" t="n">
        <v>0.1143</v>
      </c>
      <c r="K1982" t="n">
        <v>0.2818</v>
      </c>
      <c r="L1982" t="inlineStr">
        <is>
          <t>&lt;!-- This is a summary of the code --&gt;
```Java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t>
        </is>
      </c>
      <c r="M1982" t="n">
        <v>0.0033</v>
      </c>
      <c r="N1982" t="n">
        <v>0.0645</v>
      </c>
      <c r="O1982" t="n">
        <v>0.1172</v>
      </c>
    </row>
    <row r="1983">
      <c r="A1983" t="inlineStr">
        <is>
          <t>storm</t>
        </is>
      </c>
      <c r="B1983" t="inlineStr">
        <is>
          <t>storm-client/test/jvm/org/apache/storm/TestStormSubmitter.java</t>
        </is>
      </c>
      <c r="C1983">
        <f>HYPERLINK("https://github.com/apache/storm/blob/master/storm-client/test/jvm/org/apache/storm/TestStormSubmitter.java")</f>
        <v/>
      </c>
      <c r="D1983"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1983" t="n">
        <v>0</v>
      </c>
      <c r="F1983" t="n">
        <v>0.0312</v>
      </c>
      <c r="G1983" t="n">
        <v>0.1172</v>
      </c>
      <c r="H1983" t="inlineStr">
        <is>
          <t>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t>
        </is>
      </c>
      <c r="I1983" t="n">
        <v>0</v>
      </c>
      <c r="J1983" t="n">
        <v>0.0282</v>
      </c>
      <c r="K1983" t="n">
        <v>0.1119</v>
      </c>
      <c r="L1983" t="inlineStr">
        <is>
          <t># Apache Storm Topology Summary
The provided code is a part of the Apache Storm framework's backend software components. It defines and submits a topology to be processed by the Storm cluster. The main purpose of this code is to define an application that will process real time data streams in parallel using distributed computing resources. 
It takes as input parameters (configuration settings,</t>
        </is>
      </c>
      <c r="M1983" t="n">
        <v>0.0034</v>
      </c>
      <c r="N1983" t="n">
        <v>0.0563</v>
      </c>
      <c r="O1983" t="n">
        <v>0.1481</v>
      </c>
    </row>
    <row r="1984">
      <c r="A1984" t="inlineStr">
        <is>
          <t>storm</t>
        </is>
      </c>
      <c r="B1984" t="inlineStr">
        <is>
          <t>storm-client/test/jvm/org/apache/storm/PaceMakerStateStorageFactoryTest.java</t>
        </is>
      </c>
      <c r="C1984">
        <f>HYPERLINK("https://github.com/apache/storm/blob/master/storm-client/test/jvm/org/apache/storm/PaceMakerStateStorageFactoryTest.java")</f>
        <v/>
      </c>
      <c r="D1984"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1984" t="n">
        <v>0</v>
      </c>
      <c r="F1984" t="n">
        <v>0.0312</v>
      </c>
      <c r="G1984" t="n">
        <v>0.1172</v>
      </c>
      <c r="H1984" t="inlineStr">
        <is>
          <t>The code provided is a simple function that adds two numbers together and returns the result. It's licensed under Apache 2.0 license which means it can be used for any purpose as long as you comply with its terms of use.
```java
public class Main {
    public static void main(String[] args) {
        int sum = add(5,7</t>
        </is>
      </c>
      <c r="I1984" t="n">
        <v>0.0033</v>
      </c>
      <c r="J1984" t="n">
        <v>0.0606</v>
      </c>
      <c r="K1984" t="n">
        <v>0.1172</v>
      </c>
      <c r="L1984" t="inlineStr">
        <is>
          <t>The provided code is a Java implementation of Apache Storm's core algorithms. It appears to be used for testing purposes and mocking objects in unit tests using Mockito library. 
 This software component has two main classes - `EchoTopology` and `TestWordCount`. EchoTopology implements an echo topology that sends back the same data it receives from one</t>
        </is>
      </c>
      <c r="M1984" t="n">
        <v>0.008800000000000001</v>
      </c>
      <c r="N1984" t="n">
        <v>0.09520000000000001</v>
      </c>
      <c r="O1984" t="n">
        <v>0.3357</v>
      </c>
    </row>
    <row r="1985">
      <c r="A1985" t="inlineStr">
        <is>
          <t>storm</t>
        </is>
      </c>
      <c r="B1985" t="inlineStr">
        <is>
          <t>storm-client/test/jvm/org/apache/storm/state/BaseBinaryStateIteratorTest.java</t>
        </is>
      </c>
      <c r="C1985">
        <f>HYPERLINK("https://github.com/apache/storm/blob/master/storm-client/test/jvm/org/apache/storm/state/BaseBinaryStateIteratorTest.java")</f>
        <v/>
      </c>
      <c r="D1985" t="inlineStr">
        <is>
          <t>```plaintext
This repository contains backend software components for Apache Storm, a distributed real-time computation system that can process large streams of data in real time. The code is licensed under the Apache License 2.0 and it implements core algorithms used by Apache Storm to manage stateful computations. It uses Google's Guava library for certain operations which have been shaded into</t>
        </is>
      </c>
      <c r="E1985" t="n">
        <v>0.0081</v>
      </c>
      <c r="F1985" t="n">
        <v>0.1127</v>
      </c>
      <c r="G1985" t="n">
        <v>0.323</v>
      </c>
      <c r="H1985" t="inlineStr">
        <is>
          <t>This repository contains backend software components that implement core algorithms for Apache Storm. The code is licensed under the Apache License 2.0 and can be found at http://www.apache.org/licenses/LICENSE-2.0. It's distributed on an "AS IS" BASIS, WITHOUT WARRANTIES OR CONDITIONS OF ANY KIND, either express or</t>
        </is>
      </c>
      <c r="I1985" t="n">
        <v>0.0058</v>
      </c>
      <c r="J1985" t="n">
        <v>0.1613</v>
      </c>
      <c r="K1985" t="n">
        <v>0.3179</v>
      </c>
      <c r="L1985" t="inlineStr">
        <is>
          <t>```plaintext
The provided code is part of Apache Storm's state package and it provides classes for managing the storage and retrieval of data in a distributed system. It uses Java programming language. 
The main purpose of this code seems to be handling the persistence of component states across time intervals (ticks). The class `State` manages the serialization and</t>
        </is>
      </c>
      <c r="M1985" t="n">
        <v>0.0031</v>
      </c>
      <c r="N1985" t="n">
        <v>0.0597</v>
      </c>
      <c r="O1985" t="n">
        <v>0.1154</v>
      </c>
    </row>
    <row r="1986">
      <c r="A1986" t="inlineStr">
        <is>
          <t>storm</t>
        </is>
      </c>
      <c r="B1986" t="inlineStr">
        <is>
          <t>storm-client/test/jvm/org/apache/storm/state/InMemoryKeyValueStateTest.java</t>
        </is>
      </c>
      <c r="C1986">
        <f>HYPERLINK("https://github.com/apache/storm/blob/master/storm-client/test/jvm/org/apache/storm/state/InMemoryKeyValueStateTest.java")</f>
        <v/>
      </c>
      <c r="D1986"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1986" t="n">
        <v>0</v>
      </c>
      <c r="F1986" t="n">
        <v>0.0308</v>
      </c>
      <c r="G1986" t="n">
        <v>0.1163</v>
      </c>
      <c r="H1986" t="inlineStr">
        <is>
          <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t>
        </is>
      </c>
      <c r="I1986" t="n">
        <v>0</v>
      </c>
      <c r="J1986" t="n">
        <v>0.0299</v>
      </c>
      <c r="K1986" t="n">
        <v>0.1136</v>
      </c>
      <c r="L1986" t="inlineStr">
        <is>
          <t>The code provided is a part of the Apache Storm project's state management system. It includes two tests for checking if an array matches another one in the `StateTest` class. The main purpose of this code is to verify that the expected and actual arrays match each other using JUnit 5 assertions.
Here are key operations performed by the code:
1. Initial</t>
        </is>
      </c>
      <c r="M1986" t="n">
        <v>0.0029</v>
      </c>
      <c r="N1986" t="n">
        <v>0.0563</v>
      </c>
      <c r="O1986" t="n">
        <v>0.1119</v>
      </c>
    </row>
    <row r="1987">
      <c r="A1987" t="inlineStr">
        <is>
          <t>storm</t>
        </is>
      </c>
      <c r="B1987" t="inlineStr">
        <is>
          <t>storm-client/test/jvm/org/apache/storm/state/DefaultStateSerializerTest.java</t>
        </is>
      </c>
      <c r="C1987">
        <f>HYPERLINK("https://github.com/apache/storm/blob/master/storm-client/test/jvm/org/apache/storm/state/DefaultStateSerializerTest.java")</f>
        <v/>
      </c>
      <c r="D1987"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1987" t="n">
        <v>0</v>
      </c>
      <c r="F1987" t="n">
        <v>0.0308</v>
      </c>
      <c r="G1987" t="n">
        <v>0.1163</v>
      </c>
      <c r="H1987" t="inlineStr">
        <is>
          <t>This code is a part of Apache Storm's backend software components which contains implementations for core algorithms. The function `add` takes two parameters and returns their summation result. It is used in the context of distributed computing systems like Apache Storm to perform computations across nodes or clusters.
The license at the top of this file states that it is licensed under the Apache License, Version</t>
        </is>
      </c>
      <c r="I1987" t="n">
        <v>0.0039</v>
      </c>
      <c r="J1987" t="n">
        <v>0.16</v>
      </c>
      <c r="K1987" t="n">
        <v>0.2174</v>
      </c>
      <c r="L1987" t="inlineStr">
        <is>
          <t>This code is a part of Apache Storm's state management system. It provides classes and interfaces for managing the checkpointing process in distributed streaming systems like Apache Storm. The main purpose of this code seems to be handling states related to data processing within such systems. 
 Specifically, it defines two key entities - CheckPointState (which represents the status of a specific stream partition</t>
        </is>
      </c>
      <c r="M1987" t="n">
        <v>0.0034</v>
      </c>
      <c r="N1987" t="n">
        <v>0.0563</v>
      </c>
      <c r="O1987" t="n">
        <v>0.1111</v>
      </c>
    </row>
    <row r="1988">
      <c r="A1988" t="inlineStr">
        <is>
          <t>storm</t>
        </is>
      </c>
      <c r="B1988" t="inlineStr">
        <is>
          <t>storm-client/test/jvm/org/apache/storm/spout/CheckpointSpoutTest.java</t>
        </is>
      </c>
      <c r="C1988">
        <f>HYPERLINK("https://github.com/apache/storm/blob/master/storm-client/test/jvm/org/apache/storm/spout/CheckpointSpoutTest.java")</f>
        <v/>
      </c>
      <c r="D1988"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1988" t="n">
        <v>0</v>
      </c>
      <c r="F1988" t="n">
        <v>0.0312</v>
      </c>
      <c r="G1988" t="n">
        <v>0.1172</v>
      </c>
      <c r="H1988" t="inlineStr">
        <is>
          <t>This repository contains backend software components that implement core algorithms. The complexity of the code is O(n), where n represents the number of elements in a collection or data structure. It's licensed under Apache License 2.0 and you may not use this file except in compliance with the license. You can obtain a copy at http://www.apache.org/licenses/LICENSE-</t>
        </is>
      </c>
      <c r="I1988" t="n">
        <v>0.0046</v>
      </c>
      <c r="J1988" t="n">
        <v>0.1389</v>
      </c>
      <c r="K1988" t="n">
        <v>0.3331</v>
      </c>
      <c r="L1988" t="inlineStr">
        <is>
          <t>The provided code is a Java class that implements an Apache Storm spout component for distributed stream processing. The main purpose of this class appears to be the initialization and configuration of the Storm topology along with setting up stateful operations using KeyValueState.
Here's a concise summary focusing on functionality and key components: 
- This class initializes a Storm Spout by defining</t>
        </is>
      </c>
      <c r="M1988" t="n">
        <v>0.0074</v>
      </c>
      <c r="N1988" t="n">
        <v>0.0857</v>
      </c>
      <c r="O1988" t="n">
        <v>0.2355</v>
      </c>
    </row>
    <row r="1989">
      <c r="A1989" t="inlineStr">
        <is>
          <t>storm</t>
        </is>
      </c>
      <c r="B1989" t="inlineStr">
        <is>
          <t>storm-client/test/jvm/org/apache/storm/daemon/metrics/ClientMetricsUtilsTest.java</t>
        </is>
      </c>
      <c r="C1989">
        <f>HYPERLINK("https://github.com/apache/storm/blob/master/storm-client/test/jvm/org/apache/storm/daemon/metrics/ClientMetricsUtilsTest.java")</f>
        <v/>
      </c>
      <c r="D1989"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1989" t="n">
        <v>0</v>
      </c>
      <c r="F1989" t="n">
        <v>0.0312</v>
      </c>
      <c r="G1989" t="n">
        <v>0.1172</v>
      </c>
      <c r="H1989" t="inlineStr">
        <is>
          <t>This repository contains backend software components that implement core algorithms. The complexity of the code is O(n), where n represents the number of elements in a collection or data structure.
The add function takes two parameters (a and b). It returns their sum which has a time complexity of O(1). This means it performs constant amount of work regardless of the size of inputs.</t>
        </is>
      </c>
      <c r="I1989" t="n">
        <v>0.004</v>
      </c>
      <c r="J1989" t="n">
        <v>0.1622</v>
      </c>
      <c r="K1989" t="n">
        <v>0.3135</v>
      </c>
      <c r="L1989" t="inlineStr">
        <is>
          <t>&lt;!-- This is a concise summary of the code functionality --&gt;
This Apache Storm daemon metrics package contains classes and methods related to metric collection for an application running on the Apache Storm distributed processing system. The main purpose of this code base is to provide tools for collecting and analyzing performance data from Storm clusters. 
It uses HashMaps as its primary data structure</t>
        </is>
      </c>
      <c r="M1989" t="n">
        <v>0.0037</v>
      </c>
      <c r="N1989" t="n">
        <v>0.0857</v>
      </c>
      <c r="O1989" t="n">
        <v>0.1103</v>
      </c>
    </row>
    <row r="1990">
      <c r="A1990" t="inlineStr">
        <is>
          <t>storm</t>
        </is>
      </c>
      <c r="B1990" t="inlineStr">
        <is>
          <t>storm-client/test/jvm/org/apache/storm/daemon/worker/BackPressureTrackerTest.java</t>
        </is>
      </c>
      <c r="C1990">
        <f>HYPERLINK("https://github.com/apache/storm/blob/master/storm-client/test/jvm/org/apache/storm/daemon/worker/BackPressureTrackerTest.java")</f>
        <v/>
      </c>
      <c r="D1990" t="inlineStr">
        <is>
          <t>```python
# This code is licensed under the Apache License 2.0 (https://www.apache.org/licenses/LICENSE-2.0). It contains backend software components for managing and processing data in a distributed system called Storm. The complexity of this code is O(N), where N represents the number of nodes or processes involved in the computation. There</t>
        </is>
      </c>
      <c r="E1990" t="n">
        <v>0.0049</v>
      </c>
      <c r="F1990" t="n">
        <v>0.09229999999999999</v>
      </c>
      <c r="G1990" t="n">
        <v>0.124</v>
      </c>
      <c r="H1990" t="inlineStr">
        <is>
          <t>This repository contains backend software components that implement core algorithms. The 'BackPressure' class is responsible for managing the flow of data in a distributed system to prevent overload and ensure smooth operation. It does this by controlling how much incoming data can be processed at any given time based on factors such as available resources (CPU usage, memory). If there are too many tasks being processed simultaneously, BackPress</t>
        </is>
      </c>
      <c r="I1990" t="n">
        <v>0.0038</v>
      </c>
      <c r="J1990" t="n">
        <v>0.1316</v>
      </c>
      <c r="K1990" t="n">
        <v>0.2657</v>
      </c>
      <c r="L1990" t="inlineStr">
        <is>
          <t>The code provided is part of Apache Storm's worker daemon implementation in Java. The main purpose of this class seems to be managing back pressure by monitoring the rate at which tuples are being emitted and adjusting accordingly based on a set threshold.
It uses Mockito for mocking objects and Hamcret for assertions. It has methods related to handling tuple acknowledg</t>
        </is>
      </c>
      <c r="M1990" t="n">
        <v>0.003</v>
      </c>
      <c r="N1990" t="n">
        <v>0.0571</v>
      </c>
      <c r="O1990" t="n">
        <v>0.1504</v>
      </c>
    </row>
    <row r="1991">
      <c r="A1991" t="inlineStr">
        <is>
          <t>storm</t>
        </is>
      </c>
      <c r="B1991" t="inlineStr">
        <is>
          <t>storm-client/test/jvm/org/apache/storm/daemon/worker/TestUtilsForWorkerState.java</t>
        </is>
      </c>
      <c r="C1991">
        <f>HYPERLINK("https://github.com/apache/storm/blob/master/storm-client/test/jvm/org/apache/storm/daemon/worker/TestUtilsForWorkerState.java")</f>
        <v/>
      </c>
      <c r="D1991" t="inlineStr">
        <is>
          <t>```java
// Copyright 2018 The Apache Software Foundation.
// Licensed under the Apache License, Version 2.0 (the "License");
// you may not use this file except in compliance with the License.
// You may obtain a copy of the License at http://www.apache.org/licenses/LICENSE-2.0</t>
        </is>
      </c>
      <c r="E1991" t="n">
        <v>0</v>
      </c>
      <c r="F1991" t="n">
        <v>0.037</v>
      </c>
      <c r="G1991" t="n">
        <v>0.1316</v>
      </c>
      <c r="H1991" t="inlineStr">
        <is>
          <t>This code is a part of Apache Storm's backend software components for managing and executing distributed computing tasks. It contains implementation of core algorithms related to cluster state management, assignment handling, credentials verification etc. The complexity here can be considered as O(n), where n represents the number of supervisors in the system.
It also includes license information at the top which specifies that users may</t>
        </is>
      </c>
      <c r="I1991" t="n">
        <v>0.004</v>
      </c>
      <c r="J1991" t="n">
        <v>0.1067</v>
      </c>
      <c r="K1991" t="n">
        <v>0.219</v>
      </c>
      <c r="L1991" t="inlineStr">
        <is>
          <t>This code is part of Apache Storm's backend software components and it deals with the assignment and supervision of worker processes in a distributed system.
It starts by importing necessary classes from different packages related to Apache Storm such as Config, IStateStorage, IStormClusterState, Assignment, Credentials, Supervisor etc. 
Next, there are several</t>
        </is>
      </c>
      <c r="M1991" t="n">
        <v>0.0047</v>
      </c>
      <c r="N1991" t="n">
        <v>0.1</v>
      </c>
      <c r="O1991" t="n">
        <v>0.1626</v>
      </c>
    </row>
    <row r="1992">
      <c r="A1992" t="inlineStr">
        <is>
          <t>storm</t>
        </is>
      </c>
      <c r="B1992" t="inlineStr">
        <is>
          <t>storm-client/test/jvm/org/apache/storm/daemon/worker/WorkerTest.java</t>
        </is>
      </c>
      <c r="C1992">
        <f>HYPERLINK("https://github.com/apache/storm/blob/master/storm-client/test/jvm/org/apache/storm/daemon/worker/WorkerTest.java")</f>
        <v/>
      </c>
      <c r="D1992"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1992" t="n">
        <v>0</v>
      </c>
      <c r="F1992" t="n">
        <v>0.0308</v>
      </c>
      <c r="G1992" t="n">
        <v>0.1163</v>
      </c>
      <c r="H1992" t="inlineStr">
        <is>
          <t>This code is a part of Apache Storm's backend software components and it contains the implementation of core algorithms used in distributed systems like map reduce or stream processing frameworks. It also includes unit tests for these algorithms using Junit 5 framework with Mockito library to mock dependencies which are not required during testing phase. The complexity here would be O(n), where n represents number of test cases being</t>
        </is>
      </c>
      <c r="I1992" t="n">
        <v>0.0037</v>
      </c>
      <c r="J1992" t="n">
        <v>0.1013</v>
      </c>
      <c r="K1992" t="n">
        <v>0.2128</v>
      </c>
      <c r="L1992" t="inlineStr">
        <is>
          <t>The provided code is a JUnit test for Apache Storm's worker daemon. It tests the functionality of ConnectionWithStatus class by mocking its behavior and verifying certain conditions using Mockito framework.
Here are some key points about this piece of code:
1. Purpose: This code serves as unit testing for the `ConnectionWithStatus` class in Apache Storm'</t>
        </is>
      </c>
      <c r="M1992" t="n">
        <v>0.0044</v>
      </c>
      <c r="N1992" t="n">
        <v>0.0625</v>
      </c>
      <c r="O1992" t="n">
        <v>0.1181</v>
      </c>
    </row>
    <row r="1993">
      <c r="A1993" t="inlineStr">
        <is>
          <t>storm</t>
        </is>
      </c>
      <c r="B1993" t="inlineStr">
        <is>
          <t>storm-client/test/jvm/org/apache/storm/daemon/worker/WorkerStateTest.java</t>
        </is>
      </c>
      <c r="C1993">
        <f>HYPERLINK("https://github.com/apache/storm/blob/master/storm-client/test/jvm/org/apache/storm/daemon/worker/WorkerStateTest.java")</f>
        <v/>
      </c>
      <c r="D1993" t="inlineStr">
        <is>
          <t>```
// This is a summary of the provided code which appears to be part of Apache Storm's source code. 
// The main purpose seems to be unit testing for worker and supervisor classes in Apache Storm framework.
// It contains various import statements related to Apache Storm library and JUnit5 (Junit version used).
// There are also some license details at</t>
        </is>
      </c>
      <c r="E1993" t="n">
        <v>0.0035</v>
      </c>
      <c r="F1993" t="n">
        <v>0.0606</v>
      </c>
      <c r="G1993" t="n">
        <v>0.1119</v>
      </c>
      <c r="H1993" t="inlineStr">
        <is>
          <t>This repository contains backend software components that implement core algorithms. The complexity of the code is O(N), where N represents the number of lines in the file. Each line corresponds to a specific operation or function within these components. Some examples include handling network connections (complexity O(1)), interacting with databases (complexity O(M)) and processing data streams (complexity O(N)). Please</t>
        </is>
      </c>
      <c r="I1993" t="n">
        <v>0.0044</v>
      </c>
      <c r="J1993" t="n">
        <v>0.169</v>
      </c>
      <c r="K1993" t="n">
        <v>0.3255</v>
      </c>
      <c r="L1993" t="inlineStr">
        <is>
          <t>Summary of the provided code snippet: This is a Java class that contains tests for Apache Storm's worker daemon. The main purpose of this class seems to be testing various functionalities related to file system operations and topology management in an Apache Storm environment. It uses JUnit 5 (Junit Jupiter API) for test execution and handles IO exceptions when interacting with files or directories.</t>
        </is>
      </c>
      <c r="M1993" t="n">
        <v>0.0034</v>
      </c>
      <c r="N1993" t="n">
        <v>0.0822</v>
      </c>
      <c r="O1993" t="n">
        <v>0.1103</v>
      </c>
    </row>
    <row r="1994">
      <c r="A1994" t="inlineStr">
        <is>
          <t>storm</t>
        </is>
      </c>
      <c r="B1994" t="inlineStr">
        <is>
          <t>storm-client/test/jvm/org/apache/storm/daemon/worker/LogConfigManagerTest.java</t>
        </is>
      </c>
      <c r="C1994">
        <f>HYPERLINK("https://github.com/apache/storm/blob/master/storm-client/test/jvm/org/apache/storm/daemon/worker/LogConfigManagerTest.java")</f>
        <v/>
      </c>
      <c r="D1994" t="inlineStr">
        <is>
          <t># This code is licensed under the Apache Software Foundation (ASF) license version 2.0. It's a part of an ASF project and can be used in compliance with this license. The license allows you to use it for any purpose except if not compliant with the terms of the license. You may obtain a copy of the License at http://www.apache.</t>
        </is>
      </c>
      <c r="E1994" t="n">
        <v>0.0036</v>
      </c>
      <c r="F1994" t="n">
        <v>0.08450000000000001</v>
      </c>
      <c r="G1994" t="n">
        <v>0.1515</v>
      </c>
      <c r="H1994" t="inlineStr">
        <is>
          <t>This repository contains backend software components that implement core algorithms. The code is licensed under the Apache Software Foundation (ASF) license version 2.0 and can be found at http://www.apache.org/licenses/LICENSE-2.0. It's distributed on an "AS IS" BASIS, WITHOUT WARRANTIES OR CONDITIONS OF ANY KIND</t>
        </is>
      </c>
      <c r="I1994" t="n">
        <v>0.0061</v>
      </c>
      <c r="J1994" t="n">
        <v>0.1667</v>
      </c>
      <c r="K1994" t="n">
        <v>0.3235</v>
      </c>
      <c r="L1994" t="inlineStr">
        <is>
          <t>This code is part of Apache Storm's backend software and it appears to be a worker daemon for managing tasks in the system. It uses a TreeMap data structure to store task information while also using an AtomicReference to manage concurrency control. The logger used here is Log4J 2. This component seems to handle core algorithms related to distributed systems or stream processing tasks efficiently with high</t>
        </is>
      </c>
      <c r="M1994" t="n">
        <v>0.0038</v>
      </c>
      <c r="N1994" t="n">
        <v>0.0789</v>
      </c>
      <c r="O1994" t="n">
        <v>0.1799</v>
      </c>
    </row>
    <row r="1995">
      <c r="A1995" t="inlineStr">
        <is>
          <t>storm</t>
        </is>
      </c>
      <c r="B1995" t="inlineStr">
        <is>
          <t>storm-client/test/jvm/org/apache/storm/serialization/SerializationFactoryTest.java</t>
        </is>
      </c>
      <c r="C1995">
        <f>HYPERLINK("https://github.com/apache/storm/blob/master/storm-client/test/jvm/org/apache/storm/serialization/SerializationFactoryTest.java")</f>
        <v/>
      </c>
      <c r="D1995"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1995" t="n">
        <v>0</v>
      </c>
      <c r="F1995" t="n">
        <v>0.0312</v>
      </c>
      <c r="G1995" t="n">
        <v>0.1172</v>
      </c>
      <c r="H1995" t="inlineStr">
        <is>
          <t>The provided code is a Java implementation of the Blowfish encryption algorithm for Apache Storm's serialization framework. It defines a custom Tuple Serializer that uses this algorithm to encrypt and decrypt tuples in storm topologies. The complexity of this function is O(n), where n represents the size of the input data. This means it scales linearly with the amount of input data</t>
        </is>
      </c>
      <c r="I1995" t="n">
        <v>0.0035</v>
      </c>
      <c r="J1995" t="n">
        <v>0.0556</v>
      </c>
      <c r="K1995" t="n">
        <v>0.1493</v>
      </c>
      <c r="L1995" t="inlineStr">
        <is>
          <t>```plaintext
Package org.apache.storm.serialization is a part of Apache Storm framework that provides serialization and deserialization for objects in the system using Kryo library. It includes classes to register custom classes with Kryo, set up encryption for data during serialization (using Blowfish algorithm), and configure how fields are handled by Kryo.</t>
        </is>
      </c>
      <c r="M1995" t="n">
        <v>0.0037</v>
      </c>
      <c r="N1995" t="n">
        <v>0.0328</v>
      </c>
      <c r="O1995" t="n">
        <v>0.082</v>
      </c>
    </row>
    <row r="1996">
      <c r="A1996" t="inlineStr">
        <is>
          <t>storm</t>
        </is>
      </c>
      <c r="B1996" t="inlineStr">
        <is>
          <t>storm-client/test/jvm/org/apache/storm/serialization/GzipBridgeThriftSerializationDelegateTest.java</t>
        </is>
      </c>
      <c r="C1996">
        <f>HYPERLINK("https://github.com/apache/storm/blob/master/storm-client/test/jvm/org/apache/storm/serialization/GzipBridgeThriftSerializationDelegateTest.java")</f>
        <v/>
      </c>
      <c r="D1996"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1996" t="n">
        <v>0</v>
      </c>
      <c r="F1996" t="n">
        <v>0.0312</v>
      </c>
      <c r="G1996" t="n">
        <v>0.1172</v>
      </c>
      <c r="H1996" t="inlineStr">
        <is>
          <t>This repository contains backend software components that implement core algorithms used in the Apache Storm project for distributed real-time computation systems. The code is licensed under the Apache License 2.0 and can be found at http://www.apache.org/licenses/LICENSE-2.0. It's distributed on an "AS IS" BASIS, WITHOUT WARRANTIES OR COND</t>
        </is>
      </c>
      <c r="I1996" t="n">
        <v>0.0055</v>
      </c>
      <c r="J1996" t="n">
        <v>0.1538</v>
      </c>
      <c r="K1996" t="n">
        <v>0.3583</v>
      </c>
      <c r="L1996" t="inlineStr">
        <is>
          <t>This code is part of Apache Storm's serialization package and it provides methods for converting between Java objects and their binary representations (known as "bytes"). The main purpose of this class seems to be the conversion from a Global Stream Id object into its byte representation or vice versa. 
Inputs are either an instance of `GlobalStreamId` or raw bytes that represent a serial</t>
        </is>
      </c>
      <c r="M1996" t="n">
        <v>0.0034</v>
      </c>
      <c r="N1996" t="n">
        <v>0.0556</v>
      </c>
      <c r="O1996" t="n">
        <v>0.1111</v>
      </c>
    </row>
    <row r="1997">
      <c r="A1997" t="inlineStr">
        <is>
          <t>storm</t>
        </is>
      </c>
      <c r="B1997" t="inlineStr">
        <is>
          <t>storm-client/test/jvm/org/apache/storm/serialization/ThriftBridgeSerializationDelegateTest.java</t>
        </is>
      </c>
      <c r="C1997">
        <f>HYPERLINK("https://github.com/apache/storm/blob/master/storm-client/test/jvm/org/apache/storm/serialization/ThriftBridgeSerializationDelegateTest.java")</f>
        <v/>
      </c>
      <c r="D1997"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1997" t="n">
        <v>0</v>
      </c>
      <c r="F1997" t="n">
        <v>0.0308</v>
      </c>
      <c r="G1997" t="n">
        <v>0.1163</v>
      </c>
      <c r="H1997" t="inlineStr">
        <is>
          <t>This repository contains backend software components that implement core algorithms and data structures used in Apache Storm for distributed real-time computation systems. The complexity of the code is O(n), where n represents the number of elements being processed by the algorithm or function implemented here. It's licensed under the Apache License Version 2.0 (see NOTICE file). Summary: This Java package provides a serialization</t>
        </is>
      </c>
      <c r="I1997" t="n">
        <v>0.0041</v>
      </c>
      <c r="J1997" t="n">
        <v>0.1333</v>
      </c>
      <c r="K1997" t="n">
        <v>0.2222</v>
      </c>
      <c r="L1997" t="inlineStr">
        <is>
          <t>The provided code is a Java class that implements serialization and deserialization for Apache Storm framework. The main purpose of this class seems to be the conversion between byte arrays (binary data format) and objects (Java classes).
Here's an overview of its functionality in simple terms: 
It provides two primary methods `serialize` and `deserialize` which convert</t>
        </is>
      </c>
      <c r="M1997" t="n">
        <v>0.0043</v>
      </c>
      <c r="N1997" t="n">
        <v>0.09229999999999999</v>
      </c>
      <c r="O1997" t="n">
        <v>0.1563</v>
      </c>
    </row>
    <row r="1998">
      <c r="A1998" t="inlineStr">
        <is>
          <t>storm</t>
        </is>
      </c>
      <c r="B1998" t="inlineStr">
        <is>
          <t>storm-client/test/jvm/org/apache/storm/utils/ThriftTopologyUtilsTest.java</t>
        </is>
      </c>
      <c r="C1998">
        <f>HYPERLINK("https://github.com/apache/storm/blob/master/storm-client/test/jvm/org/apache/storm/utils/ThriftTopologyUtilsTest.java")</f>
        <v/>
      </c>
      <c r="D1998" t="inlineStr">
        <is>
          <t>This code is licensed under the Apache Software Foundation (ASF), and it's distributed with this work for additional information regarding copyright ownership. The ASF licenses this file to you under the Apache License, Version 2.0 (the "License"). You may not use this file except in compliance with the License. You can obtain a copy of the License at http://www.apache.</t>
        </is>
      </c>
      <c r="E1998" t="n">
        <v>0.0037</v>
      </c>
      <c r="F1998" t="n">
        <v>0.08450000000000001</v>
      </c>
      <c r="G1998" t="n">
        <v>0.1527</v>
      </c>
      <c r="H1998" t="inlineStr">
        <is>
          <t>This repository contains backend software components implementing core algorithms and data structures used in Apache Storm's distributed real-time computation system. The code is licensed under the Apache Software Foundation (ASF) license version 2.0 or later. It includes a README file with information about copying, distributing, modifying, etc., as specified by the terms of this license.
The complexity</t>
        </is>
      </c>
      <c r="I1998" t="n">
        <v>0.0045</v>
      </c>
      <c r="J1998" t="n">
        <v>0.1471</v>
      </c>
      <c r="K1998" t="n">
        <v>0.3305</v>
      </c>
      <c r="L1998" t="inlineStr">
        <is>
          <t>This code is part of Apache Storm's library and it appears to be a utility class for working with byte buffers in Java. The purpose of this class seems to be related to the serialization or deserialization of data using ByteBuffers.
It defines two methods `getSerializedJavaObject` and `deserializeJavaObjectFromBytes` which are used for converting</t>
        </is>
      </c>
      <c r="M1998" t="n">
        <v>0.0041</v>
      </c>
      <c r="N1998" t="n">
        <v>0.0645</v>
      </c>
      <c r="O1998" t="n">
        <v>0.12</v>
      </c>
    </row>
    <row r="1999">
      <c r="A1999" t="inlineStr">
        <is>
          <t>storm</t>
        </is>
      </c>
      <c r="B1999" t="inlineStr">
        <is>
          <t>storm-client/test/jvm/org/apache/storm/utils/UtilsTest.java</t>
        </is>
      </c>
      <c r="C1999">
        <f>HYPERLINK("https://github.com/apache/storm/blob/master/storm-client/test/jvm/org/apache/storm/utils/UtilsTest.java")</f>
        <v/>
      </c>
      <c r="D1999" t="inlineStr">
        <is>
          <t>```plaintext
This code is licensed under the Apache Software Foundation (ASF) license version 2.0. It's a Java package named "org.apache.storm.utils". The software components are distributed with this work and can be found in the NOTICE file. This repository contains backend software components implementing core algorithms for complex tasks. Initial commit of the code base</t>
        </is>
      </c>
      <c r="E1999" t="n">
        <v>0.0048</v>
      </c>
      <c r="F1999" t="n">
        <v>0.1194</v>
      </c>
      <c r="G1999" t="n">
        <v>0.4056</v>
      </c>
      <c r="H1999" t="inlineStr">
        <is>
          <t>The provided code is a Java method for addition of two numbers using Apache Storm's utility package (`org.apache.storm.utils`). The function `add()` takes in two parameters and returns their sum. 
It has been licensed under the Apache License Version 2.0 which requires that any derivative works must also be distributed under this same license. This means anyone</t>
        </is>
      </c>
      <c r="I1999" t="n">
        <v>0.0039</v>
      </c>
      <c r="J1999" t="n">
        <v>0.058</v>
      </c>
      <c r="K1999" t="n">
        <v>0.1172</v>
      </c>
      <c r="L1999" t="inlineStr">
        <is>
          <t>The provided code is a Java class named `Utils` located in the package `org.apache.storm.utils`. This class appears to be part of an Apache Storm project and it provides various utility methods for network operations such as checking if IP addresses are valid or generating random UUIDs. 
Here's a concise summary of its functionality:
- The</t>
        </is>
      </c>
      <c r="M1999" t="n">
        <v>0.004</v>
      </c>
      <c r="N1999" t="n">
        <v>0.0606</v>
      </c>
      <c r="O1999" t="n">
        <v>0.1181</v>
      </c>
    </row>
    <row r="2000">
      <c r="A2000" t="inlineStr">
        <is>
          <t>storm</t>
        </is>
      </c>
      <c r="B2000" t="inlineStr">
        <is>
          <t>storm-client/test/jvm/org/apache/storm/utils/JCQueueBackpressureTest.java</t>
        </is>
      </c>
      <c r="C2000">
        <f>HYPERLINK("https://github.com/apache/storm/blob/master/storm-client/test/jvm/org/apache/storm/utils/JCQueueBackpressureTest.java")</f>
        <v/>
      </c>
      <c r="D2000"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00" t="n">
        <v>0</v>
      </c>
      <c r="F2000" t="n">
        <v>0.0312</v>
      </c>
      <c r="G2000" t="n">
        <v>0.1172</v>
      </c>
      <c r="H2000" t="inlineStr">
        <is>
          <t>The provided code is a Java class that contains the definition of an 'add' method for two numbers (integers or floats). The function takes in two parameters and returns their sum. This operation has a time complexity of O(1), meaning it performs a constant amount of work regardless of input size.
The license at the top of this file states that you may use this software</t>
        </is>
      </c>
      <c r="I2000" t="n">
        <v>0.0036</v>
      </c>
      <c r="J2000" t="n">
        <v>0.0533</v>
      </c>
      <c r="K2000" t="n">
        <v>0.2287</v>
      </c>
      <c r="L2000" t="inlineStr">
        <is>
          <t>```plaintext
This code is part of Apache Storm's utility package and it provides a class named JCQueue that implements a lock-free multi-producer single consumer queue using wait-strategy park. The purpose of this class is to provide high performance concurrent data structures for distributed systems like Storm. 
It uses the Java util Collections framework for synchron</t>
        </is>
      </c>
      <c r="M2000" t="n">
        <v>0.0044</v>
      </c>
      <c r="N2000" t="n">
        <v>0.0597</v>
      </c>
      <c r="O2000" t="n">
        <v>0.1575</v>
      </c>
    </row>
    <row r="2001">
      <c r="A2001" t="inlineStr">
        <is>
          <t>storm</t>
        </is>
      </c>
      <c r="B2001" t="inlineStr">
        <is>
          <t>storm-client/test/jvm/org/apache/storm/utils/ConfigUtilsTest.java</t>
        </is>
      </c>
      <c r="C2001">
        <f>HYPERLINK("https://github.com/apache/storm/blob/master/storm-client/test/jvm/org/apache/storm/utils/ConfigUtilsTest.java")</f>
        <v/>
      </c>
      <c r="D2001" t="inlineStr">
        <is>
          <t>```plaintext
This code is licensed under the Apache Software Foundation (ASF)'s Apache License, Version 2.0. The license allows for use and distribution of this software subject to compliance with the terms set forth in the license. This file may not be used except in compliance with the license. A copy of the license can be obtained at http://www.apache.</t>
        </is>
      </c>
      <c r="E2001" t="n">
        <v>0.0041</v>
      </c>
      <c r="F2001" t="n">
        <v>0.0857</v>
      </c>
      <c r="G2001" t="n">
        <v>0.1538</v>
      </c>
      <c r="H2001" t="inlineStr">
        <is>
          <t>The provided code is a simple function that adds two numbers together and returns the result. The complexity of this operation is O(1), meaning it takes constant time to execute regardless of the size of the input data.
Here's the summary of its functionality:
```python
# Licensed to the Apache Software Foundation (ASF) under one or more contributor license agreements</t>
        </is>
      </c>
      <c r="I2001" t="n">
        <v>0.003</v>
      </c>
      <c r="J2001" t="n">
        <v>0.058</v>
      </c>
      <c r="K2001" t="n">
        <v>0.1515</v>
      </c>
      <c r="L2001"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M2001" t="n">
        <v>0</v>
      </c>
      <c r="N2001" t="n">
        <v>0.0308</v>
      </c>
      <c r="O2001" t="n">
        <v>0.1163</v>
      </c>
    </row>
    <row r="2002">
      <c r="A2002" t="inlineStr">
        <is>
          <t>storm</t>
        </is>
      </c>
      <c r="B2002" t="inlineStr">
        <is>
          <t>storm-client/test/jvm/org/apache/storm/utils/SecurityUtilsTest.java</t>
        </is>
      </c>
      <c r="C2002">
        <f>HYPERLINK("https://github.com/apache/storm/blob/master/storm-client/test/jvm/org/apache/storm/utils/SecurityUtilsTest.java")</f>
        <v/>
      </c>
      <c r="D2002" t="inlineStr">
        <is>
          <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t>
        </is>
      </c>
      <c r="E2002" t="n">
        <v>0</v>
      </c>
      <c r="F2002" t="n">
        <v>0.0294</v>
      </c>
      <c r="G2002" t="n">
        <v>0.1136</v>
      </c>
      <c r="H2002" t="inlineStr">
        <is>
          <t>This repository contains backend software components that implement core algorithms for security purposes such as inferring the key store type from a path using PKCS#12. The complexity of this operation is O(n), where n represents the length of the string representing the file's path. It uses JUnit 5 to test these functions and asserts their correctness.
The Apache License (</t>
        </is>
      </c>
      <c r="I2002" t="n">
        <v>0.0043</v>
      </c>
      <c r="J2002" t="n">
        <v>0.1714</v>
      </c>
      <c r="K2002" t="n">
        <v>0.3872</v>
      </c>
      <c r="L2002" t="inlineStr">
        <is>
          <t>This code is a JUnit test for the `SecurityUtils` class in Apache Storm's utilities package. The purpose of this test is to verify that the method `inferKeyStoreTypeFromPath()` correctly infers the key store type from its path by using PKCS#12 as an example. This function takes a file path as input and returns the appropriate KeyStore type</t>
        </is>
      </c>
      <c r="M2002" t="n">
        <v>0.0039</v>
      </c>
      <c r="N2002" t="n">
        <v>0.09089999999999999</v>
      </c>
      <c r="O2002" t="n">
        <v>0.1172</v>
      </c>
    </row>
    <row r="2003">
      <c r="A2003" t="inlineStr">
        <is>
          <t>storm</t>
        </is>
      </c>
      <c r="B2003" t="inlineStr">
        <is>
          <t>storm-client/test/jvm/org/apache/storm/utils/StormBoundedExponentialBackoffRetryTest.java</t>
        </is>
      </c>
      <c r="C2003">
        <f>HYPERLINK("https://github.com/apache/storm/blob/master/storm-client/test/jvm/org/apache/storm/utils/StormBoundedExponentialBackoffRetryTest.java")</f>
        <v/>
      </c>
      <c r="D2003" t="inlineStr">
        <is>
          <t>```plaintext
This code is licensed under the Apache Software Foundation (ASF) license version 2.0. It's a JUnit test class for testing functionality of an expo function in Storm utilities package. The tests assert that certain conditions are met regarding this function. This includes checking if it returns true when given valid inputs and false otherwise. There might be other</t>
        </is>
      </c>
      <c r="E2003" t="n">
        <v>0.0041</v>
      </c>
      <c r="F2003" t="n">
        <v>0.1159</v>
      </c>
      <c r="G2003" t="n">
        <v>0.1527</v>
      </c>
      <c r="H2003" t="inlineStr">
        <is>
          <t>This Java code defines a function called "add". This function takes two parameters (a and b), adds them together, and returns the result. The functionality of this code is to add numbers. It's complexity is O(1).
It also contains Apache License information at the top which states that it can be used under the terms specified in the license. 
Please provide</t>
        </is>
      </c>
      <c r="I2003" t="n">
        <v>0.0039</v>
      </c>
      <c r="J2003" t="n">
        <v>0.08450000000000001</v>
      </c>
      <c r="K2003" t="n">
        <v>0.1128</v>
      </c>
      <c r="L2003" t="inlineStr">
        <is>
          <t>This code is part of Apache Storm's utility package and it provides a class for generating bounded exponential backoff times based on the number of attempts made to execute an operation. The main purpose of this class seems to be in handling network failures or other transient errors by implementing retry logic with some randomness to prevent overloading servers during periods of high load.
It takes as input the</t>
        </is>
      </c>
      <c r="M2003" t="n">
        <v>0.0031</v>
      </c>
      <c r="N2003" t="n">
        <v>0.0769</v>
      </c>
      <c r="O2003" t="n">
        <v>0.1418</v>
      </c>
    </row>
    <row r="2004">
      <c r="A2004" t="inlineStr">
        <is>
          <t>storm</t>
        </is>
      </c>
      <c r="B2004" t="inlineStr">
        <is>
          <t>storm-client/test/jvm/org/apache/storm/utils/MockTupleHelpers.java</t>
        </is>
      </c>
      <c r="C2004">
        <f>HYPERLINK("https://github.com/apache/storm/blob/master/storm-client/test/jvm/org/apache/storm/utils/MockTupleHelpers.java")</f>
        <v/>
      </c>
      <c r="D2004" t="inlineStr">
        <is>
          <t>The code provided is a utility class for mocking Tuples in Apache Storm (a distributed real-time computation system). It's licensed under the Apache License 2.0 and contains methods to create mocks of Tuple objects using Mockito library. The license allows you to use this software as per your requirements but with no warranty expressed or implied.
It provides helper functions</t>
        </is>
      </c>
      <c r="E2004" t="n">
        <v>0.0036</v>
      </c>
      <c r="F2004" t="n">
        <v>0.08450000000000001</v>
      </c>
      <c r="G2004" t="n">
        <v>0.2391</v>
      </c>
      <c r="H2004" t="inlineStr">
        <is>
          <t>This repository contains backend software components that implement core algorithms used by Apache Storm for distributed real time computation systems. The code is licensed under the Apache Software Foundation (ASF) license version 2.0 and can be found at http://www.apache.org/licenses/LICENSE-2.0. It may not be used except in compliance with this License. You may obtain a copy</t>
        </is>
      </c>
      <c r="I2004" t="n">
        <v>0.0047</v>
      </c>
      <c r="J2004" t="n">
        <v>0.1408</v>
      </c>
      <c r="K2004" t="n">
        <v>0.3357</v>
      </c>
      <c r="L2004" t="inlineStr">
        <is>
          <t>This code provides a utility class for creating mock Tuples in Apache Storm using Mockito library. The main purpose of this class is to provide helper methods that simplify the process of creating and setting up these mocks.
It takes inputs such as tuple id, component id, stream id, task id etc., which are used by Apache Storm during distributed processing. It then returns a mock</t>
        </is>
      </c>
      <c r="M2004" t="n">
        <v>0.0033</v>
      </c>
      <c r="N2004" t="n">
        <v>0.0541</v>
      </c>
      <c r="O2004" t="n">
        <v>0.1087</v>
      </c>
    </row>
    <row r="2005">
      <c r="A2005" t="inlineStr">
        <is>
          <t>storm</t>
        </is>
      </c>
      <c r="B2005" t="inlineStr">
        <is>
          <t>storm-client/test/jvm/org/apache/storm/utils/ShellUtilsTest.java</t>
        </is>
      </c>
      <c r="C2005">
        <f>HYPERLINK("https://github.com/apache/storm/blob/master/storm-client/test/jvm/org/apache/storm/utils/ShellUtilsTest.java")</f>
        <v/>
      </c>
      <c r="D2005" t="inlineStr">
        <is>
          <t>```plaintext
// This code is licensed under the Apache Software Foundation (ASF) license version 2.0. It can be found at http://www.apache.org/licenses/LICENSE-2.0. The ASF licenses this file to you under the same license. You may not use this file except in compliance with the License. Unless required</t>
        </is>
      </c>
      <c r="E2005" t="n">
        <v>0.004</v>
      </c>
      <c r="F2005" t="n">
        <v>0.06560000000000001</v>
      </c>
      <c r="G2005" t="n">
        <v>0.1271</v>
      </c>
      <c r="H2005" t="inlineStr">
        <is>
          <t>This repository contains backend software components that implement core algorithms. The complexity of the code is O(n), where n represents the number of elements in a collection or operations performed on data structures such as arrays and hash maps.
The Apache Software Foundation (ASF) licenses this file to you under the Apache License, Version 2.0 (the "License"); you may not use</t>
        </is>
      </c>
      <c r="I2005" t="n">
        <v>0.0042</v>
      </c>
      <c r="J2005" t="n">
        <v>0.1408</v>
      </c>
      <c r="K2005" t="n">
        <v>0.3206</v>
      </c>
      <c r="L2005" t="inlineStr">
        <is>
          <t>The code provided is a part of Apache Storm's source code and it seems to be implementing the `Utils` class which appears to handle various tasks related to distributed computing using multiple languages.
Here are some key functionalities: 
1. It imports necessary packages like java util for Hashmap usage and org.apache.storm for Config and ShellMsg classes.</t>
        </is>
      </c>
      <c r="M2005" t="n">
        <v>0.0033</v>
      </c>
      <c r="N2005" t="n">
        <v>0.0896</v>
      </c>
      <c r="O2005" t="n">
        <v>0.1172</v>
      </c>
    </row>
    <row r="2006">
      <c r="A2006" t="inlineStr">
        <is>
          <t>storm</t>
        </is>
      </c>
      <c r="B2006" t="inlineStr">
        <is>
          <t>storm-client/test/jvm/org/apache/storm/utils/ShellBoltMessageQueueTest.java</t>
        </is>
      </c>
      <c r="C2006">
        <f>HYPERLINK("https://github.com/apache/storm/blob/master/storm-client/test/jvm/org/apache/storm/utils/ShellBoltMessageQueueTest.java")</f>
        <v/>
      </c>
      <c r="D2006"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06" t="n">
        <v>0</v>
      </c>
      <c r="F2006" t="n">
        <v>0.0312</v>
      </c>
      <c r="G2006" t="n">
        <v>0.1172</v>
      </c>
      <c r="H2006" t="inlineStr">
        <is>
          <t>This repository contains backend software components implementing core algorithms. The complexity of the code is O(n), where n represents the number of elements in a list or array. Each element's processing time depends on its size and specific algorithm used for processing. Please note that this license applies to all files included in this package (`org.apache.storm.utils`). For more information about copyright ownership</t>
        </is>
      </c>
      <c r="I2006" t="n">
        <v>0.0042</v>
      </c>
      <c r="J2006" t="n">
        <v>0.1333</v>
      </c>
      <c r="K2006" t="n">
        <v>0.3182</v>
      </c>
      <c r="L2006" t="inlineStr">
        <is>
          <t>The provided code is a Java class named `Utils` located in the package `org.apache.storm.utils` of an Apache Storm project. This class appears to be implementing utility functions related to multithreading and message passing between components within a distributed system like Storm. 
 The main purpose of this class seems to be managing concurrency by using threads or processes for parallel</t>
        </is>
      </c>
      <c r="M2006" t="n">
        <v>0.0037</v>
      </c>
      <c r="N2006" t="n">
        <v>0.1143</v>
      </c>
      <c r="O2006" t="n">
        <v>0.1527</v>
      </c>
    </row>
    <row r="2007">
      <c r="A2007" t="inlineStr">
        <is>
          <t>storm</t>
        </is>
      </c>
      <c r="B2007" t="inlineStr">
        <is>
          <t>storm-client/test/jvm/org/apache/storm/utils/PredicateMatcher.java</t>
        </is>
      </c>
      <c r="C2007">
        <f>HYPERLINK("https://github.com/apache/storm/blob/master/storm-client/test/jvm/org/apache/storm/utils/PredicateMatcher.java")</f>
        <v/>
      </c>
      <c r="D2007" t="inlineStr">
        <is>
          <t>```plaintext
// Copyright 2018 The Apache Software Foundation.
// Licensed under the Apache License, Version 2.0 (the "License");
// you may not use this file except in compliance with the License.
// You may obtain a copy of the License at http://www.apache.org/licenses/LICENSE-2.</t>
        </is>
      </c>
      <c r="E2007" t="n">
        <v>0</v>
      </c>
      <c r="F2007" t="n">
        <v>0.0377</v>
      </c>
      <c r="G2007" t="n">
        <v>0.1316</v>
      </c>
      <c r="H2007" t="inlineStr">
        <is>
          <t>This code is a Java implementation of the Predicate Matcher class which extends from Type Safe Matcher and uses generics to handle any type T object. The matcher checks if an input object meets certain conditions defined by a predicate (boolean function).
It's licensed under Apache 2.0 License. It can be used in compliance with this license or agreed upon by applicable law</t>
        </is>
      </c>
      <c r="I2007" t="n">
        <v>0.0034</v>
      </c>
      <c r="J2007" t="n">
        <v>0.0822</v>
      </c>
      <c r="K2007" t="n">
        <v>0.1481</v>
      </c>
      <c r="L2007" t="inlineStr">
        <is>
          <t>This code is a custom Hamcrest matcher for Java's Predicate interface from the Apache Storm library. It extends TypeSafeMatcher which provides a base class for creating matchers that perform type safe matching on arbitrary objects.
Here are key details of this code summary:
- The purpose of this code is to create a predicate matcher with generic parameter T.</t>
        </is>
      </c>
      <c r="M2007" t="n">
        <v>0.0031</v>
      </c>
      <c r="N2007" t="n">
        <v>0.0299</v>
      </c>
      <c r="O2007" t="n">
        <v>0.0382</v>
      </c>
    </row>
    <row r="2008">
      <c r="A2008" t="inlineStr">
        <is>
          <t>storm</t>
        </is>
      </c>
      <c r="B2008" t="inlineStr">
        <is>
          <t>storm-client/test/jvm/org/apache/storm/utils/SimpleVersionTest.java</t>
        </is>
      </c>
      <c r="C2008">
        <f>HYPERLINK("https://github.com/apache/storm/blob/master/storm-client/test/jvm/org/apache/storm/utils/SimpleVersionTest.java")</f>
        <v/>
      </c>
      <c r="D2008" t="inlineStr">
        <is>
          <t>```plaintext
The code is licensed under the Apache Software Foundation (ASF)'s license version 2.0 and it's distributed with this work for additional information regarding copyright ownership. The ASF licenses this file to you under the same license as stated in http://www.apache.org/licenses/LICENSE-2.0 Unless required by applicable law</t>
        </is>
      </c>
      <c r="E2008" t="n">
        <v>0.004</v>
      </c>
      <c r="F2008" t="n">
        <v>0.0625</v>
      </c>
      <c r="G2008" t="n">
        <v>0.1695</v>
      </c>
      <c r="H2008" t="inlineStr">
        <is>
          <t>This repository contains backend software components that implement core algorithms. The code is licensed under the Apache Software Foundation (ASF) license version 2.0. It includes a test class `SimpleVersionTest` with a JUnit test method named `testREADME` which tests if the README file content matches expected values. The complexity of this function appears to be O(N), where N represents</t>
        </is>
      </c>
      <c r="I2008" t="n">
        <v>0.0041</v>
      </c>
      <c r="J2008" t="n">
        <v>0.1471</v>
      </c>
      <c r="K2008" t="n">
        <v>0.2862</v>
      </c>
      <c r="L2008" t="inlineStr">
        <is>
          <t>The provided code is a JUnit test for the `SimpleVersion` class in Apache Storm. The main purpose of this code is to verify that the version comparison logic implemented in the `compareVersions()` method works as expected. 
Inputs and outputs are two string representations of versions (like "1.0", "2.0") which will be compared based on their</t>
        </is>
      </c>
      <c r="M2008" t="n">
        <v>0.0033</v>
      </c>
      <c r="N2008" t="n">
        <v>0.09229999999999999</v>
      </c>
      <c r="O2008" t="n">
        <v>0.1575</v>
      </c>
    </row>
    <row r="2009">
      <c r="A2009" t="inlineStr">
        <is>
          <t>storm</t>
        </is>
      </c>
      <c r="B2009" t="inlineStr">
        <is>
          <t>storm-client/test/jvm/org/apache/storm/utils/JCQueueTest.java</t>
        </is>
      </c>
      <c r="C2009">
        <f>HYPERLINK("https://github.com/apache/storm/blob/master/storm-client/test/jvm/org/apache/storm/utils/JCQueueTest.java")</f>
        <v/>
      </c>
      <c r="D2009"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09" t="n">
        <v>0</v>
      </c>
      <c r="F2009" t="n">
        <v>0.0308</v>
      </c>
      <c r="G2009" t="n">
        <v>0.1163</v>
      </c>
      <c r="H2009" t="inlineStr">
        <is>
          <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t>
        </is>
      </c>
      <c r="I2009" t="n">
        <v>0</v>
      </c>
      <c r="J2009" t="n">
        <v>0.0286</v>
      </c>
      <c r="K2009" t="n">
        <v>0.1119</v>
      </c>
      <c r="L2009" t="inlineStr">
        <is>
          <t>&lt;details&gt;
    &lt;summary&gt;&lt;b&gt;Code Summary: Apache Storm Utilities Package - Unit Test Assertions&lt;/b&gt;&lt;/summary&gt;
    This code is part of the Apache Storm project and provides unit tests for various utility functions in a package named `org.apache.storm.utils`. The purpose of these tests are to validate that certain operations return expected results.</t>
        </is>
      </c>
      <c r="M2009" t="n">
        <v>0.0046</v>
      </c>
      <c r="N2009" t="n">
        <v>0.06560000000000001</v>
      </c>
      <c r="O2009" t="n">
        <v>0.1261</v>
      </c>
    </row>
    <row r="2010">
      <c r="A2010" t="inlineStr">
        <is>
          <t>storm</t>
        </is>
      </c>
      <c r="B2010" t="inlineStr">
        <is>
          <t>storm-client/test/jvm/org/apache/storm/utils/ThrowableNestedCauseMatcher.java</t>
        </is>
      </c>
      <c r="C2010">
        <f>HYPERLINK("https://github.com/apache/storm/blob/master/storm-client/test/jvm/org/apache/storm/utils/ThrowableNestedCauseMatcher.java")</f>
        <v/>
      </c>
      <c r="D2010"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10" t="n">
        <v>0</v>
      </c>
      <c r="F2010" t="n">
        <v>0.0308</v>
      </c>
      <c r="G2010" t="n">
        <v>0.1163</v>
      </c>
      <c r="H2010" t="inlineStr">
        <is>
          <t>This repository contains backend software components that implement core algorithms and data structures used in the Apache Storm project. The complexity of this code is O(n), where n represents the number of nested causes to be checked for a specific exception type. Each cause is examined separately using recursion until all causes have been inspected or the desired exception has been found. If an exception matches the specified criteria, it will</t>
        </is>
      </c>
      <c r="I2010" t="n">
        <v>0.0036</v>
      </c>
      <c r="J2010" t="n">
        <v>0.125</v>
      </c>
      <c r="K2010" t="n">
        <v>0.2982</v>
      </c>
      <c r="L2010" t="inlineStr">
        <is>
          <t>The provided code is a Java class named `ThrowableNestedCauseMatcher` that extends the `TypeSafeMatcher&lt;Throwable&gt;` class from Apache Storm's utilities package. This matcher checks if a given throwable has an expected cause within its nested causes hierarchy. The purpose of this class seems to be for testing or verification purposes related to exception handling in software applications.</t>
        </is>
      </c>
      <c r="M2010" t="n">
        <v>0.004</v>
      </c>
      <c r="N2010" t="n">
        <v>0.0615</v>
      </c>
      <c r="O2010" t="n">
        <v>0.07870000000000001</v>
      </c>
    </row>
    <row r="2011">
      <c r="A2011" t="inlineStr">
        <is>
          <t>storm</t>
        </is>
      </c>
      <c r="B2011" t="inlineStr">
        <is>
          <t>storm-client/test/jvm/org/apache/storm/utils/CuratorUtilsTest.java</t>
        </is>
      </c>
      <c r="C2011">
        <f>HYPERLINK("https://github.com/apache/storm/blob/master/storm-client/test/jvm/org/apache/storm/utils/CuratorUtilsTest.java")</f>
        <v/>
      </c>
      <c r="D2011" t="inlineStr">
        <is>
          <t>```plaintext
The code is licensed under the Apache Software Foundation (ASF) license version 2.0 and can be used by anyone for any purpose in compliance with this license. The ASF licenses this file to you under the same terms but it's distributed on an "AS IS" BASIS without warranties or conditions of any kind either expressed or implied</t>
        </is>
      </c>
      <c r="E2011" t="n">
        <v>0.0031</v>
      </c>
      <c r="F2011" t="n">
        <v>0.0588</v>
      </c>
      <c r="G2011" t="n">
        <v>0.1538</v>
      </c>
      <c r="H2011" t="inlineStr">
        <is>
          <t>This repository contains backend software components that implement core algorithms used by Apache Storm for distributed processing of large datasets in real time. The code is licensed under the Apache Software Foundation (ASF) license version 2.0 which can be found at http://www.apache.org/licenses/LICENSE-2.0. This includes a notice file with additional information regarding copyright ownership and licensing</t>
        </is>
      </c>
      <c r="I2011" t="n">
        <v>0.0047</v>
      </c>
      <c r="J2011" t="n">
        <v>0.1408</v>
      </c>
      <c r="K2011" t="n">
        <v>0.3357</v>
      </c>
      <c r="L2011" t="inlineStr">
        <is>
          <t>This code is part of Apache Storm's utility package and it seems to be handling file operations related to the ZooKeeper framework for distributed coordination in a big data processing system.
It provides methods for creating directories, deleting files, reading from files, writing into files, checking if a directory exists or not etc. 
Key functionalities include managing file paths with</t>
        </is>
      </c>
      <c r="M2011" t="n">
        <v>0.0036</v>
      </c>
      <c r="N2011" t="n">
        <v>0.058</v>
      </c>
      <c r="O2011" t="n">
        <v>0.1136</v>
      </c>
    </row>
    <row r="2012">
      <c r="A2012" t="inlineStr">
        <is>
          <t>storm</t>
        </is>
      </c>
      <c r="B2012" t="inlineStr">
        <is>
          <t>storm-client/test/jvm/org/apache/storm/utils/DefaultShellLogHandlerTest.java</t>
        </is>
      </c>
      <c r="C2012">
        <f>HYPERLINK("https://github.com/apache/storm/blob/master/storm-client/test/jvm/org/apache/storm/utils/DefaultShellLogHandlerTest.java")</f>
        <v/>
      </c>
      <c r="D2012" t="inlineStr">
        <is>
          <t>This is a Java code snippet that appears to be part of an Apache Storm project for distributed real-time computation systems. It's licensed under the Apache License Version 2.0 and contains comments explaining its functionality. The main purpose seems to be implementing core algorithms related to multi-language support in a storm system. This includes classes like ShellMsg which represents shell messages used</t>
        </is>
      </c>
      <c r="E2012" t="n">
        <v>0.0039</v>
      </c>
      <c r="F2012" t="n">
        <v>0.08110000000000001</v>
      </c>
      <c r="G2012" t="n">
        <v>0.2776</v>
      </c>
      <c r="H2012" t="inlineStr">
        <is>
          <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t>
        </is>
      </c>
      <c r="I2012" t="n">
        <v>0</v>
      </c>
      <c r="J2012" t="n">
        <v>0.0299</v>
      </c>
      <c r="K2012" t="n">
        <v>0.1136</v>
      </c>
      <c r="L2012" t="inlineStr">
        <is>
          <t>&lt;p&gt;This code is part of Apache Storm's utility package and provides a way to handle shell messages in the system. It includes two classes - ShellHandler and ShellMessageProcessor which are used for handling incoming shell messages from other components (like Spouts or Drpc handlers). The main purpose of this code is to provide an interface between different parts of the system that need to communicate</t>
        </is>
      </c>
      <c r="M2012" t="n">
        <v>0.0028</v>
      </c>
      <c r="N2012" t="n">
        <v>0.0541</v>
      </c>
      <c r="O2012" t="n">
        <v>0.1095</v>
      </c>
    </row>
    <row r="2013">
      <c r="A2013" t="inlineStr">
        <is>
          <t>storm</t>
        </is>
      </c>
      <c r="B2013" t="inlineStr">
        <is>
          <t>storm-client/test/jvm/org/apache/storm/utils/TimeTest.java</t>
        </is>
      </c>
      <c r="C2013">
        <f>HYPERLINK("https://github.com/apache/storm/blob/master/storm-client/test/jvm/org/apache/storm/utils/TimeTest.java")</f>
        <v/>
      </c>
      <c r="D2013"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13" t="n">
        <v>0</v>
      </c>
      <c r="F2013" t="n">
        <v>0.0308</v>
      </c>
      <c r="G2013" t="n">
        <v>0.1163</v>
      </c>
      <c r="H2013" t="inlineStr">
        <is>
          <t>The provided code is a simple function for addition of two numbers in Java programming language. The functionality of the add method takes two parameters (numbers), adds them together and returns the result. This operation has a time complexity of O(1).
Here's the summary with details about its implementation: 
```java
public class MathUtils {
    public static int add</t>
        </is>
      </c>
      <c r="I2013" t="n">
        <v>0.0041</v>
      </c>
      <c r="J2013" t="n">
        <v>0.0597</v>
      </c>
      <c r="K2013" t="n">
        <v>0.1154</v>
      </c>
      <c r="L2013" t="inlineStr">
        <is>
          <t>This code is part of Apache Storm's utility package and provides a way to simulate time for testing purposes in the context of distributed systems. The main functionality it offers involves setting up simulated time that can be used during unit tests or simulations without affecting real-time execution.
It does this by creating an interface `SimulatedTime` which extends from the actual Time class provided by Apache Storm</t>
        </is>
      </c>
      <c r="M2013" t="n">
        <v>0.0036</v>
      </c>
      <c r="N2013" t="n">
        <v>0.0519</v>
      </c>
      <c r="O2013" t="n">
        <v>0.1079</v>
      </c>
    </row>
    <row r="2014">
      <c r="A2014" t="inlineStr">
        <is>
          <t>storm</t>
        </is>
      </c>
      <c r="B2014" t="inlineStr">
        <is>
          <t>storm-client/test/jvm/org/apache/storm/tuple/FieldsTest.java</t>
        </is>
      </c>
      <c r="C2014">
        <f>HYPERLINK("https://github.com/apache/storm/blob/master/storm-client/test/jvm/org/apache/storm/tuple/FieldsTest.java")</f>
        <v/>
      </c>
      <c r="D2014"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14" t="n">
        <v>0</v>
      </c>
      <c r="F2014" t="n">
        <v>0.0308</v>
      </c>
      <c r="G2014" t="n">
        <v>0.1163</v>
      </c>
      <c r="H2014" t="inlineStr">
        <is>
          <t>The provided code is a simple function for addition of two numbers in Java named `add` which takes two parameters and returns their sum. The complexity of this operation is O(1), meaning it always executes the same number of steps regardless of input size.
In terms of licensing, Apache License 2.0 applies to all files within this repository as stated at http://www</t>
        </is>
      </c>
      <c r="I2014" t="n">
        <v>0.0029</v>
      </c>
      <c r="J2014" t="n">
        <v>0.0548</v>
      </c>
      <c r="K2014" t="n">
        <v>0.1119</v>
      </c>
      <c r="L2014" t="inlineStr">
        <is>
          <t>The provided code is a Java class named `Values` within the Apache Storm project's package `org.apache.storm.tuple`. This class represents a collection of values that can be passed around in tuples during distributed processing tasks in Storm. 
 It provides methods for adding and retrieving these values as well as iterating over them using an Iterator</t>
        </is>
      </c>
      <c r="M2014" t="n">
        <v>0.004</v>
      </c>
      <c r="N2014" t="n">
        <v>0.0606</v>
      </c>
      <c r="O2014" t="n">
        <v>0.119</v>
      </c>
    </row>
    <row r="2015">
      <c r="A2015" t="inlineStr">
        <is>
          <t>storm</t>
        </is>
      </c>
      <c r="B2015" t="inlineStr">
        <is>
          <t>storm-client/test/jvm/org/apache/storm/tuple/ValuesTest.java</t>
        </is>
      </c>
      <c r="C2015">
        <f>HYPERLINK("https://github.com/apache/storm/blob/master/storm-client/test/jvm/org/apache/storm/tuple/ValuesTest.java")</f>
        <v/>
      </c>
      <c r="D2015" t="inlineStr">
        <is>
          <t>This repository contains backend software components that implement core algorithms for complex tasks such as data processing and analytics in the Apache Storm framework. The code is written in Java and uses JUnit 5 (Junit Jupiter API), a testing tool used to write repeatable tests quickly. It's licensed under the Apache License Version 2.0 which requires compliance with conditions specified in it before usage.</t>
        </is>
      </c>
      <c r="E2015" t="n">
        <v>0.004</v>
      </c>
      <c r="F2015" t="n">
        <v>0.1351</v>
      </c>
      <c r="G2015" t="n">
        <v>0.3135</v>
      </c>
      <c r="H2015" t="inlineStr">
        <is>
          <t>In the provided code snippet, there is a function named `add` which takes two parameters (`a` and `b`). This function returns their summation result. The time complexity of this operation is O(1), meaning it performs constant amount of work regardless of input size.
Here's the summary for your reference: 
```java
// Lic</t>
        </is>
      </c>
      <c r="I2015" t="n">
        <v>0.0042</v>
      </c>
      <c r="J2015" t="n">
        <v>0.06560000000000001</v>
      </c>
      <c r="K2015" t="n">
        <v>0.121</v>
      </c>
      <c r="L2015" t="inlineStr">
        <is>
          <t>This code is a JUnit test for the `Values` class in Apache Storm's tuple package. The purpose of this test is to verify that calling the no argument constructor (i.e., default values) on an instance of the `Values` class correctly initializes its fields with their expected defaults.}
 Code Size: 769 lines
 Main Behaviors:</t>
        </is>
      </c>
      <c r="M2015" t="n">
        <v>0.0035</v>
      </c>
      <c r="N2015" t="n">
        <v>0.0317</v>
      </c>
      <c r="O2015" t="n">
        <v>0.04</v>
      </c>
    </row>
    <row r="2016">
      <c r="A2016" t="inlineStr">
        <is>
          <t>storm</t>
        </is>
      </c>
      <c r="B2016" t="inlineStr">
        <is>
          <t>storm-client/test/jvm/org/apache/storm/assignments/LocalAssignmentsBackendTest.java</t>
        </is>
      </c>
      <c r="C2016">
        <f>HYPERLINK("https://github.com/apache/storm/blob/master/storm-client/test/jvm/org/apache/storm/assignments/LocalAssignmentsBackendTest.java")</f>
        <v/>
      </c>
      <c r="D2016"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16" t="n">
        <v>0</v>
      </c>
      <c r="F2016" t="n">
        <v>0.0308</v>
      </c>
      <c r="G2016" t="n">
        <v>0.1163</v>
      </c>
      <c r="H2016" t="inlineStr">
        <is>
          <t>This code is licensed under the Apache License 2.0 and it's a part of an assignment package for Storm (a distributed real-time computation system). The purpose of this code seems to be implementing core algorithms related to data structures like HashMaps or Sets. It contains comments explaining what each section does in relation to licensing information at the top.
The function `add</t>
        </is>
      </c>
      <c r="I2016" t="n">
        <v>0.0039</v>
      </c>
      <c r="J2016" t="n">
        <v>0.1096</v>
      </c>
      <c r="K2016" t="n">
        <v>0.2776</v>
      </c>
      <c r="L2016" t="inlineStr">
        <is>
          <t>The provided code is a Java implementation of the Apache Storm framework's WordCount example. It counts words in real time from an input stream and outputs them along with their count to another output stream. 
 This program has two main classes - `WordCountTopology` which sets up the topology for processing data (i.e., defining how it should be processed by Sp</t>
        </is>
      </c>
      <c r="M2016" t="n">
        <v>0.0036</v>
      </c>
      <c r="N2016" t="n">
        <v>0.058</v>
      </c>
      <c r="O2016" t="n">
        <v>0.1136</v>
      </c>
    </row>
    <row r="2017">
      <c r="A2017" t="inlineStr">
        <is>
          <t>storm</t>
        </is>
      </c>
      <c r="B2017" t="inlineStr">
        <is>
          <t>storm-client/test/jvm/org/apache/storm/trident/TestTridentTopology.java</t>
        </is>
      </c>
      <c r="C2017">
        <f>HYPERLINK("https://github.com/apache/storm/blob/master/storm-client/test/jvm/org/apache/storm/trident/TestTridentTopology.java")</f>
        <v/>
      </c>
      <c r="D2017" t="inlineStr">
        <is>
          <t>```plaintext
// This code is licensed under the Apache Software Foundation (ASF) license version 2.0. It may not be used except in compliance with this license. The ASF licenses it to you under the same license. You can obtain a copy of the License at http://www.apache.org/licenses/LICENSE-2.0 Unless</t>
        </is>
      </c>
      <c r="E2017" t="n">
        <v>0.0039</v>
      </c>
      <c r="F2017" t="n">
        <v>0.0645</v>
      </c>
      <c r="G2017" t="n">
        <v>0.1261</v>
      </c>
      <c r="H2017" t="inlineStr">
        <is>
          <t>This repository contains backend software components that implement core algorithms and data structures used by Apache Storm for distributed stream processing. The code is licensed under the Apache License 2.0 (see NOTICE file). It's a complex task to summarize this large amount of code as it covers various aspects such as licensing information, comments explaining functionality, complexity analysis, commits history etc., which are important</t>
        </is>
      </c>
      <c r="I2017" t="n">
        <v>0.004</v>
      </c>
      <c r="J2017" t="n">
        <v>0.1351</v>
      </c>
      <c r="K2017" t="n">
        <v>0.3135</v>
      </c>
      <c r="L2017" t="inlineStr">
        <is>
          <t>The provided code is a part of Apache Storm's Trident package and it appears to be implementing a Bolt in Java for use within the distributed stream processing system. 
 This bolt serves as an aggregator that summarizes incoming tuples based on their keys into one or more summary batches. It does this by maintaining stateful counters which increment every time</t>
        </is>
      </c>
      <c r="M2017" t="n">
        <v>0.0036</v>
      </c>
      <c r="N2017" t="n">
        <v>0.029</v>
      </c>
      <c r="O2017" t="n">
        <v>0.1515</v>
      </c>
    </row>
    <row r="2018">
      <c r="A2018" t="inlineStr">
        <is>
          <t>storm</t>
        </is>
      </c>
      <c r="B2018" t="inlineStr">
        <is>
          <t>storm-client/test/jvm/org/apache/storm/trident/TridentWindowingTest.java</t>
        </is>
      </c>
      <c r="C2018">
        <f>HYPERLINK("https://github.com/apache/storm/blob/master/storm-client/test/jvm/org/apache/storm/trident/TridentWindowingTest.java")</f>
        <v/>
      </c>
      <c r="D2018" t="inlineStr">
        <is>
          <t>This code is licensed under the Apache Software Foundation (ASF)'s Apache License, Version 2.0. It's a Java package named `org.apache.storm.trident` that contains classes for implementing windowed operations in Storm Trident framework. The license permits use of this software except when not compliant with the terms and conditions outlined in the license. A</t>
        </is>
      </c>
      <c r="E2018" t="n">
        <v>0.0046</v>
      </c>
      <c r="F2018" t="n">
        <v>0.1212</v>
      </c>
      <c r="G2018" t="n">
        <v>0.3</v>
      </c>
      <c r="H2018" t="inlineStr">
        <is>
          <t>The provided code is a Java implementation of an Apache Storm Trident windowed bolt that uses in memory windows store for storing and processing data within specified time intervals or windows. The complexity of this function appears to be O(n), where n represents the number of elements processed by the algorithm. It's worth noting that without additional context about how these algorithms are used, it's difficult to</t>
        </is>
      </c>
      <c r="I2018" t="n">
        <v>0.0027</v>
      </c>
      <c r="J2018" t="n">
        <v>0.0513</v>
      </c>
      <c r="K2018" t="n">
        <v>0.1439</v>
      </c>
      <c r="L2018" t="inlineStr">
        <is>
          <t>&lt;p&gt;This code is part of Apache Storm's Trident package and it defines a custom windowed bolt (`BaseWindowedBolt`). The purpose of this class seems to be to manage windows in the stream processing context by storing data temporarily for computation within specified time intervals or count based on certain conditions. This functionality can help optimize performance as it reduces the amount of</t>
        </is>
      </c>
      <c r="M2018" t="n">
        <v>0.0039</v>
      </c>
      <c r="N2018" t="n">
        <v>0.0563</v>
      </c>
      <c r="O2018" t="n">
        <v>0.1128</v>
      </c>
    </row>
    <row r="2019">
      <c r="A2019" t="inlineStr">
        <is>
          <t>storm</t>
        </is>
      </c>
      <c r="B2019" t="inlineStr">
        <is>
          <t>storm-client/test/jvm/org/apache/storm/testing/IntegrationTest.java</t>
        </is>
      </c>
      <c r="C2019">
        <f>HYPERLINK("https://github.com/apache/storm/blob/master/storm-client/test/jvm/org/apache/storm/testing/IntegrationTest.java")</f>
        <v/>
      </c>
      <c r="D2019" t="inlineStr">
        <is>
          <t>```plaintext
// This code is licensed under the Apache Software Foundation (ASF) license version 2.0. It's a Java annotation used for testing purposes in Apache Storm framework. The license grants permission to use this file except when not compliant with the terms of the license agreement at http://www.apache.org/licenses/LICENSE-2.</t>
        </is>
      </c>
      <c r="E2019" t="n">
        <v>0.0038</v>
      </c>
      <c r="F2019" t="n">
        <v>0.0635</v>
      </c>
      <c r="G2019" t="n">
        <v>0.125</v>
      </c>
      <c r="H2019" t="inlineStr">
        <is>
          <t>This repository contains backend software components that implement core algorithms used in the Storm system for distributed real time computation systems. The complexity of these functions is typically O(n), where n represents the size of the input data set. For instance, sorting a list or traversing through an array can be considered as linear operations and hence have a complexity of O(n). However, some specific cases may</t>
        </is>
      </c>
      <c r="I2019" t="n">
        <v>0.0038</v>
      </c>
      <c r="J2019" t="n">
        <v>0.1558</v>
      </c>
      <c r="K2019" t="n">
        <v>0.3068</v>
      </c>
      <c r="L2019" t="inlineStr">
        <is>
          <t>The provided code is a Java class that defines an annotation named "Test". This annotation has three elements - `value` (default value of the test method or class), `expected` (exception expected by the test case), and `timeout` (time limit for executing the test). 
 It inherits from java.lang.annotation package classes like ElementType, Ret</t>
        </is>
      </c>
      <c r="M2019" t="n">
        <v>0.0042</v>
      </c>
      <c r="N2019" t="n">
        <v>0.06560000000000001</v>
      </c>
      <c r="O2019" t="n">
        <v>0.0806</v>
      </c>
    </row>
    <row r="2020">
      <c r="A2020" t="inlineStr">
        <is>
          <t>storm</t>
        </is>
      </c>
      <c r="B2020" t="inlineStr">
        <is>
          <t>storm-client/test/jvm/org/apache/storm/testing/PerformanceTest.java</t>
        </is>
      </c>
      <c r="C2020">
        <f>HYPERLINK("https://github.com/apache/storm/blob/master/storm-client/test/jvm/org/apache/storm/testing/PerformanceTest.java")</f>
        <v/>
      </c>
      <c r="D2020" t="inlineStr">
        <is>
          <t>```plaintext
This repository contains backend software components that implement core algorithms for complex tasks and data structures. It is licensed under the Apache Software Foundation (ASF), with a copy of its license available at http://www.apache.org/licenses/LICENSE-2.0. The code size is 1000 lines long and it uses an O(N</t>
        </is>
      </c>
      <c r="E2020" t="n">
        <v>0.0055</v>
      </c>
      <c r="F2020" t="n">
        <v>0.1587</v>
      </c>
      <c r="G2020" t="n">
        <v>0.3583</v>
      </c>
      <c r="H2020" t="inlineStr">
        <is>
          <t>The code provided is a Java annotation that specifies the Apache License 2.0 for all files in this repository. It states that any modifications to these files must comply with the terms of this license. This includes distributing copies of them under certain conditions specified by the license. For more details about these conditions and their implications, please refer to http://www.apache.org/licenses/LIC</t>
        </is>
      </c>
      <c r="I2020" t="n">
        <v>0.0036</v>
      </c>
      <c r="J2020" t="n">
        <v>0.0533</v>
      </c>
      <c r="K2020" t="n">
        <v>0.0752</v>
      </c>
      <c r="L2020" t="inlineStr">
        <is>
          <t>The provided code is a Java class named "TestAnnotation". This class is annotated with the `@Inherited` annotation and has two other annotations - `@Retention` and `@Target`. 
 The purpose of this class seems to be for testing purposes only as indicated by its name (which suggests it might contain methods or fields that are used in unit</t>
        </is>
      </c>
      <c r="M2020" t="n">
        <v>0.0039</v>
      </c>
      <c r="N2020" t="n">
        <v>0.0635</v>
      </c>
      <c r="O2020" t="n">
        <v>0.1172</v>
      </c>
    </row>
    <row r="2021">
      <c r="A2021" t="inlineStr">
        <is>
          <t>storm</t>
        </is>
      </c>
      <c r="B2021" t="inlineStr">
        <is>
          <t>storm-client/test/jvm/org/apache/storm/security/serialization/BlowfishTupleSerializerTest.java</t>
        </is>
      </c>
      <c r="C2021">
        <f>HYPERLINK("https://github.com/apache/storm/blob/master/storm-client/test/jvm/org/apache/storm/security/serialization/BlowfishTupleSerializerTest.java")</f>
        <v/>
      </c>
      <c r="D2021" t="inlineStr">
        <is>
          <t>This code is licensed under the Apache Software Foundation (ASF), version 2.0 license. It's a serializer that uses Kryo library for object serialization and deserialization in an efficient manner. The License can be found at http://www.apache.org/licenses/LICENSE-2.0. This software may not be used except in</t>
        </is>
      </c>
      <c r="E2021" t="n">
        <v>0.0098</v>
      </c>
      <c r="F2021" t="n">
        <v>0.0984</v>
      </c>
      <c r="G2021" t="n">
        <v>0.2721</v>
      </c>
      <c r="H2021" t="inlineStr">
        <is>
          <t>This repository contains backend software components that implement core algorithms and data structures used in Apache Storm. The complexity of the code is O(n), where n represents the size of the input or number of elements to process. It's licensed under the Apache License 2.0. Please see the NOTICE file for additional information regarding copyright ownership.
In terms of functionality, this code provides</t>
        </is>
      </c>
      <c r="I2021" t="n">
        <v>0.0041</v>
      </c>
      <c r="J2021" t="n">
        <v>0.1351</v>
      </c>
      <c r="K2021" t="n">
        <v>0.3158</v>
      </c>
      <c r="L2021" t="inlineStr">
        <is>
          <t>```plaintext
The provided code is part of Apache Storm's security serialization package and it provides a Kryo based implementation for object serialization in the distributed stream processing system. The main purpose of this module is to provide efficient binary serialization and deserialization of Java objects using Kryo library which reduces memory footprint by only storing necessary data and supports polymorph</t>
        </is>
      </c>
      <c r="M2021" t="n">
        <v>0.0036</v>
      </c>
      <c r="N2021" t="n">
        <v>0.08699999999999999</v>
      </c>
      <c r="O2021" t="n">
        <v>0.1894</v>
      </c>
    </row>
    <row r="2022">
      <c r="A2022" t="inlineStr">
        <is>
          <t>storm</t>
        </is>
      </c>
      <c r="B2022" t="inlineStr">
        <is>
          <t>storm-client/test/jvm/org/apache/storm/security/auth/ThriftClientTest.java</t>
        </is>
      </c>
      <c r="C2022">
        <f>HYPERLINK("https://github.com/apache/storm/blob/master/storm-client/test/jvm/org/apache/storm/security/auth/ThriftClientTest.java")</f>
        <v/>
      </c>
      <c r="D2022" t="inlineStr">
        <is>
          <t>```python
# This code is licensed under the Apache Software Foundation (ASF) license version 2.0. It can be found at http://www.apache.org/licenses/LICENSE-2.0. The ASF licenses this file to you under the same license as the original work. You may not use this file except in compliance with the License</t>
        </is>
      </c>
      <c r="E2022" t="n">
        <v>0.0038</v>
      </c>
      <c r="F2022" t="n">
        <v>0.0635</v>
      </c>
      <c r="G2022" t="n">
        <v>0.125</v>
      </c>
      <c r="H2022" t="inlineStr">
        <is>
          <t>This repository contains backend software components implementing core algorithms used in the system. The complexity of these functions is O(n), where n represents the size of input data.
In this code base commit, a function named `add` was introduced which performs addition operation on two numbers. This function takes two parameters (a and b) representing the operands for the addition operation. It returns the</t>
        </is>
      </c>
      <c r="I2022" t="n">
        <v>0.004</v>
      </c>
      <c r="J2022" t="n">
        <v>0.1644</v>
      </c>
      <c r="K2022" t="n">
        <v>0.3135</v>
      </c>
      <c r="L2022" t="inlineStr">
        <is>
          <t>The provided code is a part of Apache Storm's security authentication package. It provides functionalities related to user authorization and authentication in the distributed stream processing system.
It appears to be implementing core algorithms for handling Thrift transport protocols which are used by Apache Storm for communication between nodes in its cluster. The main purpose seems to be managing users and their roles within an organization using Apache</t>
        </is>
      </c>
      <c r="M2022" t="n">
        <v>0.0032</v>
      </c>
      <c r="N2022" t="n">
        <v>0.0779</v>
      </c>
      <c r="O2022" t="n">
        <v>0.2254</v>
      </c>
    </row>
    <row r="2023">
      <c r="A2023" t="inlineStr">
        <is>
          <t>storm</t>
        </is>
      </c>
      <c r="B2023" t="inlineStr">
        <is>
          <t>storm-client/test/jvm/org/apache/storm/security/auth/ReqContextTest.java</t>
        </is>
      </c>
      <c r="C2023">
        <f>HYPERLINK("https://github.com/apache/storm/blob/master/storm-client/test/jvm/org/apache/storm/security/auth/ReqContextTest.java")</f>
        <v/>
      </c>
      <c r="D2023"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23" t="n">
        <v>0</v>
      </c>
      <c r="F2023" t="n">
        <v>0.0308</v>
      </c>
      <c r="G2023" t="n">
        <v>0.1163</v>
      </c>
      <c r="H2023" t="inlineStr">
        <is>
          <t>The provided code is a Java class for authentication and authorization in Apache Storm. It uses the Java Security framework to manage user roles and permissions. The complexity of this code seems to be O(n), where n refers to the number of users or groups defined in the system. Each principal (user or group) has its own set of roles which are managed through methods like `grantRole`</t>
        </is>
      </c>
      <c r="I2023" t="n">
        <v>0.0027</v>
      </c>
      <c r="J2023" t="n">
        <v>0.0263</v>
      </c>
      <c r="K2023" t="n">
        <v>0.1079</v>
      </c>
      <c r="L2023" t="inlineStr">
        <is>
          <t>The code you provided is a Java class for Apache Storm security authentication. It's responsible for handling user and host based security in the system.
Here are some key points about this functionality:
- This class extends `java.lang.Object` and implements `java.security.Principal` interface which means it has all methods of Principal as well as additional ones defined</t>
        </is>
      </c>
      <c r="M2023" t="n">
        <v>0.0043</v>
      </c>
      <c r="N2023" t="n">
        <v>0.0882</v>
      </c>
      <c r="O2023" t="n">
        <v>0.1172</v>
      </c>
    </row>
    <row r="2024">
      <c r="A2024" t="inlineStr">
        <is>
          <t>storm</t>
        </is>
      </c>
      <c r="B2024" t="inlineStr">
        <is>
          <t>storm-client/test/jvm/org/apache/storm/security/auth/TlsTransportPluginTest.java</t>
        </is>
      </c>
      <c r="C2024">
        <f>HYPERLINK("https://github.com/apache/storm/blob/master/storm-client/test/jvm/org/apache/storm/security/auth/TlsTransportPluginTest.java")</f>
        <v/>
      </c>
      <c r="D2024" t="inlineStr">
        <is>
          <t>The code provided is a Java class that implements authentication for Apache Storm using TLS (Transport Layer Security). It's licensed under the Apache License 2.0 and contains comments explaining its functionality and purpose. The code defines an interface `Authenticator` which provides methods to authenticate users with Nimbus server. This implementation uses Transport Level Security protocol to ensure secure communication between client and</t>
        </is>
      </c>
      <c r="E2024" t="n">
        <v>0.0074</v>
      </c>
      <c r="F2024" t="n">
        <v>0.0833</v>
      </c>
      <c r="G2024" t="n">
        <v>0.1493</v>
      </c>
      <c r="H2024" t="inlineStr">
        <is>
          <t>ThisJavaStormproject'ssourcecoderesidesintheApacheSoftwareFoundation(ASF).Itfeaturesacomplextoolsetdesignedspecificallyfordesigningrealworlddataflowtopologies.Includedinsourcecoderepositoryarevariousfilesincludingmainclasses,utilitymethods,configurationparametersetc.Thecomplexityofoperatingonsomemachinecanv</t>
        </is>
      </c>
      <c r="I2024" t="n">
        <v>0</v>
      </c>
      <c r="J2024" t="n">
        <v>0</v>
      </c>
      <c r="K2024" t="n">
        <v>0</v>
      </c>
      <c r="L2024" t="inlineStr">
        <is>
          <t>The provided code is a part of Apache Storm's security authentication module. It imports necessary classes and packages for the implementation of user authorization with TLS (Transport Layer Security). The main purpose appears to be creating an instance of `UserAuthorizer` class that uses a HashMap as its data structure to store users and their roles in Nimbus cluster. 
It</t>
        </is>
      </c>
      <c r="M2024" t="n">
        <v>0.0031</v>
      </c>
      <c r="N2024" t="n">
        <v>0.0882</v>
      </c>
      <c r="O2024" t="n">
        <v>0.1145</v>
      </c>
    </row>
    <row r="2025">
      <c r="A2025" t="inlineStr">
        <is>
          <t>storm</t>
        </is>
      </c>
      <c r="B2025" t="inlineStr">
        <is>
          <t>storm-client/test/jvm/org/apache/storm/security/auth/SubjectCompatTest.java</t>
        </is>
      </c>
      <c r="C2025">
        <f>HYPERLINK("https://github.com/apache/storm/blob/master/storm-client/test/jvm/org/apache/storm/security/auth/SubjectCompatTest.java")</f>
        <v/>
      </c>
      <c r="D2025"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25" t="n">
        <v>0</v>
      </c>
      <c r="F2025" t="n">
        <v>0.0312</v>
      </c>
      <c r="G2025" t="n">
        <v>0.1172</v>
      </c>
      <c r="H2025" t="inlineStr">
        <is>
          <t>The provided code is a simple function named `add` which takes two parameters (numbers), adds them together and returns the result. It has a time complexity of O(1).
```java
public class Main {
    public static int add(int a, int b){
        return a + b;  // Adds 'a' and 'b', then returns</t>
        </is>
      </c>
      <c r="I2025" t="n">
        <v>0.0036</v>
      </c>
      <c r="J2025" t="n">
        <v>0.06900000000000001</v>
      </c>
      <c r="K2025" t="n">
        <v>0.0813</v>
      </c>
      <c r="L2025" t="inlineStr">
        <is>
          <t>```plaintext
This code is part of Apache Storm's security authentication module and it provides a method for authenticating users based on their subject information using the Java Security API (JSA). 
It contains one main class `AuthUtils` with two methods - `authenticateUser()` which takes in an input stream containing user credentials and returns whether or not the</t>
        </is>
      </c>
      <c r="M2025" t="n">
        <v>0.0043</v>
      </c>
      <c r="N2025" t="n">
        <v>0.09379999999999999</v>
      </c>
      <c r="O2025" t="n">
        <v>0.1563</v>
      </c>
    </row>
    <row r="2026">
      <c r="A2026" t="inlineStr">
        <is>
          <t>storm</t>
        </is>
      </c>
      <c r="B2026" t="inlineStr">
        <is>
          <t>storm-client/test/jvm/org/apache/storm/security/auth/SaslTransportPluginTest.java</t>
        </is>
      </c>
      <c r="C2026">
        <f>HYPERLINK("https://github.com/apache/storm/blob/master/storm-client/test/jvm/org/apache/storm/security/auth/SaslTransportPluginTest.java")</f>
        <v/>
      </c>
      <c r="D2026"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26" t="n">
        <v>0</v>
      </c>
      <c r="F2026" t="n">
        <v>0.0308</v>
      </c>
      <c r="G2026" t="n">
        <v>0.1163</v>
      </c>
      <c r="H2026" t="inlineStr">
        <is>
          <t>This repository contains backend software components that implement core algorithms and data structures used in the Storm platform for distributed real-time computation systems. The complexity of these operations can vary depending on the specific algorithm or structure being implemented. For instance, a simple addition operation might have a time complexity of O(1), while more complex ones may involve loops or recursion leading to higher complexities such as O(n</t>
        </is>
      </c>
      <c r="I2026" t="n">
        <v>0.0038</v>
      </c>
      <c r="J2026" t="n">
        <v>0.1266</v>
      </c>
      <c r="K2026" t="n">
        <v>0.3046</v>
      </c>
      <c r="L2026" t="inlineStr">
        <is>
          <t>```java
// This Java code is part of Apache Storm's security authentication module and provides SASL transport plugins for secure communication in distributed systems. 
// The main purpose of this code is to implement the necessary methods required by a SASL Transport Plugin interface which includes 'init', 'evaluateResponse', and 'cleanup'. 
// It takes an</t>
        </is>
      </c>
      <c r="M2026" t="n">
        <v>0.0045</v>
      </c>
      <c r="N2026" t="n">
        <v>0.1333</v>
      </c>
      <c r="O2026" t="n">
        <v>0.1984</v>
      </c>
    </row>
    <row r="2027">
      <c r="A2027" t="inlineStr">
        <is>
          <t>storm</t>
        </is>
      </c>
      <c r="B2027" t="inlineStr">
        <is>
          <t>storm-client/test/jvm/org/apache/storm/security/auth/TestingITransportPlugin.java</t>
        </is>
      </c>
      <c r="C2027">
        <f>HYPERLINK("https://github.com/apache/storm/blob/master/storm-client/test/jvm/org/apache/storm/security/auth/TestingITransportPlugin.java")</f>
        <v/>
      </c>
      <c r="D2027"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27" t="n">
        <v>0</v>
      </c>
      <c r="F2027" t="n">
        <v>0.0312</v>
      </c>
      <c r="G2027" t="n">
        <v>0.1172</v>
      </c>
      <c r="H2027" t="inlineStr">
        <is>
          <t>ThisJavaStormlibraryrequiresauthenticationfromclients.ItusesThriftprotocoltoprocessrequestsandsendsresponsesbetweenclientandserver. The code provided is a part of the authentication module which implements user and password based authentication for Storm clusters. It uses Apache Thrift to define an interface (`IAuthenticator`), processes requests using `TProcessors`</t>
        </is>
      </c>
      <c r="I2027" t="n">
        <v>0.0072</v>
      </c>
      <c r="J2027" t="n">
        <v>0.1395</v>
      </c>
      <c r="K2027" t="n">
        <v>0.1887</v>
      </c>
      <c r="L2027" t="inlineStr">
        <is>
          <t>The provided code is a part of Apache Storm's security authentication module. It defines an interface for user authorization and authentication in the system using Thrift RPC framework. The main purpose of this code seems to be defining a server processor that handles requests related to user credentials verification or management.
Here are some key operations performed by this code: 
1. Defines</t>
        </is>
      </c>
      <c r="M2027" t="n">
        <v>0.0029</v>
      </c>
      <c r="N2027" t="n">
        <v>0.0563</v>
      </c>
      <c r="O2027" t="n">
        <v>0.1119</v>
      </c>
    </row>
    <row r="2028">
      <c r="A2028" t="inlineStr">
        <is>
          <t>storm</t>
        </is>
      </c>
      <c r="B2028" t="inlineStr">
        <is>
          <t>storm-client/test/jvm/org/apache/storm/security/auth/AutoSSLTest.java</t>
        </is>
      </c>
      <c r="C2028">
        <f>HYPERLINK("https://github.com/apache/storm/blob/master/storm-client/test/jvm/org/apache/storm/security/auth/AutoSSLTest.java")</f>
        <v/>
      </c>
      <c r="D2028" t="inlineStr">
        <is>
          <t>```plaintext
This code is licensed under the Apache Software Foundation (ASF), which allows for one or more contributors to license this file under its own terms and conditions. The ASF licenses this file to you under the Apache License, Version 2.0 (the "License"). You may not use this file except in compliance with the License. You can obtain a</t>
        </is>
      </c>
      <c r="E2028" t="n">
        <v>0.0037</v>
      </c>
      <c r="F2028" t="n">
        <v>0.0882</v>
      </c>
      <c r="G2028" t="n">
        <v>0.1527</v>
      </c>
      <c r="H2028" t="inlineStr">
        <is>
          <t>This repository contains backend software components that implement core algorithms. The complexity of the code is O(N), where N represents the number of lines in the file. It's licensed under Apache License 2.0 and you may not use this file except in compliance with the license. You can obtain a copy at http://www.apache.org/licenses/LICENSE-2.0</t>
        </is>
      </c>
      <c r="I2028" t="n">
        <v>0.0049</v>
      </c>
      <c r="J2028" t="n">
        <v>0.1408</v>
      </c>
      <c r="K2028" t="n">
        <v>0.3411</v>
      </c>
      <c r="L2028" t="inlineStr">
        <is>
          <t>```plaintext
This code is part of Apache Storm's security authentication package and it provides functionality for user authentication based on a list of authorized users stored in a file. The main purpose of the code is to authenticate users by comparing their usernames with those listed in an external text file. 
Inputs are the username (String type) that needs to be</t>
        </is>
      </c>
      <c r="M2028" t="n">
        <v>0.0039</v>
      </c>
      <c r="N2028" t="n">
        <v>0.0571</v>
      </c>
      <c r="O2028" t="n">
        <v>0.1128</v>
      </c>
    </row>
    <row r="2029">
      <c r="A2029" t="inlineStr">
        <is>
          <t>storm</t>
        </is>
      </c>
      <c r="B2029" t="inlineStr">
        <is>
          <t>storm-client/test/jvm/org/apache/storm/security/auth/AuthUtilsTestMock.java</t>
        </is>
      </c>
      <c r="C2029">
        <f>HYPERLINK("https://github.com/apache/storm/blob/master/storm-client/test/jvm/org/apache/storm/security/auth/AuthUtilsTestMock.java")</f>
        <v/>
      </c>
      <c r="D2029" t="inlineStr">
        <is>
          <t>```plaintext
This code is licensed under the Apache Software Foundation (ASF)'s license version 2.0. It's a Java package for implementing authentication plugins in Storm distributed system. The software can be used subject to compliance with the terms of the License at http://www.apache.org/licenses/LICENSE-2.0. This includes obtaining a</t>
        </is>
      </c>
      <c r="E2029" t="n">
        <v>0.0048</v>
      </c>
      <c r="F2029" t="n">
        <v>0.09379999999999999</v>
      </c>
      <c r="G2029" t="n">
        <v>0.1695</v>
      </c>
      <c r="H2029" t="inlineStr">
        <is>
          <t>This repository contains backend software components which implement core algorithms. The complexity is O(n), where n represents the number of plugins in a set. Each plugin implements an interface for Nimbus to authenticate and authorize client requests. Licensed under Apache License 2.0 (see http://www.apache.org/licenses/LICENSE-2.0). Unless required by applicable</t>
        </is>
      </c>
      <c r="I2029" t="n">
        <v>0.0057</v>
      </c>
      <c r="J2029" t="n">
        <v>0.1538</v>
      </c>
      <c r="K2029" t="n">
        <v>0.2083</v>
      </c>
      <c r="L2029" t="inlineStr">
        <is>
          <t>```plaintext
This code is a Java implementation of an authentication plugin for Apache Storm's Nimbus component. The purpose of this class is to provide credentials based on the user's subject and roles in order to authenticate users during distributed computing tasks. 
It does so by implementing the INimbusCredentialPlugin interface which requires two methods - getPrincip</t>
        </is>
      </c>
      <c r="M2029" t="n">
        <v>0.004</v>
      </c>
      <c r="N2029" t="n">
        <v>0.09379999999999999</v>
      </c>
      <c r="O2029" t="n">
        <v>0.1575</v>
      </c>
    </row>
    <row r="2030">
      <c r="A2030" t="inlineStr">
        <is>
          <t>storm</t>
        </is>
      </c>
      <c r="B2030" t="inlineStr">
        <is>
          <t>storm-client/test/jvm/org/apache/storm/security/auth/X509CertPrincipalToLocalTest.java</t>
        </is>
      </c>
      <c r="C2030">
        <f>HYPERLINK("https://github.com/apache/storm/blob/master/storm-client/test/jvm/org/apache/storm/security/auth/X509CertPrincipalToLocalTest.java")</f>
        <v/>
      </c>
      <c r="D2030" t="inlineStr">
        <is>
          <t>```plaintext
This repository contains backend software components for Apache Storm, a distributed real-time computation system. The code is licensed under the Apache License 2.0 and can be found at http://www.apache.org/licenses/LICENSE-2.0. It's used to implement security features related to access control in the system. However, it doesn</t>
        </is>
      </c>
      <c r="E2030" t="n">
        <v>0.0053</v>
      </c>
      <c r="F2030" t="n">
        <v>0.09379999999999999</v>
      </c>
      <c r="G2030" t="n">
        <v>0.2119</v>
      </c>
      <c r="H2030" t="inlineStr">
        <is>
          <t>This repository contains backend software components that implement core algorithms and data structures used in the Apache Storm project for distributed real-time computation systems. The code is licensed under the Apache Software Foundation (ASF) license version 2.0. It includes a test case to verify correct functionality of these components before they are integrated into the main code base.
The add function you provided has an O</t>
        </is>
      </c>
      <c r="I2030" t="n">
        <v>0.0041</v>
      </c>
      <c r="J2030" t="n">
        <v>0.1316</v>
      </c>
      <c r="K2030" t="n">
        <v>0.309</v>
      </c>
      <c r="L2030" t="inlineStr">
        <is>
          <t>The provided code is a Java class named `AuthUtils` which contains several methods for authentication and authorization purposes in an Apache Storm application. 
Here's the summary of its functionality:
1. It uses HashMaps to store user credentials (username -&gt; password).
2. There are two main methods: `authenticateUser()` checks if a given</t>
        </is>
      </c>
      <c r="M2030" t="n">
        <v>0.0036</v>
      </c>
      <c r="N2030" t="n">
        <v>0.0339</v>
      </c>
      <c r="O2030" t="n">
        <v>0.0813</v>
      </c>
    </row>
    <row r="2031">
      <c r="A2031" t="inlineStr">
        <is>
          <t>storm</t>
        </is>
      </c>
      <c r="B2031" t="inlineStr">
        <is>
          <t>storm-client/test/jvm/org/apache/storm/security/auth/ClientAuthUtilsTest.java</t>
        </is>
      </c>
      <c r="C2031">
        <f>HYPERLINK("https://github.com/apache/storm/blob/master/storm-client/test/jvm/org/apache/storm/security/auth/ClientAuthUtilsTest.java")</f>
        <v/>
      </c>
      <c r="D2031" t="inlineStr">
        <is>
          <t>&lt;!-- This repository contains backend software components written in Java. The code complexity is O(n), where n represents the number of files or nodes in a graph structure. It implements core algorithms for security authentication and authorization purposes. There are initial commits to this code base. The size of the code base is 1000 lines.--&gt;
```python
# Licensed</t>
        </is>
      </c>
      <c r="E2031" t="n">
        <v>0.008399999999999999</v>
      </c>
      <c r="F2031" t="n">
        <v>0.1538</v>
      </c>
      <c r="G2031" t="n">
        <v>0.2862</v>
      </c>
      <c r="H2031" t="inlineStr">
        <is>
          <t>This repository contains backend software components that implement core algorithms and data structures used in Apache Storm. The complexity of the code is O(n), where n represents the number of elements being processed by the algorithm or function.
The main file `SecurityAuthUtils` imports several Java classes for handling files, collections, arrays etc., but it does not contain any explicit logic to add numbers as</t>
        </is>
      </c>
      <c r="I2031" t="n">
        <v>0.004</v>
      </c>
      <c r="J2031" t="n">
        <v>0.1644</v>
      </c>
      <c r="K2031" t="n">
        <v>0.3135</v>
      </c>
      <c r="L2031" t="inlineStr">
        <is>
          <t>This code is part of Apache Storm's security authentication package and it handles user authorization for a distributed system. It uses file I/O to read users from files and their roles in the system. The main purpose of this class seems to be managing permissions based on these role assignments.
The function `getUsers` reads all the users from a directory and returns them as a map</t>
        </is>
      </c>
      <c r="M2031" t="n">
        <v>0.0033</v>
      </c>
      <c r="N2031" t="n">
        <v>0.0789</v>
      </c>
      <c r="O2031" t="n">
        <v>0.1087</v>
      </c>
    </row>
    <row r="2032">
      <c r="A2032" t="inlineStr">
        <is>
          <t>storm</t>
        </is>
      </c>
      <c r="B2032" t="inlineStr">
        <is>
          <t>storm-client/test/jvm/org/apache/storm/security/auth/MultiThriftServerTest.java</t>
        </is>
      </c>
      <c r="C2032">
        <f>HYPERLINK("https://github.com/apache/storm/blob/master/storm-client/test/jvm/org/apache/storm/security/auth/MultiThriftServerTest.java")</f>
        <v/>
      </c>
      <c r="D2032"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32" t="n">
        <v>0</v>
      </c>
      <c r="F2032" t="n">
        <v>0.0308</v>
      </c>
      <c r="G2032" t="n">
        <v>0.1163</v>
      </c>
      <c r="H2032" t="inlineStr">
        <is>
          <t>This repository contains backend software components that implement core algorithms and data structures used by the Apache Storm system for distributed real-time computation tasks. The code is licensed under the Apache License 2.0 which allows it to be freely used, modified, and distributed as long as proper attribution is given and compliance with the license terms are maintained.
Please provide a concise, clear, and</t>
        </is>
      </c>
      <c r="I2032" t="n">
        <v>0.004</v>
      </c>
      <c r="J2032" t="n">
        <v>0.1351</v>
      </c>
      <c r="K2032" t="n">
        <v>0.3135</v>
      </c>
      <c r="L2032" t="inlineStr">
        <is>
          <t>This code is part of Apache Storm's security authentication package and it contains a class for Nimbus (a component in the distributed stream processing system). The main purpose of this class seems to be managing user authorization based on roles assigned by an external source.
It takes inputs such as User IDs and role assignments from various sources, processes them, and then uses these data points</t>
        </is>
      </c>
      <c r="M2032" t="n">
        <v>0.0033</v>
      </c>
      <c r="N2032" t="n">
        <v>0.0533</v>
      </c>
      <c r="O2032" t="n">
        <v>0.1087</v>
      </c>
    </row>
    <row r="2033">
      <c r="A2033" t="inlineStr">
        <is>
          <t>storm</t>
        </is>
      </c>
      <c r="B2033" t="inlineStr">
        <is>
          <t>storm-client/test/jvm/org/apache/storm/security/auth/ShellBasedGroupsMappingTest.java</t>
        </is>
      </c>
      <c r="C2033">
        <f>HYPERLINK("https://github.com/apache/storm/blob/master/storm-client/test/jvm/org/apache/storm/security/auth/ShellBasedGroupsMappingTest.java")</f>
        <v/>
      </c>
      <c r="D2033" t="inlineStr">
        <is>
          <t>```plaintext
This repository contains backend software components that implement core algorithms used in Apache Storm for distributed real-time processing systems. The code is licensed under the Apache License 2.0 and can be found at http://www.apache.org/licenses/LICENSE-2.0. It's a complex piece of code with complexity O(N), where N</t>
        </is>
      </c>
      <c r="E2033" t="n">
        <v>0.0057</v>
      </c>
      <c r="F2033" t="n">
        <v>0.1538</v>
      </c>
      <c r="G2033" t="n">
        <v>0.3613</v>
      </c>
      <c r="H2033" t="inlineStr">
        <is>
          <t>This repository contains backend software components that implement core algorithms. The complexity of the code is O(n), where n represents the number of elements in a collection or operations performed on an object. It's important to note that this does not include any external dependencies or libraries which could have their own complexities.
In terms of functionality, it appears to be handling user authentication and authorization</t>
        </is>
      </c>
      <c r="I2033" t="n">
        <v>0.0039</v>
      </c>
      <c r="J2033" t="n">
        <v>0.1579</v>
      </c>
      <c r="K2033" t="n">
        <v>0.2696</v>
      </c>
      <c r="L2033" t="inlineStr">
        <is>
          <t>```python
# This is a Java code file implementing the authentication system for Apache Storm using Kerberos protocol. 
# The main purpose of this class appears to be managing user credentials and authenticating users based on their roles in the system.
class KerbAuthenticator {
    // Hashmap storing username as key and password hash as value</t>
        </is>
      </c>
      <c r="M2033" t="n">
        <v>0.004</v>
      </c>
      <c r="N2033" t="n">
        <v>0.1017</v>
      </c>
      <c r="O2033" t="n">
        <v>0.1575</v>
      </c>
    </row>
    <row r="2034">
      <c r="A2034" t="inlineStr">
        <is>
          <t>storm</t>
        </is>
      </c>
      <c r="B2034" t="inlineStr">
        <is>
          <t>storm-client/test/jvm/org/apache/storm/security/auth/kerberos/AutoLoginModuleTest.java</t>
        </is>
      </c>
      <c r="C2034">
        <f>HYPERLINK("https://github.com/apache/storm/blob/master/storm-client/test/jvm/org/apache/storm/security/auth/kerberos/AutoLoginModuleTest.java")</f>
        <v/>
      </c>
      <c r="D2034" t="inlineStr">
        <is>
          <t>```plaintext
This is a Java code snippet for Apache Storm's Kerberos authentication module. It includes the AutoTGTKrb5LoginModule class and its associated test case (AutoTGTKrb5LoginModuleTest). 
It uses JUnit 5 framework for testing and Mockito library to mock objects in tests. The main functionality of</t>
        </is>
      </c>
      <c r="E2034" t="n">
        <v>0.0056</v>
      </c>
      <c r="F2034" t="n">
        <v>0.1154</v>
      </c>
      <c r="G2034" t="n">
        <v>0.1304</v>
      </c>
      <c r="H2034" t="inlineStr">
        <is>
          <t>This repository contains backend software components that implement core algorithms. The complexity of the code is O(N), where N represents the number of lines in the file. It includes a Kerberos authentication module for handling user and machine identities securely.
Please note that this code base size is 1000 lines long. Each line should be reviewed to ensure it meets best</t>
        </is>
      </c>
      <c r="I2034" t="n">
        <v>0.0045</v>
      </c>
      <c r="J2034" t="n">
        <v>0.1429</v>
      </c>
      <c r="K2034" t="n">
        <v>0.3206</v>
      </c>
      <c r="L2034" t="inlineStr">
        <is>
          <t>The code provided is a Java implementation of the Kerberos authentication protocol using Apache Storm framework for distributed computing. 
It includes two classes and one test class that are used to handle automatic generation of Ticket Granting Tickets (TGT) during Kerberos login process. The main purpose of this code seems to be testing these functionalities with Mockito library. It</t>
        </is>
      </c>
      <c r="M2034" t="n">
        <v>0.0031</v>
      </c>
      <c r="N2034" t="n">
        <v>0.0597</v>
      </c>
      <c r="O2034" t="n">
        <v>0.1527</v>
      </c>
    </row>
    <row r="2035">
      <c r="A2035" t="inlineStr">
        <is>
          <t>storm</t>
        </is>
      </c>
      <c r="B2035" t="inlineStr">
        <is>
          <t>storm-client/test/jvm/org/apache/storm/security/auth/authorizer/DRPCSimpleACLAuthorizerTest.java</t>
        </is>
      </c>
      <c r="C2035">
        <f>HYPERLINK("https://github.com/apache/storm/blob/master/storm-client/test/jvm/org/apache/storm/security/auth/authorizer/DRPCSimpleACLAuthorizerTest.java")</f>
        <v/>
      </c>
      <c r="D2035"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35" t="n">
        <v>0</v>
      </c>
      <c r="F2035" t="n">
        <v>0.0308</v>
      </c>
      <c r="G2035" t="n">
        <v>0.1163</v>
      </c>
      <c r="H2035" t="inlineStr">
        <is>
          <t>The code provided is a simple function for addition of two numbers in Python language. It takes two parameters 'a' and 'b', adds them together and returns the result. This operation has a time complexity of O(1), meaning it performs a constant number of operations regardless of input size.
Here is its summary: 
```python
# Licensed to the Apache Software Foundation</t>
        </is>
      </c>
      <c r="I2035" t="n">
        <v>0.0036</v>
      </c>
      <c r="J2035" t="n">
        <v>0.058</v>
      </c>
      <c r="K2035" t="n">
        <v>0.1504</v>
      </c>
      <c r="L2035" t="inlineStr">
        <is>
          <t>The provided code is a part of Apache Storm's security authorization system. It defines an interface called "Authorizer", which has two methods - `initialize` and `getUserToRolesMap`. 
The purpose of the class seems to be to provide user roles based on their authentication status. When initialized with a file path, it reads from that file for configuration</t>
        </is>
      </c>
      <c r="M2035" t="n">
        <v>0.0033</v>
      </c>
      <c r="N2035" t="n">
        <v>0.0312</v>
      </c>
      <c r="O2035" t="n">
        <v>0.0781</v>
      </c>
    </row>
    <row r="2036">
      <c r="A2036" t="inlineStr">
        <is>
          <t>storm</t>
        </is>
      </c>
      <c r="B2036" t="inlineStr">
        <is>
          <t>storm-client/test/jvm/org/apache/storm/security/auth/authorizer/SimpleACLAuthorizerTest.java</t>
        </is>
      </c>
      <c r="C2036">
        <f>HYPERLINK("https://github.com/apache/storm/blob/master/storm-client/test/jvm/org/apache/storm/security/auth/authorizer/SimpleACLAuthorizerTest.java")</f>
        <v/>
      </c>
      <c r="D2036"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36" t="n">
        <v>0</v>
      </c>
      <c r="F2036" t="n">
        <v>0.0308</v>
      </c>
      <c r="G2036" t="n">
        <v>0.1163</v>
      </c>
      <c r="H2036" t="inlineStr">
        <is>
          <t>The code provided is a Java class that implements an interface for authorization in Apache Storm security framework. It's licensed under the Apache License 2.0 and contains comments explaining its functionality along with licensing information. The complexity of this function appears to be O(N), where N represents the number of groups or users managed by the system. This implementation involves mapping service providers which could involve complex</t>
        </is>
      </c>
      <c r="I2036" t="n">
        <v>0.0038</v>
      </c>
      <c r="J2036" t="n">
        <v>0.0513</v>
      </c>
      <c r="K2036" t="n">
        <v>0.1439</v>
      </c>
      <c r="L2036" t="inlineStr">
        <is>
          <t>The provided code is a Java class named `StormSecurityAuth` which implements the interface `IAuthorizer` from Apache Storm's security package for authorization purposes in distributed systems. It uses an instance of `IGroupMappingServiceProvider` to map users and groups with their corresponding permissions. 
 This class has two main methods namely `prepare` and `authorize</t>
        </is>
      </c>
      <c r="M2036" t="n">
        <v>0.0048</v>
      </c>
      <c r="N2036" t="n">
        <v>0.0678</v>
      </c>
      <c r="O2036" t="n">
        <v>0.1639</v>
      </c>
    </row>
    <row r="2037">
      <c r="A2037" t="inlineStr">
        <is>
          <t>storm</t>
        </is>
      </c>
      <c r="B2037" t="inlineStr">
        <is>
          <t>storm-client/test/jvm/org/apache/storm/messaging/DeserializingConnectionCallbackTest.java</t>
        </is>
      </c>
      <c r="C2037">
        <f>HYPERLINK("https://github.com/apache/storm/blob/master/storm-client/test/jvm/org/apache/storm/messaging/DeserializingConnectionCallbackTest.java")</f>
        <v/>
      </c>
      <c r="D2037"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37" t="n">
        <v>0</v>
      </c>
      <c r="F2037" t="n">
        <v>0.0312</v>
      </c>
      <c r="G2037" t="n">
        <v>0.1172</v>
      </c>
      <c r="H2037" t="inlineStr">
        <is>
          <t>This code is licensed under the Apache Software Foundation (ASF), which requires you to comply with its contributors' license agreements. The ASF licenses this file to you under the Apache License, Version 2.0 (the "License"). You may not use this file except in compliance with the License. You can obtain a copy of the License at http://www.apache.org/</t>
        </is>
      </c>
      <c r="I2037" t="n">
        <v>0.0032</v>
      </c>
      <c r="J2037" t="n">
        <v>0.058</v>
      </c>
      <c r="K2037" t="n">
        <v>0.1163</v>
      </c>
      <c r="L2037" t="inlineStr">
        <is>
          <t>This code is part of Apache Storm's messaging system and it seems to be handling the state management for workers in a distributed computing environment. 
It defines two classes `Message` and `TaskInfo` which are used as data structures for message passing within the topology. The main class `WorkerStateManager` manages worker states by storing them in an instance variable called</t>
        </is>
      </c>
      <c r="M2037" t="n">
        <v>0.0037</v>
      </c>
      <c r="N2037" t="n">
        <v>0.0588</v>
      </c>
      <c r="O2037" t="n">
        <v>0.1145</v>
      </c>
    </row>
    <row r="2038">
      <c r="A2038" t="inlineStr">
        <is>
          <t>storm</t>
        </is>
      </c>
      <c r="B2038" t="inlineStr">
        <is>
          <t>storm-client/test/jvm/org/apache/storm/dependency/DependencyPropertiesParserTest.java</t>
        </is>
      </c>
      <c r="C2038">
        <f>HYPERLINK("https://github.com/apache/storm/blob/master/storm-client/test/jvm/org/apache/storm/dependency/DependencyPropertiesParserTest.java")</f>
        <v/>
      </c>
      <c r="D2038"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38" t="n">
        <v>0</v>
      </c>
      <c r="F2038" t="n">
        <v>0.0308</v>
      </c>
      <c r="G2038" t="n">
        <v>0.1163</v>
      </c>
      <c r="H2038" t="inlineStr">
        <is>
          <t>This repository contains backend software components that implement core algorithms. The complexity of the code is O(N), where N represents the number of dependencies in a project. Each dependency can be added to the classpath and used by the application during runtime.
Please note that this file (`README.md`) is licensed under Apache License Version 2.0 as stated at http://</t>
        </is>
      </c>
      <c r="I2038" t="n">
        <v>0.0044</v>
      </c>
      <c r="J2038" t="n">
        <v>0.1429</v>
      </c>
      <c r="K2038" t="n">
        <v>0.3255</v>
      </c>
      <c r="L2038" t="inlineStr">
        <is>
          <t>The code provided is a Java class that imports necessary dependencies for Apache Storm and uses JSON parsing functionality from the minidev library to parse JSON files into maps or lists of objects based on their structure. 
It has two main methods: `parseJsonToObject` which takes in a file path as input and returns an object parsed from the json file, and `parseJson</t>
        </is>
      </c>
      <c r="M2038" t="n">
        <v>0.0035</v>
      </c>
      <c r="N2038" t="n">
        <v>0.0571</v>
      </c>
      <c r="O2038" t="n">
        <v>0.0746</v>
      </c>
    </row>
    <row r="2039">
      <c r="A2039" t="inlineStr">
        <is>
          <t>storm</t>
        </is>
      </c>
      <c r="B2039" t="inlineStr">
        <is>
          <t>storm-client/test/jvm/org/apache/storm/dependency/DependencyUploaderTest.java</t>
        </is>
      </c>
      <c r="C2039">
        <f>HYPERLINK("https://github.com/apache/storm/blob/master/storm-client/test/jvm/org/apache/storm/dependency/DependencyUploaderTest.java")</f>
        <v/>
      </c>
      <c r="D2039" t="inlineStr">
        <is>
          <t>```plaintext
This code is licensed under the Apache Software Foundation (ASF)'s license version 2.0. It can be used by you in compliance with this License at http://www.apache.org/licenses/LICENSE-2.0. The ASF licenses this file to you under the same conditions as stated above without any additional limitations or exceptions</t>
        </is>
      </c>
      <c r="E2039" t="n">
        <v>0.0039</v>
      </c>
      <c r="F2039" t="n">
        <v>0.0625</v>
      </c>
      <c r="G2039" t="n">
        <v>0.1261</v>
      </c>
      <c r="H2039" t="inlineStr">
        <is>
          <t>This repository contains backend software components that implement core algorithms. The complexity of the code is O(n), where n represents the number of files in this directory and its subdirectories. Each file's size ranges from 1 to 1000 lines, with most files containing a few hundred lines of Java code.
Each line of code follows standard coding conventions and best</t>
        </is>
      </c>
      <c r="I2039" t="n">
        <v>0.0043</v>
      </c>
      <c r="J2039" t="n">
        <v>0.1429</v>
      </c>
      <c r="K2039" t="n">
        <v>0.2818</v>
      </c>
      <c r="L2039" t="inlineStr">
        <is>
          <t>The provided code is part of Apache Storm's dependency management system and it handles the writing of dependencies to a file named "dependencies". It does this by creating an instance of `DependencyHandler` which takes in a list of dependencies as input during initialization. The main functionality of this class revolves around two methods - `writeDependenciesToFile()` and `getAllDependenciesAsList</t>
        </is>
      </c>
      <c r="M2039" t="n">
        <v>0.0038</v>
      </c>
      <c r="N2039" t="n">
        <v>0.09229999999999999</v>
      </c>
      <c r="O2039" t="n">
        <v>0.1163</v>
      </c>
    </row>
    <row r="2040">
      <c r="A2040" t="inlineStr">
        <is>
          <t>storm</t>
        </is>
      </c>
      <c r="B2040" t="inlineStr">
        <is>
          <t>storm-client/test/jvm/org/apache/storm/metrics2/RollingAverageGaugeTest.java</t>
        </is>
      </c>
      <c r="C2040">
        <f>HYPERLINK("https://github.com/apache/storm/blob/master/storm-client/test/jvm/org/apache/storm/metrics2/RollingAverageGaugeTest.java")</f>
        <v/>
      </c>
      <c r="D2040" t="inlineStr">
        <is>
          <t>This repository contains backend software components that implement core algorithms for calculating rolling averages in a distributed system like Apache Storm. The complexity of the code is O(n), where n represents the number of elements being processed. There are no comments provided but it seems to be implementing some form of algorithm or data structure related to time series analysis. 
    It's licensed under</t>
        </is>
      </c>
      <c r="E2040" t="n">
        <v>0.0038</v>
      </c>
      <c r="F2040" t="n">
        <v>0.1096</v>
      </c>
      <c r="G2040" t="n">
        <v>0.1481</v>
      </c>
      <c r="H2040" t="inlineStr">
        <is>
          <t>The code provided is a simple function for addition of two numbers in Java. It's named `add` and takes two parameters (numbers to be added), adds them together and returns the result. The time complexity of this operation is O(1).
Here are some key points about it:
- This function accepts two arguments which can be integers or floating point numbers.</t>
        </is>
      </c>
      <c r="I2040" t="n">
        <v>0.0036</v>
      </c>
      <c r="J2040" t="n">
        <v>0.0571</v>
      </c>
      <c r="K2040" t="n">
        <v>0.1128</v>
      </c>
      <c r="L2040" t="inlineStr">
        <is>
          <t>This code is a test for the Rolling Average Gauge class in Apache Storm. The purpose of this test is to verify that the `getAvg` method correctly calculates and returns the average value over a specified number of tuples (rolling window). 
Inputs are expected from the getAvg() function which includes an array of Long values representing the metric data</t>
        </is>
      </c>
      <c r="M2040" t="n">
        <v>0.0037</v>
      </c>
      <c r="N2040" t="n">
        <v>0.0597</v>
      </c>
      <c r="O2040" t="n">
        <v>0.1145</v>
      </c>
    </row>
    <row r="2041">
      <c r="A2041" t="inlineStr">
        <is>
          <t>storm</t>
        </is>
      </c>
      <c r="B2041" t="inlineStr">
        <is>
          <t>storm-client/test/jvm/org/apache/storm/metric/FileBasedEventLoggerTest.java</t>
        </is>
      </c>
      <c r="C2041">
        <f>HYPERLINK("https://github.com/apache/storm/blob/master/storm-client/test/jvm/org/apache/storm/metric/FileBasedEventLoggerTest.java")</f>
        <v/>
      </c>
      <c r="D2041"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41" t="n">
        <v>0</v>
      </c>
      <c r="F2041" t="n">
        <v>0.0308</v>
      </c>
      <c r="G2041" t="n">
        <v>0.1163</v>
      </c>
      <c r="H2041" t="inlineStr">
        <is>
          <t>This repository contains backend software components that implement core algorithms. The complexity of the code is O(N), where N represents the number of elements in a data structure such as an array or list. This means that the time taken to process these structures increases linearly with their size. There are comments explaining each part of the implementation and it's licensed under Apache License 2.0 which allows you to</t>
        </is>
      </c>
      <c r="I2041" t="n">
        <v>0.0037</v>
      </c>
      <c r="J2041" t="n">
        <v>0.125</v>
      </c>
      <c r="K2041" t="n">
        <v>0.2128</v>
      </c>
      <c r="L2041" t="inlineStr">
        <is>
          <t>This code is a part of Apache Storm's metric package and it deals with the management of metrics in distributed systems. The main purpose of this class seems to be managing files related to metrics storage. It provides methods for reading from these files (`readMetricsFromDisk()` method), writing data into them (`writeToMetricStore()` method), as well as clearing</t>
        </is>
      </c>
      <c r="M2041" t="n">
        <v>0.0039</v>
      </c>
      <c r="N2041" t="n">
        <v>0.0615</v>
      </c>
      <c r="O2041" t="n">
        <v>0.1172</v>
      </c>
    </row>
    <row r="2042">
      <c r="A2042" t="inlineStr">
        <is>
          <t>storm</t>
        </is>
      </c>
      <c r="B2042" t="inlineStr">
        <is>
          <t>storm-client/test/jvm/org/apache/storm/metric/filter/FilterByMetricNameTest.java</t>
        </is>
      </c>
      <c r="C2042">
        <f>HYPERLINK("https://github.com/apache/storm/blob/master/storm-client/test/jvm/org/apache/storm/metric/filter/FilterByMetricNameTest.java")</f>
        <v/>
      </c>
      <c r="D2042" t="inlineStr">
        <is>
          <t>```plaintext
// This code is licensed under the Apache Software Foundation (ASF) license version 2.0. It can be found at http://www.apache.org/licenses/LICENSE-2.0. The ASF licenses this file to you under the same license as the Apache License, Version 2.0. You may not use this</t>
        </is>
      </c>
      <c r="E2042" t="n">
        <v>0.0043</v>
      </c>
      <c r="F2042" t="n">
        <v>0.0678</v>
      </c>
      <c r="G2042" t="n">
        <v>0.1304</v>
      </c>
      <c r="H2042"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I2042" t="n">
        <v>0</v>
      </c>
      <c r="J2042" t="n">
        <v>0.0308</v>
      </c>
      <c r="K2042" t="n">
        <v>0.1163</v>
      </c>
      <c r="L2042" t="inlineStr">
        <is>
          <t>The provided code is a part of Apache Storm's source code which deals with the metrics filtering and consumption in distributed systems. The main purpose of this class seems to be defining an interface for consumers that want to consume metric data from IMetricsProducer instances (which are responsible for producing such data).
Here's what it does: 
It defines two interfaces - `I</t>
        </is>
      </c>
      <c r="M2042" t="n">
        <v>0.0029</v>
      </c>
      <c r="N2042" t="n">
        <v>0.0282</v>
      </c>
      <c r="O2042" t="n">
        <v>0.1119</v>
      </c>
    </row>
    <row r="2043">
      <c r="A2043" t="inlineStr">
        <is>
          <t>storm</t>
        </is>
      </c>
      <c r="B2043" t="inlineStr">
        <is>
          <t>storm-client/test/jvm/org/apache/storm/metric/internal/CountStatTest.java</t>
        </is>
      </c>
      <c r="C2043">
        <f>HYPERLINK("https://github.com/apache/storm/blob/master/storm-client/test/jvm/org/apache/storm/metric/internal/CountStatTest.java")</f>
        <v/>
      </c>
      <c r="D2043"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43" t="n">
        <v>0</v>
      </c>
      <c r="F2043" t="n">
        <v>0.0312</v>
      </c>
      <c r="G2043" t="n">
        <v>0.1172</v>
      </c>
      <c r="H2043" t="inlineStr">
        <is>
          <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t>
        </is>
      </c>
      <c r="I2043" t="n">
        <v>0</v>
      </c>
      <c r="J2043" t="n">
        <v>0.0286</v>
      </c>
      <c r="K2043" t="n">
        <v>0.1119</v>
      </c>
      <c r="L2043"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M2043" t="n">
        <v>0</v>
      </c>
      <c r="N2043" t="n">
        <v>0.0308</v>
      </c>
      <c r="O2043" t="n">
        <v>0.1163</v>
      </c>
    </row>
    <row r="2044">
      <c r="A2044" t="inlineStr">
        <is>
          <t>storm</t>
        </is>
      </c>
      <c r="B2044" t="inlineStr">
        <is>
          <t>storm-client/test/jvm/org/apache/storm/metric/internal/RateTrackerTest.java</t>
        </is>
      </c>
      <c r="C2044">
        <f>HYPERLINK("https://github.com/apache/storm/blob/master/storm-client/test/jvm/org/apache/storm/metric/internal/RateTrackerTest.java")</f>
        <v/>
      </c>
      <c r="D2044" t="inlineStr">
        <is>
          <t>This code is licensed under the Apache Software Foundation (ASF), version 2.0 license and it's distributed on an "AS IS" BASIS without warranties or conditions of any kind either expressed or implied. It can be used except in compliance with the License. The specific language governing permissions and limitations under the License are detailed in a separate file included with this work.</t>
        </is>
      </c>
      <c r="E2044" t="n">
        <v>0.0035</v>
      </c>
      <c r="F2044" t="n">
        <v>0.0833</v>
      </c>
      <c r="G2044" t="n">
        <v>0.1493</v>
      </c>
      <c r="H2044" t="inlineStr">
        <is>
          <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t>
        </is>
      </c>
      <c r="I2044" t="n">
        <v>0</v>
      </c>
      <c r="J2044" t="n">
        <v>0.0299</v>
      </c>
      <c r="K2044" t="n">
        <v>0.1136</v>
      </c>
      <c r="L2044" t="inlineStr">
        <is>
          <t>This code is part of an Apache Storm project and tests the functionality of a class called RateTracker. The test checks if the rate at which data points are being tracked (measured in ticks per second) matches the expected value as defined by the assertion statement. This ensures that the correct number of data points are being processed within each time unit. If they match, the test passes;</t>
        </is>
      </c>
      <c r="M2044" t="n">
        <v>0.0035</v>
      </c>
      <c r="N2044" t="n">
        <v>0.0526</v>
      </c>
      <c r="O2044" t="n">
        <v>0.1071</v>
      </c>
    </row>
    <row r="2045">
      <c r="A2045" t="inlineStr">
        <is>
          <t>storm</t>
        </is>
      </c>
      <c r="B2045" t="inlineStr">
        <is>
          <t>storm-client/test/jvm/org/apache/storm/metric/internal/LatencyStatTest.java</t>
        </is>
      </c>
      <c r="C2045">
        <f>HYPERLINK("https://github.com/apache/storm/blob/master/storm-client/test/jvm/org/apache/storm/metric/internal/LatencyStatTest.java")</f>
        <v/>
      </c>
      <c r="D2045"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45" t="n">
        <v>0</v>
      </c>
      <c r="F2045" t="n">
        <v>0.0308</v>
      </c>
      <c r="G2045" t="n">
        <v>0.1163</v>
      </c>
      <c r="H2045" t="inlineStr">
        <is>
          <t>The function provided is a simple addition operation between two numbers 'a' and 'b'. It takes in two parameters (numbers), performs the addition operation on them, and returns the result. The time complexity of this function is O(1).
Please provide an example of code that you want to be summarized or explained.</t>
        </is>
      </c>
      <c r="I2045" t="n">
        <v>0.0035</v>
      </c>
      <c r="J2045" t="n">
        <v>0.06560000000000001</v>
      </c>
      <c r="K2045" t="n">
        <v>0.121</v>
      </c>
      <c r="L2045" t="inlineStr">
        <is>
          <t>The code provided is for a unit test in Apache Storm framework. The purpose of this code is to verify the functionality of Latency Stat metric class which measures latency statistics such as min, max and average latencies observed by an instance of a topology.
It takes inputs from a map containing configuration details about the storm cluster and outputs whether the metrics are correctly calculated or not using JUnit assert</t>
        </is>
      </c>
      <c r="M2045" t="n">
        <v>0.003</v>
      </c>
      <c r="N2045" t="n">
        <v>0.0759</v>
      </c>
      <c r="O2045" t="n">
        <v>0.1049</v>
      </c>
    </row>
    <row r="2046">
      <c r="A2046" t="inlineStr">
        <is>
          <t>storm</t>
        </is>
      </c>
      <c r="B2046" t="inlineStr">
        <is>
          <t>storm-client/test/jvm/org/apache/storm/metric/util/DataPointExpanderTest.java</t>
        </is>
      </c>
      <c r="C2046">
        <f>HYPERLINK("https://github.com/apache/storm/blob/master/storm-client/test/jvm/org/apache/storm/metric/util/DataPointExpanderTest.java")</f>
        <v/>
      </c>
      <c r="D2046" t="inlineStr">
        <is>
          <t>&lt;!-- This repository contains backend software components that implement core algorithms used in Apache Storm for distributed computing tasks. The complexity of the code is O(n), where n represents a number of elements or nodes in the system. It's licensed under the Apache License 2.0 and can be found at http://www.apache.org/licenses/LICENSE-2.0 --</t>
        </is>
      </c>
      <c r="E2046" t="n">
        <v>0.005</v>
      </c>
      <c r="F2046" t="n">
        <v>0.1471</v>
      </c>
      <c r="G2046" t="n">
        <v>0.3439</v>
      </c>
      <c r="H2046" t="inlineStr">
        <is>
          <t>The code provided is a Java function named "add", which takes two parameters and returns their sum. The complexity of this operation is O(1), meaning it performs the same number of operations regardless of input size. This function is part of an Apache Storm project that deals with metrics computation for distributed systems. It's licensed under the Apache License 2.0 as indicated in the comments at the</t>
        </is>
      </c>
      <c r="I2046" t="n">
        <v>0.0032</v>
      </c>
      <c r="J2046" t="n">
        <v>0.0513</v>
      </c>
      <c r="K2046" t="n">
        <v>0.1079</v>
      </c>
      <c r="L2046" t="inlineStr">
        <is>
          <t>&lt;!-- The code is a part of Apache Storm's metric util package. It provides classes to manage and calculate metrics for the system components in real time --&gt;
The main purpose of this code is to provide utility functions that help with managing and calculating metrics for system components running on an Apache Storm cluster. 
It does so by implementing IMetricsConsumer interface which allows it to</t>
        </is>
      </c>
      <c r="M2046" t="n">
        <v>0.0028</v>
      </c>
      <c r="N2046" t="n">
        <v>0.0822</v>
      </c>
      <c r="O2046" t="n">
        <v>0.1449</v>
      </c>
    </row>
    <row r="2047">
      <c r="A2047" t="inlineStr">
        <is>
          <t>storm</t>
        </is>
      </c>
      <c r="B2047" t="inlineStr">
        <is>
          <t>storm-client/test/jvm/org/apache/storm/nimbus/NimbusInfoTest.java</t>
        </is>
      </c>
      <c r="C2047">
        <f>HYPERLINK("https://github.com/apache/storm/blob/master/storm-client/test/jvm/org/apache/storm/nimbus/NimbusInfoTest.java")</f>
        <v/>
      </c>
      <c r="D2047" t="inlineStr">
        <is>
          <t>&lt;!-- This repository contains backend software components for Apache Storm Nimbus. The code is licensed under the Apache License 2.0 and can be found at http://www.apache.org/licenses/LICENSE-2.0. It may not be used except in compliance with this license. --&gt;
&lt;!-- The implementation of core algorithms are based on complexity O</t>
        </is>
      </c>
      <c r="E2047" t="n">
        <v>0.0053</v>
      </c>
      <c r="F2047" t="n">
        <v>0.129</v>
      </c>
      <c r="G2047" t="n">
        <v>0.2479</v>
      </c>
      <c r="H2047" t="inlineStr">
        <is>
          <t>The code provided is a simple function for addition of two numbers in Java language. The functionality of this code can be summarized as follows: This function takes two parameters (numbers), adds them together and returns the result. It operates with a time complexity of O(1). 
# Licensed to the Apache Software Foundation (ASF) under one or more contributor license agreements.</t>
        </is>
      </c>
      <c r="I2047" t="n">
        <v>0.0039</v>
      </c>
      <c r="J2047" t="n">
        <v>0.08699999999999999</v>
      </c>
      <c r="K2047" t="n">
        <v>0.1504</v>
      </c>
      <c r="L2047" t="inlineStr">
        <is>
          <t>This code is part of the Apache Storm project and it's a test suite for Nimbus component in the system. The main purpose of this code is to validate different functionalities related to communication with Supervisor nodes through RPC calls using JUnit framework. It tests various scenarios such as sending heartbeat messages, assigning tasks, failing over when supervisors go down etc.</t>
        </is>
      </c>
      <c r="M2047" t="n">
        <v>0.0036</v>
      </c>
      <c r="N2047" t="n">
        <v>0.0571</v>
      </c>
      <c r="O2047" t="n">
        <v>0.1128</v>
      </c>
    </row>
    <row r="2048">
      <c r="A2048" t="inlineStr">
        <is>
          <t>storm</t>
        </is>
      </c>
      <c r="B2048" t="inlineStr">
        <is>
          <t>storm-client/test/jvm/org/apache/storm/bolt/TestJoinBolt.java</t>
        </is>
      </c>
      <c r="C2048">
        <f>HYPERLINK("https://github.com/apache/storm/blob/master/storm-client/test/jvm/org/apache/storm/bolt/TestJoinBolt.java")</f>
        <v/>
      </c>
      <c r="D2048"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48" t="n">
        <v>0</v>
      </c>
      <c r="F2048" t="n">
        <v>0.0308</v>
      </c>
      <c r="G2048" t="n">
        <v>0.1163</v>
      </c>
      <c r="H2048" t="inlineStr">
        <is>
          <t>This Apache Storm Bolt package contains backend software components that implement core algorithms. The code is licensed under the Apache Software Foundation (ASF) license version 2.0 and can be found at http://www.apache.org/licenses/LICENSE-2.0. This file may not be used except in compliance with the License. You may obtain a copy of the License at this</t>
        </is>
      </c>
      <c r="I2048" t="n">
        <v>0.0048</v>
      </c>
      <c r="J2048" t="n">
        <v>0.1429</v>
      </c>
      <c r="K2048" t="n">
        <v>0.3384</v>
      </c>
      <c r="L2048" t="inlineStr">
        <is>
          <t>This code is a part of Apache Storm's backend software components and it defines an interface for implementing bolts in the topology. A Bolt represents a processing unit that processes tuples from spouts (data sources). It has two main methods - prepare() which initializes the bolt with configuration parameters and execute(), where actual data processing takes place. The input to this method</t>
        </is>
      </c>
      <c r="M2048" t="n">
        <v>0.0039</v>
      </c>
      <c r="N2048" t="n">
        <v>0.1143</v>
      </c>
      <c r="O2048" t="n">
        <v>0.1866</v>
      </c>
    </row>
    <row r="2049">
      <c r="A2049" t="inlineStr">
        <is>
          <t>storm</t>
        </is>
      </c>
      <c r="B2049" t="inlineStr">
        <is>
          <t>storm-client/test/jvm/org/apache/storm/streams/ProcessorBoltTest.java</t>
        </is>
      </c>
      <c r="C2049">
        <f>HYPERLINK("https://github.com/apache/storm/blob/master/storm-client/test/jvm/org/apache/storm/streams/ProcessorBoltTest.java")</f>
        <v/>
      </c>
      <c r="D2049"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49" t="n">
        <v>0</v>
      </c>
      <c r="F2049" t="n">
        <v>0.0312</v>
      </c>
      <c r="G2049" t="n">
        <v>0.1172</v>
      </c>
      <c r="H2049" t="inlineStr">
        <is>
          <t>This repository contains backend software components implementing core algorithms. The complexity of the code is O(n), where n represents the number of elements in a collection or data structure. It's licensed under Apache License 2.0 and you may not use this file except in compliance with the license. You can obtain a copy at http://www.apache.org/licenses/LICENSE-2</t>
        </is>
      </c>
      <c r="I2049" t="n">
        <v>0.0047</v>
      </c>
      <c r="J2049" t="n">
        <v>0.1389</v>
      </c>
      <c r="K2049" t="n">
        <v>0.3357</v>
      </c>
      <c r="L2049" t="inlineStr">
        <is>
          <t>```plaintext
The provided code is part of Apache Storm's stream processing system and performs operations related to managing streams in a distributed computing environment. It uses Java programming language. The main purpose of this code is to provide an interface for interacting with data streams asynchronously without blocking the computation thread. 
It does so by implementing IGrouping class which defines how t</t>
        </is>
      </c>
      <c r="M2049" t="n">
        <v>0.0029</v>
      </c>
      <c r="N2049" t="n">
        <v>0.0563</v>
      </c>
      <c r="O2049" t="n">
        <v>0.1493</v>
      </c>
    </row>
    <row r="2050">
      <c r="A2050" t="inlineStr">
        <is>
          <t>storm</t>
        </is>
      </c>
      <c r="B2050" t="inlineStr">
        <is>
          <t>storm-client/test/jvm/org/apache/storm/streams/StatefulProcessorBoltTest.java</t>
        </is>
      </c>
      <c r="C2050">
        <f>HYPERLINK("https://github.com/apache/storm/blob/master/storm-client/test/jvm/org/apache/storm/streams/StatefulProcessorBoltTest.java")</f>
        <v/>
      </c>
      <c r="D2050"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50" t="n">
        <v>0</v>
      </c>
      <c r="F2050" t="n">
        <v>0.0312</v>
      </c>
      <c r="G2050" t="n">
        <v>0.1172</v>
      </c>
      <c r="H2050" t="inlineStr">
        <is>
          <t>This repository contains backend software components that implement core algorithms. The code is licensed under the Apache Software Foundation (ASF) license version 2.0 and can be found at http://www.apache.org/licenses/LICENSE-2.0. It may not be used except in compliance with this License. You may obtain a copy of the License by visiting the aforementioned URL.</t>
        </is>
      </c>
      <c r="I2050" t="n">
        <v>0.0049</v>
      </c>
      <c r="J2050" t="n">
        <v>0.1449</v>
      </c>
      <c r="K2050" t="n">
        <v>0.3411</v>
      </c>
      <c r="L2050" t="inlineStr">
        <is>
          <t>The provided code is a part of Apache Storm's stream processing library and it appears to implement a form of multimap data structure using HashMaps in Java. 
 This class seems to be responsible for managing streams of events or tuples where each tuple can have multiple values associated with the same key (like a Multimap). It provides methods for adding new</t>
        </is>
      </c>
      <c r="M2050" t="n">
        <v>0.0036</v>
      </c>
      <c r="N2050" t="n">
        <v>0.0286</v>
      </c>
      <c r="O2050" t="n">
        <v>0.1504</v>
      </c>
    </row>
    <row r="2051">
      <c r="A2051" t="inlineStr">
        <is>
          <t>storm</t>
        </is>
      </c>
      <c r="B2051" t="inlineStr">
        <is>
          <t>storm-client/test/jvm/org/apache/storm/streams/WindowedProcessorBoltTest.java</t>
        </is>
      </c>
      <c r="C2051">
        <f>HYPERLINK("https://github.com/apache/storm/blob/master/storm-client/test/jvm/org/apache/storm/streams/WindowedProcessorBoltTest.java")</f>
        <v/>
      </c>
      <c r="D2051" t="inlineStr">
        <is>
          <t>```plaintext
This code is licensed under the Apache Software Foundation (ASF) license version 2.0. It's a Java implementation of core algorithms for processing streams of data in Apache Storm framework. The software can be used except in compliance with the License. A copy of the License can be obtained at http://www.apache.org/licenses/LICENSE</t>
        </is>
      </c>
      <c r="E2051" t="n">
        <v>0.0047</v>
      </c>
      <c r="F2051" t="n">
        <v>0.1212</v>
      </c>
      <c r="G2051" t="n">
        <v>0.2033</v>
      </c>
      <c r="H2051" t="inlineStr">
        <is>
          <t>This repository contains backend software components that implement core algorithms and data structures used by Apache Storm for distributed stream processing. The code is licensed under the Apache License 2.0 (see NOTICE file). It may not be used except in compliance with the license. You can obtain a copy of the license at http://www.apache.org/licenses/LICENSE-2.0 Unless required</t>
        </is>
      </c>
      <c r="I2051" t="n">
        <v>0.0046</v>
      </c>
      <c r="J2051" t="n">
        <v>0.1389</v>
      </c>
      <c r="K2051" t="n">
        <v>0.3331</v>
      </c>
      <c r="L2051" t="inlineStr">
        <is>
          <t>The provided code is a part of Apache Storm's stream processing system. It appears to be implementing an abstraction for managing streams and their associated metadata in the form of multimaps (a type of data structure that allows multiple values per key). 
 This module provides functionality for creating new streams, adding tuples to them, retrieving existing tuples from streams</t>
        </is>
      </c>
      <c r="M2051" t="n">
        <v>0.0044</v>
      </c>
      <c r="N2051" t="n">
        <v>0.0882</v>
      </c>
      <c r="O2051" t="n">
        <v>0.1908</v>
      </c>
    </row>
    <row r="2052">
      <c r="A2052" t="inlineStr">
        <is>
          <t>storm</t>
        </is>
      </c>
      <c r="B2052" t="inlineStr">
        <is>
          <t>storm-client/test/jvm/org/apache/storm/streams/StreamBuilderTest.java</t>
        </is>
      </c>
      <c r="C2052">
        <f>HYPERLINK("https://github.com/apache/storm/blob/master/storm-client/test/jvm/org/apache/storm/streams/StreamBuilderTest.java")</f>
        <v/>
      </c>
      <c r="D2052"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52" t="n">
        <v>0</v>
      </c>
      <c r="F2052" t="n">
        <v>0.0308</v>
      </c>
      <c r="G2052" t="n">
        <v>0.1163</v>
      </c>
      <c r="H2052" t="inlineStr">
        <is>
          <t>The code you provided is a Java function named "add". This function takes two parameters 'a' and 'b', adds them together, and returns the result. The functionality of this code can be summarized as follows: Adds (concatenates in case of strings or sums up numbers for numerical inputs). It operates with O(1) complexity meaning it has constant time complexity i.e</t>
        </is>
      </c>
      <c r="I2052" t="n">
        <v>0.004</v>
      </c>
      <c r="J2052" t="n">
        <v>0.0857</v>
      </c>
      <c r="K2052" t="n">
        <v>0.1515</v>
      </c>
      <c r="L2052" t="inlineStr">
        <is>
          <t>```plaintext
// This code is a part of Apache Storm's stream processing system and it serves as a bolt component for data transformation. 
// The main purpose of this code is to count the frequency of words in an incoming tuple (data packet). 
// It takes input from one or more streams, processes each word by counting its occurrence using a HashMap</t>
        </is>
      </c>
      <c r="M2052" t="n">
        <v>0.0035</v>
      </c>
      <c r="N2052" t="n">
        <v>0.0588</v>
      </c>
      <c r="O2052" t="n">
        <v>0.1119</v>
      </c>
    </row>
    <row r="2053">
      <c r="A2053" t="inlineStr">
        <is>
          <t>storm</t>
        </is>
      </c>
      <c r="B2053" t="inlineStr">
        <is>
          <t>storm-client/test/jvm/org/apache/storm/streams/processors/JoinProcessorTest.java</t>
        </is>
      </c>
      <c r="C2053">
        <f>HYPERLINK("https://github.com/apache/storm/blob/master/storm-client/test/jvm/org/apache/storm/streams/processors/JoinProcessorTest.java")</f>
        <v/>
      </c>
      <c r="D2053" t="inlineStr">
        <is>
          <t>```plaintext
This code is licensed under the Apache Software Foundation (ASF), version 2.0 license. It's a Java package that contains implementations of core algorithms used in backend software components. The complexity of this implementation appears to be O(N). This repository also includes comments explaining its implementation and has an initial commit with a size of 1000</t>
        </is>
      </c>
      <c r="E2053" t="n">
        <v>0.0046</v>
      </c>
      <c r="F2053" t="n">
        <v>0.1493</v>
      </c>
      <c r="G2053" t="n">
        <v>0.2344</v>
      </c>
      <c r="H2053" t="inlineStr">
        <is>
          <t>```markdown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I2053" t="n">
        <v>0</v>
      </c>
      <c r="J2053" t="n">
        <v>0.0312</v>
      </c>
      <c r="K2053" t="n">
        <v>0.1172</v>
      </c>
      <c r="L2053" t="inlineStr">
        <is>
          <t>```plaintext
This code is a part of Apache Storm's stream processing system and it provides functionality for processing streams in real time. The main purpose of this class seems to be the implementation of a custom processor that takes an input list of Pair objects (which are essentially key-value pairs), groups them based on their keys, computes summary statistics about each group, and</t>
        </is>
      </c>
      <c r="M2053" t="n">
        <v>0.0038</v>
      </c>
      <c r="N2053" t="n">
        <v>0.0822</v>
      </c>
      <c r="O2053" t="n">
        <v>0.1481</v>
      </c>
    </row>
    <row r="2054">
      <c r="A2054" t="inlineStr">
        <is>
          <t>storm</t>
        </is>
      </c>
      <c r="B2054" t="inlineStr">
        <is>
          <t>storm-client/test/jvm/org/apache/storm/streams/processors/CoGroupByKeyProcessorTest.java</t>
        </is>
      </c>
      <c r="C2054">
        <f>HYPERLINK("https://github.com/apache/storm/blob/master/storm-client/test/jvm/org/apache/storm/streams/processors/CoGroupByKeyProcessorTest.java")</f>
        <v/>
      </c>
      <c r="D2054" t="inlineStr">
        <is>
          <t>&lt;!-- This code is licensed under the Apache Software Foundation (ASF) license version 2.0 --&gt;
&lt;!-- It's a part of an Apache Storm project that deals with processing streams and pairs of data in various algorithms --&gt;
&lt;!-- The ASF licenses this file to you under the same Apache License Version 2.0 as found in http://www.</t>
        </is>
      </c>
      <c r="E2054" t="n">
        <v>0.0039</v>
      </c>
      <c r="F2054" t="n">
        <v>0.09520000000000001</v>
      </c>
      <c r="G2054" t="n">
        <v>0.1563</v>
      </c>
      <c r="H2054" t="inlineStr">
        <is>
          <t>This repository contains backend software components that implement core algorithms. The complexity is O(N), where N represents the number of elements in a collection or list. It's licensed under Apache License 2.0 and you may not use this file except in compliance with the license. You can obtain a copy at http://www.apache.org/licenses/LICENSE-2.0 Unless</t>
        </is>
      </c>
      <c r="I2054" t="n">
        <v>0.0049</v>
      </c>
      <c r="J2054" t="n">
        <v>0.1408</v>
      </c>
      <c r="K2054" t="n">
        <v>0.3411</v>
      </c>
      <c r="L2054"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M2054" t="n">
        <v>0</v>
      </c>
      <c r="N2054" t="n">
        <v>0.0308</v>
      </c>
      <c r="O2054" t="n">
        <v>0.1163</v>
      </c>
    </row>
    <row r="2055">
      <c r="A2055" t="inlineStr">
        <is>
          <t>storm</t>
        </is>
      </c>
      <c r="B2055" t="inlineStr">
        <is>
          <t>storm-client/test/jvm/org/apache/storm/windowing/WaterMarkEventGeneratorTest.java</t>
        </is>
      </c>
      <c r="C2055">
        <f>HYPERLINK("https://github.com/apache/storm/blob/master/storm-client/test/jvm/org/apache/storm/windowing/WaterMarkEventGeneratorTest.java")</f>
        <v/>
      </c>
      <c r="D2055" t="inlineStr">
        <is>
          <t>&lt;!-- This is a summary of the provided code --&gt;
# Apache Storm Windowing Package
## License Information 
This software is licensed under the Apache Software Foundation (ASF), version 2.0 license. The full text of this license can be found at http://www.apache.org/licenses/LICENSE-2.0 and it applies to</t>
        </is>
      </c>
      <c r="E2055" t="n">
        <v>0.0094</v>
      </c>
      <c r="F2055" t="n">
        <v>0.1034</v>
      </c>
      <c r="G2055" t="n">
        <v>0.1271</v>
      </c>
      <c r="H2055" t="inlineStr">
        <is>
          <t>This repository contains backend software components that implement core algorithms used in the Storm distributed computation system. The code is licensed under Apache License 2.0 and can be found at http://www.apache.org/licenses/LICENSE-2.0. It's distributed on an "AS IS" BASIS, WITHOUT WARRANTIES OR CONDITIONS OF ANY KIND,</t>
        </is>
      </c>
      <c r="I2055" t="n">
        <v>0.0058</v>
      </c>
      <c r="J2055" t="n">
        <v>0.1613</v>
      </c>
      <c r="K2055" t="n">
        <v>0.3644</v>
      </c>
      <c r="L2055" t="inlineStr">
        <is>
          <t>```plaintext
This code is part of Apache Storm's windowing module and it provides a mechanism for processing data in time windows. It does this by maintaining a list of tuples (data records) within each window as they arrive from the spouts. The purpose of these windows are to provide an organized way of grouping incoming data based on specific criteria such as time</t>
        </is>
      </c>
      <c r="M2055" t="n">
        <v>0.0038</v>
      </c>
      <c r="N2055" t="n">
        <v>0.0833</v>
      </c>
      <c r="O2055" t="n">
        <v>0.1481</v>
      </c>
    </row>
    <row r="2056">
      <c r="A2056" t="inlineStr">
        <is>
          <t>storm</t>
        </is>
      </c>
      <c r="B2056" t="inlineStr">
        <is>
          <t>storm-client/test/jvm/org/apache/storm/windowing/WindowManagerTest.java</t>
        </is>
      </c>
      <c r="C2056">
        <f>HYPERLINK("https://github.com/apache/storm/blob/master/storm-client/test/jvm/org/apache/storm/windowing/WindowManagerTest.java")</f>
        <v/>
      </c>
      <c r="D2056"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56" t="n">
        <v>0</v>
      </c>
      <c r="F2056" t="n">
        <v>0.0308</v>
      </c>
      <c r="G2056" t="n">
        <v>0.1163</v>
      </c>
      <c r="H2056" t="inlineStr">
        <is>
          <t>This repository contains backend software components for Apache Storm which is a real time computation system. The code implements core algorithms used in the processing of data streams. It's licensed under the Apache License 2.0 and can be found at http://www.apache.org/licenses/LICENSE-2.0. This license requires that any modifications or derived works must also be distributed under this</t>
        </is>
      </c>
      <c r="I2056" t="n">
        <v>0.008699999999999999</v>
      </c>
      <c r="J2056" t="n">
        <v>0.137</v>
      </c>
      <c r="K2056" t="n">
        <v>0.3331</v>
      </c>
      <c r="L2056" t="inlineStr">
        <is>
          <t>This code defines a package named "org.apache.storm.windowing". The main purpose of this package is to handle window operations in Apache Storm, which is an open source distributed real-time computation system. 
It imports several classes from Java's util package and concurrency package for data structures used in the implementation such as ArrayList, Arrays, Collections, Hash</t>
        </is>
      </c>
      <c r="M2056" t="n">
        <v>0.004</v>
      </c>
      <c r="N2056" t="n">
        <v>0.0597</v>
      </c>
      <c r="O2056" t="n">
        <v>0.1587</v>
      </c>
    </row>
    <row r="2057">
      <c r="A2057" t="inlineStr">
        <is>
          <t>storm</t>
        </is>
      </c>
      <c r="B2057" t="inlineStr">
        <is>
          <t>storm-client/test/jvm/org/apache/storm/windowing/persistence/WindowStateTest.java</t>
        </is>
      </c>
      <c r="C2057">
        <f>HYPERLINK("https://github.com/apache/storm/blob/master/storm-client/test/jvm/org/apache/storm/windowing/persistence/WindowStateTest.java")</f>
        <v/>
      </c>
      <c r="D2057" t="inlineStr">
        <is>
          <t>```plaintext
// This code is licensed under the Apache Software Foundation (ASF) license version 2.0. It can be found at http://www.apache.org/licenses/LICENSE-2.0. The ASF licenses this file to you under the same license. You may not use this file except in compliance with the License. Unless required</t>
        </is>
      </c>
      <c r="E2057" t="n">
        <v>0.004</v>
      </c>
      <c r="F2057" t="n">
        <v>0.06560000000000001</v>
      </c>
      <c r="G2057" t="n">
        <v>0.1271</v>
      </c>
      <c r="H2057" t="inlineStr">
        <is>
          <t>The provided code is a simple function for addition of two numbers in Python. It takes two parameters 'a' and 'b', adds them together and returns the result. The time complexity of this operation is O(1), meaning it performs a fixed number of operations regardless of input size.
Here is the summary: 
```python
# Licensed to the Apache Software Foundation (</t>
        </is>
      </c>
      <c r="I2057" t="n">
        <v>0.003</v>
      </c>
      <c r="J2057" t="n">
        <v>0.0588</v>
      </c>
      <c r="K2057" t="n">
        <v>0.1504</v>
      </c>
      <c r="L2057" t="inlineStr">
        <is>
          <t>This code is a part of Apache Storm's windowing and persistence package which implements data windows for processing time-based streams in real-time systems. The main purpose of this code seems to be managing the storage and retrieval of sliding or tumbling windows based on certain criteria such as event count, time duration etc. 
It uses HashMaps to store each unique</t>
        </is>
      </c>
      <c r="M2057" t="n">
        <v>0.004</v>
      </c>
      <c r="N2057" t="n">
        <v>0.08450000000000001</v>
      </c>
      <c r="O2057" t="n">
        <v>0.1515</v>
      </c>
    </row>
    <row r="2058">
      <c r="A2058" t="inlineStr">
        <is>
          <t>storm</t>
        </is>
      </c>
      <c r="B2058" t="inlineStr">
        <is>
          <t>storm-client/test/jvm/org/apache/storm/topology/StatefulWindowedBoltExecutorTest.java</t>
        </is>
      </c>
      <c r="C2058">
        <f>HYPERLINK("https://github.com/apache/storm/blob/master/storm-client/test/jvm/org/apache/storm/topology/StatefulWindowedBoltExecutorTest.java")</f>
        <v/>
      </c>
      <c r="D2058"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58" t="n">
        <v>0</v>
      </c>
      <c r="F2058" t="n">
        <v>0.0308</v>
      </c>
      <c r="G2058" t="n">
        <v>0.1163</v>
      </c>
      <c r="H2058"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I2058" t="n">
        <v>0</v>
      </c>
      <c r="J2058" t="n">
        <v>0.0312</v>
      </c>
      <c r="K2058" t="n">
        <v>0.1172</v>
      </c>
      <c r="L2058" t="inlineStr">
        <is>
          <t>The provided code is part of Apache Storm's topology package and it forms the core for defining a data processing topology in Apache Storm. The main purpose of this code is to define an abstract class named "BaseComponent", which provides common functionality like naming components, setting component configuration etc. 
It uses several standard Java libraries including ArrayList, Collections, HashMap, List, Map</t>
        </is>
      </c>
      <c r="M2058" t="n">
        <v>0.0039</v>
      </c>
      <c r="N2058" t="n">
        <v>0.0571</v>
      </c>
      <c r="O2058" t="n">
        <v>0.1504</v>
      </c>
    </row>
    <row r="2059">
      <c r="A2059" t="inlineStr">
        <is>
          <t>storm</t>
        </is>
      </c>
      <c r="B2059" t="inlineStr">
        <is>
          <t>storm-client/test/jvm/org/apache/storm/topology/SimpleWindowPartitionCacheTest.java</t>
        </is>
      </c>
      <c r="C2059">
        <f>HYPERLINK("https://github.com/apache/storm/blob/master/storm-client/test/jvm/org/apache/storm/topology/SimpleWindowPartitionCacheTest.java")</f>
        <v/>
      </c>
      <c r="D2059"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59" t="n">
        <v>0</v>
      </c>
      <c r="F2059" t="n">
        <v>0.0308</v>
      </c>
      <c r="G2059" t="n">
        <v>0.1163</v>
      </c>
      <c r="H2059" t="inlineStr">
        <is>
          <t>This code is licensed under the Apache Software Foundation (ASF) license version 2.0. It provides a function to add two numbers and it's written in Java. The complexity of this operation is O(1), meaning that it takes constant time regardless of the size of the input data.
Here are some key points about this piece of code:
- Function Name</t>
        </is>
      </c>
      <c r="I2059" t="n">
        <v>0.0036</v>
      </c>
      <c r="J2059" t="n">
        <v>0.1143</v>
      </c>
      <c r="K2059" t="n">
        <v>0.1515</v>
      </c>
      <c r="L2059" t="inlineStr">
        <is>
          <t>The provided code is part of Apache Storm's topology package and it deals with the creation of a topology for distributed data processing tasks in Storm. 
It defines an abstract class called `BaseTopologyBuilder` which has methods to set configurations (setSpout, setBolt etc.), define streams between spouts and bolts, and finally build the topology using createTopology</t>
        </is>
      </c>
      <c r="M2059" t="n">
        <v>0.0033</v>
      </c>
      <c r="N2059" t="n">
        <v>0.0312</v>
      </c>
      <c r="O2059" t="n">
        <v>0.07870000000000001</v>
      </c>
    </row>
    <row r="2060">
      <c r="A2060" t="inlineStr">
        <is>
          <t>storm</t>
        </is>
      </c>
      <c r="B2060" t="inlineStr">
        <is>
          <t>storm-client/test/jvm/org/apache/storm/topology/PersistentWindowedBoltExecutorTest.java</t>
        </is>
      </c>
      <c r="C2060">
        <f>HYPERLINK("https://github.com/apache/storm/blob/master/storm-client/test/jvm/org/apache/storm/topology/PersistentWindowedBoltExecutorTest.java")</f>
        <v/>
      </c>
      <c r="D2060"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60" t="n">
        <v>0</v>
      </c>
      <c r="F2060" t="n">
        <v>0.0312</v>
      </c>
      <c r="G2060" t="n">
        <v>0.1172</v>
      </c>
      <c r="H2060" t="inlineStr">
        <is>
          <t>This repository contains backend software components that implement core algorithms used in Apache Storm. The complexity of the code is O(n), where n represents the number of elements being processed by the algorithm. It's licensed under the Apache License 2.0 and can be found at http://www.apache.org/licenses/LICENSE-2.0.
# Summary</t>
        </is>
      </c>
      <c r="I2060" t="n">
        <v>0.0054</v>
      </c>
      <c r="J2060" t="n">
        <v>0.1538</v>
      </c>
      <c r="K2060" t="n">
        <v>0.3553</v>
      </c>
      <c r="L2060" t="inlineStr">
        <is>
          <t>The provided code is part of Apache Storm's topology package and it deals with the creation of a Directed Acyclic Graph (DAG). It defines classes for representing nodes in this graph as well as edges between them. The main purpose of these classes seems to be managing dependencies among different tasks or components within a distributed system.
The input could include any number of Nodes and</t>
        </is>
      </c>
      <c r="M2060" t="n">
        <v>0.0028</v>
      </c>
      <c r="N2060" t="n">
        <v>0.0533</v>
      </c>
      <c r="O2060" t="n">
        <v>0.1087</v>
      </c>
    </row>
    <row r="2061">
      <c r="A2061" t="inlineStr">
        <is>
          <t>storm</t>
        </is>
      </c>
      <c r="B2061" t="inlineStr">
        <is>
          <t>storm-client/test/jvm/org/apache/storm/topology/TopologyBuilderTest.java</t>
        </is>
      </c>
      <c r="C2061">
        <f>HYPERLINK("https://github.com/apache/storm/blob/master/storm-client/test/jvm/org/apache/storm/topology/TopologyBuilderTest.java")</f>
        <v/>
      </c>
      <c r="D2061" t="inlineStr">
        <is>
          <t>This code is licensed under the Apache Software Foundation (ASF), which allows users to use it according to one or more contributor license agreements. The NOTICE file distributed with this work provides additional information regarding copyright ownership. 
 The ASF licenses this file to you under the Apache License, Version 2.0 (the "License"). You may not use this file</t>
        </is>
      </c>
      <c r="E2061" t="n">
        <v>0.0031</v>
      </c>
      <c r="F2061" t="n">
        <v>0.0597</v>
      </c>
      <c r="G2061" t="n">
        <v>0.1154</v>
      </c>
      <c r="H2061" t="inlineStr">
        <is>
          <t>The code provided seems to be a part of Apache Storm's topology package. It contains the implementation for core algorithms and is used in backend software components. The complexity appears to be O(N), where N represents some form of data size or number of elements being processed.
It starts with license information which states that it is licensed under the Apache License 2.0 (see http</t>
        </is>
      </c>
      <c r="I2061" t="n">
        <v>0.0037</v>
      </c>
      <c r="J2061" t="n">
        <v>0.0789</v>
      </c>
      <c r="K2061" t="n">
        <v>0.1825</v>
      </c>
      <c r="L2061" t="inlineStr">
        <is>
          <t>This code is part of Apache Storm's topology package and it deals with the creation and management of a distributed stream processing system. The main purpose of this class seems to be defining the structure (spouts &amp; bolts) and connections between these elements in the topology.
Inputs would typically include configuration details for each component (Spout or Bolt). Output could be an instance of</t>
        </is>
      </c>
      <c r="M2061" t="n">
        <v>0.0034</v>
      </c>
      <c r="N2061" t="n">
        <v>0.0556</v>
      </c>
      <c r="O2061" t="n">
        <v>0.1103</v>
      </c>
    </row>
    <row r="2062">
      <c r="A2062" t="inlineStr">
        <is>
          <t>storm</t>
        </is>
      </c>
      <c r="B2062" t="inlineStr">
        <is>
          <t>storm-client/test/jvm/org/apache/storm/topology/WindowedBoltExecutorTest.java</t>
        </is>
      </c>
      <c r="C2062">
        <f>HYPERLINK("https://github.com/apache/storm/blob/master/storm-client/test/jvm/org/apache/storm/topology/WindowedBoltExecutorTest.java")</f>
        <v/>
      </c>
      <c r="D2062"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62" t="n">
        <v>0</v>
      </c>
      <c r="F2062" t="n">
        <v>0.0308</v>
      </c>
      <c r="G2062" t="n">
        <v>0.1163</v>
      </c>
      <c r="H2062" t="inlineStr">
        <is>
          <t>This repository contains backend software components that implement core algorithms. The complexity of the code is O(n), where n represents the number of elements in a collection or data structure.
The add function takes two parameters (a and b), adds them together, and returns the result. This operation has a time complexity of O(1). 
In summary, this code base comprises</t>
        </is>
      </c>
      <c r="I2062" t="n">
        <v>0.0043</v>
      </c>
      <c r="J2062" t="n">
        <v>0.1714</v>
      </c>
      <c r="K2062" t="n">
        <v>0.323</v>
      </c>
      <c r="L2062" t="inlineStr">
        <is>
          <t>The code provided is part of Apache Storm's topology package and it appears to be a Java implementation for defining the structure of distributed computation tasks in Storm. The main purpose seems to be creating topologies that define how data should flow through your application.
It takes inputs (data sources or spouts, processing nodes or bolts etc.) and outputs them into various destinations like databases,</t>
        </is>
      </c>
      <c r="M2062" t="n">
        <v>0.0028</v>
      </c>
      <c r="N2062" t="n">
        <v>0.0541</v>
      </c>
      <c r="O2062" t="n">
        <v>0.1095</v>
      </c>
    </row>
    <row r="2063">
      <c r="A2063" t="inlineStr">
        <is>
          <t>storm</t>
        </is>
      </c>
      <c r="B2063" t="inlineStr">
        <is>
          <t>storm-client/test/jvm/org/apache/storm/topology/StatefulBoltExecutorTest.java</t>
        </is>
      </c>
      <c r="C2063">
        <f>HYPERLINK("https://github.com/apache/storm/blob/master/storm-client/test/jvm/org/apache/storm/topology/StatefulBoltExecutorTest.java")</f>
        <v/>
      </c>
      <c r="D2063" t="inlineStr">
        <is>
          <t>This code is licensed under the Apache Software Foundation (ASF), which allows users to use it according to one or more contributor license agreements. The ASF licenses this file to you under the Apache License, Version 2.0 (the "License"). You may not use this file except in compliance with the License. You can obtain a copy of the License at http://</t>
        </is>
      </c>
      <c r="E2063" t="n">
        <v>0.003</v>
      </c>
      <c r="F2063" t="n">
        <v>0.0571</v>
      </c>
      <c r="G2063" t="n">
        <v>0.1128</v>
      </c>
      <c r="H2063" t="inlineStr">
        <is>
          <t>This code is licensed under the Apache Software Foundation (ASF)'s license version 2.0 and it's distributed on an "AS IS" BASIS without warranties or conditions of any kind either expressed or implied. The specific language governing permissions and limitations under the License can be found at http://www.apache.org/licenses/LICENSE-2.0. It</t>
        </is>
      </c>
      <c r="I2063" t="n">
        <v>0.0045</v>
      </c>
      <c r="J2063" t="n">
        <v>0.09089999999999999</v>
      </c>
      <c r="K2063" t="n">
        <v>0.125</v>
      </c>
      <c r="L2063" t="inlineStr">
        <is>
          <t>```plaintext
The provided code is a part of Apache Storm's topology package. It defines the base classes for defining and managing data streams in distributed systems using Storm. The main purpose of this code is to define how data should be grouped together when it comes into an operation or bolt (processing unit). 
It does so by creating a map where keys are</t>
        </is>
      </c>
      <c r="M2063" t="n">
        <v>0.0029</v>
      </c>
      <c r="N2063" t="n">
        <v>0.0278</v>
      </c>
      <c r="O2063" t="n">
        <v>0.1111</v>
      </c>
    </row>
    <row r="2064">
      <c r="A2064" t="inlineStr">
        <is>
          <t>storm</t>
        </is>
      </c>
      <c r="B2064" t="inlineStr">
        <is>
          <t>storm-client/test/jvm/org/apache/storm/cluster/StormClusterStateImplTest.java</t>
        </is>
      </c>
      <c r="C2064">
        <f>HYPERLINK("https://github.com/apache/storm/blob/master/storm-client/test/jvm/org/apache/storm/cluster/StormClusterStateImplTest.java")</f>
        <v/>
      </c>
      <c r="D2064" t="inlineStr">
        <is>
          <t>```python
# This code is licensed under the Apache Software Foundation (ASF) license version 2.0. It may not be used except in compliance with this License. You can obtain a copy of the License at http://www.apache.org/licenses/LICENSE-2.0 Unless required by applicable law or agreed to in writing, software distributed under the</t>
        </is>
      </c>
      <c r="E2064" t="n">
        <v>0.0044</v>
      </c>
      <c r="F2064" t="n">
        <v>0.0615</v>
      </c>
      <c r="G2064" t="n">
        <v>0.123</v>
      </c>
      <c r="H2064" t="inlineStr">
        <is>
          <t>The given code is a Java class that contains backend software components for Apache Storm's cluster management system. It uses ZooKeeper to manage and coordinate the distributed processing of data in real time by using loosely coupled, distributed systems. The complexity of this implementation can be considered as O(N), where N represents the number of nodes or workers involved in the computation process.</t>
        </is>
      </c>
      <c r="I2064" t="n">
        <v>0.0034</v>
      </c>
      <c r="J2064" t="n">
        <v>0.0548</v>
      </c>
      <c r="K2064" t="n">
        <v>0.1852</v>
      </c>
      <c r="L2064" t="inlineStr">
        <is>
          <t>The provided code is a part of Apache Storm's cluster module. It defines the `Cluster` class which uses ZooKeeper to manage and coordinate distributed computations across multiple nodes in a network.
Here are key functionalities:
1. The main purpose of this code is to create and maintain an assignment plan for distributing tasks among worker processes (nodes).</t>
        </is>
      </c>
      <c r="M2064" t="n">
        <v>0.0032</v>
      </c>
      <c r="N2064" t="n">
        <v>0.09089999999999999</v>
      </c>
      <c r="O2064" t="n">
        <v>0.1163</v>
      </c>
    </row>
    <row r="2065">
      <c r="A2065" t="inlineStr">
        <is>
          <t>storm</t>
        </is>
      </c>
      <c r="B2065" t="inlineStr">
        <is>
          <t>storm-client/test/jvm/org/apache/storm/cluster/DaemonTypeTest.java</t>
        </is>
      </c>
      <c r="C2065">
        <f>HYPERLINK("https://github.com/apache/storm/blob/master/storm-client/test/jvm/org/apache/storm/cluster/DaemonTypeTest.java")</f>
        <v/>
      </c>
      <c r="D2065"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65" t="n">
        <v>0</v>
      </c>
      <c r="F2065" t="n">
        <v>0.0312</v>
      </c>
      <c r="G2065" t="n">
        <v>0.1172</v>
      </c>
      <c r="H2065" t="inlineStr">
        <is>
          <t>The provided code is a Java class that implements the Apache Storm security authentication mechanism using default principal to local mapping. The complexity of this implementation can be considered O(n), where n represents the number of entries in the configuration map passed as an argument to the constructor. This occurs during the initialization phase when it iterates over each entry and sets up the authorization framework accordingly.
In summary</t>
        </is>
      </c>
      <c r="I2065" t="n">
        <v>0.0035</v>
      </c>
      <c r="J2065" t="n">
        <v>0.0769</v>
      </c>
      <c r="K2065" t="n">
        <v>0.1418</v>
      </c>
      <c r="L2065" t="inlineStr">
        <is>
          <t>The code provided is a part of Apache Storm's source code and it deals with the implementation of cluster related functionalities in Apache Storm. It includes classes for managing principals (users or services that need to authenticate themselves against an authorization service), implementing default principal to local authentication mechanism, defining configuration parameters used by Storm clusters etc.
Main purpose of this module seems to be handling security</t>
        </is>
      </c>
      <c r="M2065" t="n">
        <v>0.0032</v>
      </c>
      <c r="N2065" t="n">
        <v>0.0526</v>
      </c>
      <c r="O2065" t="n">
        <v>0.1799</v>
      </c>
    </row>
    <row r="2066">
      <c r="A2066" t="inlineStr">
        <is>
          <t>storm</t>
        </is>
      </c>
      <c r="B2066" t="inlineStr">
        <is>
          <t>storm-client/test/jvm/org/apache/storm/grouping/ShuffleGroupingTest.java</t>
        </is>
      </c>
      <c r="C2066">
        <f>HYPERLINK("https://github.com/apache/storm/blob/master/storm-client/test/jvm/org/apache/storm/grouping/ShuffleGroupingTest.java")</f>
        <v/>
      </c>
      <c r="D2066" t="inlineStr">
        <is>
          <t># Apache License 2.0 Summary
The code is licensed under the Apache Software Foundation (ASF), which allows users to use it according to one or more contributor license agreements. The NOTICE file distributed with this work provides additional information regarding copyright ownership. You may not use this file except in compliance with the License at http://www.apache.org/licenses/LIC</t>
        </is>
      </c>
      <c r="E2066" t="n">
        <v>0</v>
      </c>
      <c r="F2066" t="n">
        <v>0.029</v>
      </c>
      <c r="G2066" t="n">
        <v>0.1172</v>
      </c>
      <c r="H2066"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I2066" t="n">
        <v>0</v>
      </c>
      <c r="J2066" t="n">
        <v>0.0308</v>
      </c>
      <c r="K2066" t="n">
        <v>0.1163</v>
      </c>
      <c r="L2066" t="inlineStr">
        <is>
          <t>The code provided is a part of Apache Storm's grouping module which handles the distribution and collection of tuples (data items) in real time processing systems. It provides different types of groupings such as shuffle grouping, fields grouping, all grouping etc. 
 This module uses ExecutorService to manage threads for tasks like distributing tuples</t>
        </is>
      </c>
      <c r="M2066" t="n">
        <v>0.0045</v>
      </c>
      <c r="N2066" t="n">
        <v>0.0645</v>
      </c>
      <c r="O2066" t="n">
        <v>0.16</v>
      </c>
    </row>
    <row r="2067">
      <c r="A2067" t="inlineStr">
        <is>
          <t>storm</t>
        </is>
      </c>
      <c r="B2067" t="inlineStr">
        <is>
          <t>storm-client/test/jvm/org/apache/storm/grouping/LoadAwareShuffleGroupingTest.java</t>
        </is>
      </c>
      <c r="C2067">
        <f>HYPERLINK("https://github.com/apache/storm/blob/master/storm-client/test/jvm/org/apache/storm/grouping/LoadAwareShuffleGroupingTest.java")</f>
        <v/>
      </c>
      <c r="D2067"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67" t="n">
        <v>0</v>
      </c>
      <c r="F2067" t="n">
        <v>0.0308</v>
      </c>
      <c r="G2067" t="n">
        <v>0.1163</v>
      </c>
      <c r="H2067" t="inlineStr">
        <is>
          <t>This repository contains backend software components that implement core algorithms. The code is licensed under the Apache Software Foundation (ASF) license version 2.0 and can be found at http://www.apache.org/licenses/LICENSE-2.0. It may not be used except in compliance with this License. Code size: 1000 lines of code. Complexity</t>
        </is>
      </c>
      <c r="I2067" t="n">
        <v>0.0055</v>
      </c>
      <c r="J2067" t="n">
        <v>0.1587</v>
      </c>
      <c r="K2067" t="n">
        <v>0.3583</v>
      </c>
      <c r="L2067" t="inlineStr">
        <is>
          <t>This code is a part of Apache Storm's backend software components and it provides custom grouping strategies for use in distributed stream processing tasks. The main purpose of this code seems to be defining different types of groupings that can be applied when distributing the data across multiple nodes or processes within a system. 
 It uses Java utilities such as HashMaps and Lists</t>
        </is>
      </c>
      <c r="M2067" t="n">
        <v>0.0038</v>
      </c>
      <c r="N2067" t="n">
        <v>0.0833</v>
      </c>
      <c r="O2067" t="n">
        <v>0.1481</v>
      </c>
    </row>
    <row r="2068">
      <c r="A2068" t="inlineStr">
        <is>
          <t>storm</t>
        </is>
      </c>
      <c r="B2068" t="inlineStr">
        <is>
          <t>storm-client/test/jvm/org/apache/storm/grouping/partialKeyGrouping/PartialKeyGroupingTest.java</t>
        </is>
      </c>
      <c r="C2068">
        <f>HYPERLINK("https://github.com/apache/storm/blob/master/storm-client/test/jvm/org/apache/storm/grouping/partialKeyGrouping/PartialKeyGroupingTest.java")</f>
        <v/>
      </c>
      <c r="D2068"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68" t="n">
        <v>0</v>
      </c>
      <c r="F2068" t="n">
        <v>0.0312</v>
      </c>
      <c r="G2068" t="n">
        <v>0.1172</v>
      </c>
      <c r="H2068" t="inlineStr">
        <is>
          <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t>
        </is>
      </c>
      <c r="I2068" t="n">
        <v>0</v>
      </c>
      <c r="J2068" t="n">
        <v>0.0303</v>
      </c>
      <c r="K2068" t="n">
        <v>0.1154</v>
      </c>
      <c r="L2068" t="inlineStr">
        <is>
          <t>The provided code is a Java implementation of partial key grouping in Apache Storm. It's designed to divide incoming tuples into groups based on the hash value of their keys and distribute them across multiple tasks within each worker process. The main purpose of this class is to enhance performance by minimizing data serialization overhead caused by sending large amounts of data over network connections. This functionality can be useful</t>
        </is>
      </c>
      <c r="M2068" t="n">
        <v>0.0034</v>
      </c>
      <c r="N2068" t="n">
        <v>0.0506</v>
      </c>
      <c r="O2068" t="n">
        <v>0.1408</v>
      </c>
    </row>
    <row r="2069">
      <c r="A2069" t="inlineStr">
        <is>
          <t>storm</t>
        </is>
      </c>
      <c r="B2069" t="inlineStr">
        <is>
          <t>storm-client/test/jvm/org/apache/storm/grouping/partialKeyGrouping/RandomTwoTaskAssignmentCreatorTest.java</t>
        </is>
      </c>
      <c r="C2069">
        <f>HYPERLINK("https://github.com/apache/storm/blob/master/storm-client/test/jvm/org/apache/storm/grouping/partialKeyGrouping/RandomTwoTaskAssignmentCreatorTest.java")</f>
        <v/>
      </c>
      <c r="D2069"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69" t="n">
        <v>0</v>
      </c>
      <c r="F2069" t="n">
        <v>0.0308</v>
      </c>
      <c r="G2069" t="n">
        <v>0.1163</v>
      </c>
      <c r="H2069" t="inlineStr">
        <is>
          <t>The code you provided is a simple function for addition of two numbers in Java language. The functionality of the code can be summarized as follows:
```plaintext
Function Name : add 
Inputs        : Two numbers (integers or floats)
Output        : Sum of input numbers
Complexity    : O(1), constant time complexity since it performs only</t>
        </is>
      </c>
      <c r="I2069" t="n">
        <v>0.0034</v>
      </c>
      <c r="J2069" t="n">
        <v>0.0339</v>
      </c>
      <c r="K2069" t="n">
        <v>0.0794</v>
      </c>
      <c r="L2069" t="inlineStr">
        <is>
          <t>```java
// This is a Java code file implementing the Partial Key Grouping strategy for Apache Storm. 
// The purpose of this class is to group tuples based on partial keys extracted from each tuple in an input stream. 
// It uses Google's Guava library for list operations and utilities provided by Apache Storm for utility methods. 
//</t>
        </is>
      </c>
      <c r="M2069" t="n">
        <v>0.0037</v>
      </c>
      <c r="N2069" t="n">
        <v>0.09520000000000001</v>
      </c>
      <c r="O2069" t="n">
        <v>0.1538</v>
      </c>
    </row>
    <row r="2070">
      <c r="A2070" t="inlineStr">
        <is>
          <t>storm</t>
        </is>
      </c>
      <c r="B2070" t="inlineStr">
        <is>
          <t>storm-client/test/jvm/org/apache/storm/grouping/partialKeyGrouping/BalancedTargetSelectorTest.java</t>
        </is>
      </c>
      <c r="C2070">
        <f>HYPERLINK("https://github.com/apache/storm/blob/master/storm-client/test/jvm/org/apache/storm/grouping/partialKeyGrouping/BalancedTargetSelectorTest.java")</f>
        <v/>
      </c>
      <c r="D2070"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70" t="n">
        <v>0</v>
      </c>
      <c r="F2070" t="n">
        <v>0.0312</v>
      </c>
      <c r="G2070" t="n">
        <v>0.1172</v>
      </c>
      <c r="H2070" t="inlineStr">
        <is>
          <t>The code provided is a Java function for addition of two numbers named 'add'. It takes in two parameters (numbers), adds them together and returns the result. The time complexity of this operation is O(1).
In terms of licensing, it's under Apache License Version 2.0 which allows users to use or modify the software as long as they comply with its</t>
        </is>
      </c>
      <c r="I2070" t="n">
        <v>0.0036</v>
      </c>
      <c r="J2070" t="n">
        <v>0.0556</v>
      </c>
      <c r="K2070" t="n">
        <v>0.1504</v>
      </c>
      <c r="L2070" t="inlineStr">
        <is>
          <t>```plaintext
The provided code is a Java implementation of Partial Key Grouping in Apache Storm, which is used for grouping tuples based on partial keys extracted from the tuple's values. The main purpose of this class is to distribute incoming tuples across multiple tasks within a worker process according to their partially keyed groups. 
Inputs and outputs</t>
        </is>
      </c>
      <c r="M2070" t="n">
        <v>0.0032</v>
      </c>
      <c r="N2070" t="n">
        <v>0.0606</v>
      </c>
      <c r="O2070" t="n">
        <v>0.155</v>
      </c>
    </row>
    <row r="2071">
      <c r="A2071" t="inlineStr">
        <is>
          <t>storm</t>
        </is>
      </c>
      <c r="B2071" t="inlineStr">
        <is>
          <t>storm-client/test/jvm/org/apache/storm/executor/ExecutorTransferMultiThreadingTest.java</t>
        </is>
      </c>
      <c r="C2071">
        <f>HYPERLINK("https://github.com/apache/storm/blob/master/storm-client/test/jvm/org/apache/storm/executor/ExecutorTransferMultiThreadingTest.java")</f>
        <v/>
      </c>
      <c r="D2071" t="inlineStr">
        <is>
          <t>This code is licensed under the Apache Software Foundation (ASF) license version 2.0. It can be used and modified according to terms specified in the License at http://www.apache.org/licenses/LICENSE-2.0 without any restrictions or conditions unless stated otherwise by applicable law. The ASF licenses this file to you under the same license.</t>
        </is>
      </c>
      <c r="E2071" t="n">
        <v>0.0044</v>
      </c>
      <c r="F2071" t="n">
        <v>0.09089999999999999</v>
      </c>
      <c r="G2071" t="n">
        <v>0.2587</v>
      </c>
      <c r="H2071" t="inlineStr">
        <is>
          <t>This code is licensed under the Apache License 2.0 and it contains a package named org.apache.storm.executor which has implementations of core algorithms. The license grants you permission to use this software for any purpose except compliance with the license terms. You can obtain a copy of the license at http://www.apache.org/licenses/LICENSE-2.0 Unless</t>
        </is>
      </c>
      <c r="I2071" t="n">
        <v>0.0051</v>
      </c>
      <c r="J2071" t="n">
        <v>0.0857</v>
      </c>
      <c r="K2071" t="n">
        <v>0.3467</v>
      </c>
      <c r="L2071" t="inlineStr">
        <is>
          <t>This code is a part of Apache Storm's backend software components and it provides an implementation for the executor service used in distributed computing tasks. The purpose of this class seems to be managing threads efficiently by utilizing Java's ExecutorService interface. 
It creates a HashMap called 'taskToWorkers', which stores information about each task (identified by its ID</t>
        </is>
      </c>
      <c r="M2071" t="n">
        <v>0.0042</v>
      </c>
      <c r="N2071" t="n">
        <v>0.0896</v>
      </c>
      <c r="O2071" t="n">
        <v>0.1938</v>
      </c>
    </row>
    <row r="2072">
      <c r="A2072" t="inlineStr">
        <is>
          <t>storm</t>
        </is>
      </c>
      <c r="B2072" t="inlineStr">
        <is>
          <t>storm-client/test/jvm/org/apache/storm/executor/SpoutExecutorTest.java</t>
        </is>
      </c>
      <c r="C2072">
        <f>HYPERLINK("https://github.com/apache/storm/blob/master/storm-client/test/jvm/org/apache/storm/executor/SpoutExecutorTest.java")</f>
        <v/>
      </c>
      <c r="D2072" t="inlineStr">
        <is>
          <t>```plaintext
This code is licensed under the Apache License 2.0 and can be found at http://www.apache.org/licenses/LICENSE-2.0. It's a part of an Apache Storm project which is responsible for managing state in distributed systems. The license allows users to use this file except when they do not comply with the terms of</t>
        </is>
      </c>
      <c r="E2072" t="n">
        <v>0.0043</v>
      </c>
      <c r="F2072" t="n">
        <v>0.0588</v>
      </c>
      <c r="G2072" t="n">
        <v>0.122</v>
      </c>
      <c r="H2072" t="inlineStr">
        <is>
          <t>The provided code is a Java function that performs addition of two numbers (`a` and `b`). The complexity of this operation is O(1), meaning it takes constant time to perform the operation regardless of the size of input data. This function can be summarized as follows: "Defines an add function which adds two inputs together."
In terms of license information, this</t>
        </is>
      </c>
      <c r="I2072" t="n">
        <v>0.0036</v>
      </c>
      <c r="J2072" t="n">
        <v>0.0571</v>
      </c>
      <c r="K2072" t="n">
        <v>0.1128</v>
      </c>
      <c r="L2072" t="inlineStr">
        <is>
          <t>The provided code is part of Apache Storm's executor package and it appears to be related to the state management in a distributed computing system. 
 This module primarily serves as an interface between the worker process (which processes tuples from streams) and the storage for storing its internal states. It uses core algorithms such as spouts for emitting data into the topology and</t>
        </is>
      </c>
      <c r="M2072" t="n">
        <v>0.0041</v>
      </c>
      <c r="N2072" t="n">
        <v>0.1111</v>
      </c>
      <c r="O2072" t="n">
        <v>0.1852</v>
      </c>
    </row>
    <row r="2073">
      <c r="A2073" t="inlineStr">
        <is>
          <t>storm</t>
        </is>
      </c>
      <c r="B2073" t="inlineStr">
        <is>
          <t>storm-client/test/jvm/org/apache/storm/executor/error/ReportErrorTest.java</t>
        </is>
      </c>
      <c r="C2073">
        <f>HYPERLINK("https://github.com/apache/storm/blob/master/storm-client/test/jvm/org/apache/storm/executor/error/ReportErrorTest.java")</f>
        <v/>
      </c>
      <c r="D2073" t="inlineStr">
        <is>
          <t>```plaintext
This code is licensed under the Apache Software Foundation (ASF), which allows it to be used and modified according to terms specified in an agreement between contributors. The license can be found at http://www.apache.org/licenses/LICENSE-2.0. 
It's important to note that this file may not be used except</t>
        </is>
      </c>
      <c r="E2073" t="n">
        <v>0.0046</v>
      </c>
      <c r="F2073" t="n">
        <v>0.09520000000000001</v>
      </c>
      <c r="G2073" t="n">
        <v>0.1681</v>
      </c>
      <c r="H2073" t="inlineStr">
        <is>
          <t>This repository contains backend software components that implement core algorithms used by Apache Storm for distributed processing of large data streams in real time. The code is licensed under the Apache Software Foundation (ASF) license version 2.0 and can be found at http://www.apache.org/licenses/LICENSE-2.0. This includes a package named `org.apache.storm.execut</t>
        </is>
      </c>
      <c r="I2073" t="n">
        <v>0.0053</v>
      </c>
      <c r="J2073" t="n">
        <v>0.1471</v>
      </c>
      <c r="K2073" t="n">
        <v>0.3524</v>
      </c>
      <c r="L2073" t="inlineStr">
        <is>
          <t>The provided code is a Java class named `ErrorCount` that implements an error counting mechanism for Apache Storm topology components. 
 This class uses the HashMap and AtomicLong data structures to keep track of errors in each component within the Storm cluster. It also utilizes concurrency features from java.util.concurrent package for thread safety. 
 The main purpose</t>
        </is>
      </c>
      <c r="M2073" t="n">
        <v>0.0044</v>
      </c>
      <c r="N2073" t="n">
        <v>0.0615</v>
      </c>
      <c r="O2073" t="n">
        <v>0.1575</v>
      </c>
    </row>
    <row r="2074">
      <c r="A2074" t="inlineStr">
        <is>
          <t>storm</t>
        </is>
      </c>
      <c r="B2074" t="inlineStr">
        <is>
          <t>storm-client/test/jvm/org/apache/storm/blobstore/ClientBlobStoreTest.java</t>
        </is>
      </c>
      <c r="C2074">
        <f>HYPERLINK("https://github.com/apache/storm/blob/master/storm-client/test/jvm/org/apache/storm/blobstore/ClientBlobStoreTest.java")</f>
        <v/>
      </c>
      <c r="D2074" t="inlineStr">
        <is>
          <t>&lt;!-- This is a brief summary of the code provided --&gt;
This Apache Storm BlobStore package contains backend software components for handling and managing large binary data objects (blobs). The blob store uses an in-memory hash map to keep track of all uploaded files along with their access control details such as user roles and permissions. It implements core algorithms using O(N)</t>
        </is>
      </c>
      <c r="E2074" t="n">
        <v>0.0078</v>
      </c>
      <c r="F2074" t="n">
        <v>0.1143</v>
      </c>
      <c r="G2074" t="n">
        <v>0.3182</v>
      </c>
      <c r="H2074" t="inlineStr">
        <is>
          <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t>
        </is>
      </c>
      <c r="I2074" t="n">
        <v>0</v>
      </c>
      <c r="J2074" t="n">
        <v>0.0286</v>
      </c>
      <c r="K2074" t="n">
        <v>0.1119</v>
      </c>
      <c r="L2074" t="inlineStr">
        <is>
          <t>The provided code is a part of Apache Storm's blob store implementation in Java. It appears to be managing access control for the storage system using an instance of `AccessControl` and leveraging it to manage authorizations on different resources (like files or directories). 
 This code defines two main classes - `BlobStoreAuthFactory` which creates instances of `I</t>
        </is>
      </c>
      <c r="M2074" t="n">
        <v>0.0039</v>
      </c>
      <c r="N2074" t="n">
        <v>0.0625</v>
      </c>
      <c r="O2074" t="n">
        <v>0.1563</v>
      </c>
    </row>
    <row r="2075">
      <c r="A2075" t="inlineStr">
        <is>
          <t>storm</t>
        </is>
      </c>
      <c r="B2075" t="inlineStr">
        <is>
          <t>storm-client/src/py/__init__.py</t>
        </is>
      </c>
      <c r="C2075">
        <f>HYPERLINK("https://github.com/apache/storm/blob/master/storm-client/src/py/__init__.py")</f>
        <v/>
      </c>
      <c r="D2075" t="inlineStr">
        <is>
          <t>```python
#!/usr/bin/env python
"""
Copyright 2019 Apache Software Foundation (ASF). All Rights Reserved.
Licensed under the Apache License, Version 2.0 (the "License"). You may not use this file except in compliance with the License. A copy of the License is located at http://www.apache.</t>
        </is>
      </c>
      <c r="E2075" t="n">
        <v>0</v>
      </c>
      <c r="F2075" t="n">
        <v>0.0364</v>
      </c>
      <c r="G2075" t="n">
        <v>0.1304</v>
      </c>
      <c r="H2075" t="inlineStr">
        <is>
          <t>```python
#!/usr/bin/env 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t>
        </is>
      </c>
      <c r="I2075" t="n">
        <v>0</v>
      </c>
      <c r="J2075" t="n">
        <v>0.0357</v>
      </c>
      <c r="K2075" t="n">
        <v>0.1271</v>
      </c>
      <c r="L2075" t="inlineStr">
        <is>
          <t>```python
#!/usr/bin/env 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t>
        </is>
      </c>
      <c r="M2075" t="n">
        <v>0</v>
      </c>
      <c r="N2075" t="n">
        <v>0.0333</v>
      </c>
      <c r="O2075" t="n">
        <v>0.123</v>
      </c>
    </row>
    <row r="2076">
      <c r="A2076" t="inlineStr">
        <is>
          <t>storm</t>
        </is>
      </c>
      <c r="B2076" t="inlineStr">
        <is>
          <t>storm-client/src/py/storm/constants.py</t>
        </is>
      </c>
      <c r="C2076">
        <f>HYPERLINK("https://github.com/apache/storm/blob/master/storm-client/src/py/storm/constants.py")</f>
        <v/>
      </c>
      <c r="D2076" t="inlineStr">
        <is>
          <t>```python
#!/usr/bin/env 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t>
        </is>
      </c>
      <c r="E2076" t="n">
        <v>0</v>
      </c>
      <c r="F2076" t="n">
        <v>0.0333</v>
      </c>
      <c r="G2076" t="n">
        <v>0.123</v>
      </c>
      <c r="H2076" t="inlineStr">
        <is>
          <t>The function `add` takes two parameters (numbers), adds them together and returns the result. The time complexity of this operation is O(1).
```python
def add(a, b):
    return a + b
``` 
In simple terms, it's like saying "I have two numbers, I will put these on top of each other to</t>
        </is>
      </c>
      <c r="I2076" t="n">
        <v>0.0036</v>
      </c>
      <c r="J2076" t="n">
        <v>0.0667</v>
      </c>
      <c r="K2076" t="n">
        <v>0.122</v>
      </c>
      <c r="L2076" t="inlineStr">
        <is>
          <t>```python
#!/usr/bin/env 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t>
        </is>
      </c>
      <c r="M2076" t="n">
        <v>0</v>
      </c>
      <c r="N2076" t="n">
        <v>0.0333</v>
      </c>
      <c r="O2076" t="n">
        <v>0.123</v>
      </c>
    </row>
    <row r="2077">
      <c r="A2077" t="inlineStr">
        <is>
          <t>storm</t>
        </is>
      </c>
      <c r="B2077" t="inlineStr">
        <is>
          <t>storm-client/src/py/storm/DistributedRPC.py</t>
        </is>
      </c>
      <c r="C2077">
        <f>HYPERLINK("https://github.com/apache/storm/blob/master/storm-client/src/py/storm/DistributedRPC.py")</f>
        <v/>
      </c>
      <c r="D2077" t="inlineStr">
        <is>
          <t>```python
#!/usr/bin/env python
"""
Copyright 2023 Apache Software Foundation (ASF). All Rights Reserved.
Licensed under the Apache License, Version 2.0 (the "License"). You may not use this file except in compliance with the License. A copy of the License is located at http://www.apache.</t>
        </is>
      </c>
      <c r="E2077" t="n">
        <v>0</v>
      </c>
      <c r="F2077" t="n">
        <v>0.0364</v>
      </c>
      <c r="G2077" t="n">
        <v>0.1304</v>
      </c>
      <c r="H2077" t="inlineStr">
        <is>
          <t>This function adds two numbers together and returns the result. The time complexity is O(1), which means it performs a constant number of operations regardless of the size of the input data.
&lt;jupyter_output&gt;
&lt;empty_output&gt;
&lt;jupyter_text&gt;
```pythondef add(a, b):    return a + b```  Now summar</t>
        </is>
      </c>
      <c r="I2077" t="n">
        <v>0.005</v>
      </c>
      <c r="J2077" t="n">
        <v>0.1071</v>
      </c>
      <c r="K2077" t="n">
        <v>0.1293</v>
      </c>
      <c r="L2077" t="inlineStr">
        <is>
          <t>ThisPythonscriptusesThriftcompilerversion0.22.0toparseacomplexprotocolbufferformatintothencodebasedata.Itdoessoviaa'parse_data()'methodwhichtakesbinaryformatteddatainputandsendsoutparsedJSONrepresentationofthatdata.Thescriptalsooffersanoptionsthatallowsusersettingcustomheadersbeforethey</t>
        </is>
      </c>
      <c r="M2077" t="n">
        <v>0</v>
      </c>
      <c r="N2077" t="n">
        <v>0</v>
      </c>
      <c r="O2077" t="n">
        <v>0</v>
      </c>
    </row>
    <row r="2078">
      <c r="A2078" t="inlineStr">
        <is>
          <t>storm</t>
        </is>
      </c>
      <c r="B2078" t="inlineStr">
        <is>
          <t>storm-client/src/py/storm/Nimbus.py</t>
        </is>
      </c>
      <c r="C2078">
        <f>HYPERLINK("https://github.com/apache/storm/blob/master/storm-client/src/py/storm/Nimbus.py")</f>
        <v/>
      </c>
      <c r="D2078" t="inlineStr">
        <is>
          <t>&lt;unknown&gt;
```
I'm sorry but your question seems to be missing some context or code snippet that you want me to summarize. Could you please provide the relevant code? I will then be able to help you with it.</t>
        </is>
      </c>
      <c r="E2078" t="n">
        <v>0</v>
      </c>
      <c r="F2078" t="n">
        <v>0</v>
      </c>
      <c r="G2078" t="n">
        <v>0</v>
      </c>
      <c r="H2078" t="inlineStr">
        <is>
          <t>This Python function performs addition operation on two numbers and returns the result. Its time complexity is O(1), meaning it takes constant amount of time to execute regardless of input size. The code consists of a single line that adds 'a' and 'b'.
```python
def add(a, b):
    return a + b
``` 
It can be used</t>
        </is>
      </c>
      <c r="I2078" t="n">
        <v>0.0039</v>
      </c>
      <c r="J2078" t="n">
        <v>0.09379999999999999</v>
      </c>
      <c r="K2078" t="n">
        <v>0.1172</v>
      </c>
      <c r="L2078" t="inlineStr">
        <is>
          <t>```python
#!/usr/bin/env 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t>
        </is>
      </c>
      <c r="M2078" t="n">
        <v>0</v>
      </c>
      <c r="N2078" t="n">
        <v>0.0333</v>
      </c>
      <c r="O2078" t="n">
        <v>0.123</v>
      </c>
    </row>
    <row r="2079">
      <c r="A2079" t="inlineStr">
        <is>
          <t>storm</t>
        </is>
      </c>
      <c r="B2079" t="inlineStr">
        <is>
          <t>storm-client/src/py/storm/Supervisor.py</t>
        </is>
      </c>
      <c r="C2079">
        <f>HYPERLINK("https://github.com/apache/storm/blob/master/storm-client/src/py/storm/Supervisor.py")</f>
        <v/>
      </c>
      <c r="D2079" t="inlineStr">
        <is>
          <t>```python
#!/usr/bin/env 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t>
        </is>
      </c>
      <c r="E2079" t="n">
        <v>0</v>
      </c>
      <c r="F2079" t="n">
        <v>0.0333</v>
      </c>
      <c r="G2079" t="n">
        <v>0.123</v>
      </c>
      <c r="H2079" t="inlineStr">
        <is>
          <t>The function `add` takes two parameters (numbers), adds them together and returns the result. The time complexity of this operation is O(1). It's a simple addition operation that doesn't involve any loops or recursive calls.
```python
def add(a, b):
    return a + b
```</t>
        </is>
      </c>
      <c r="I2079" t="n">
        <v>0.0042</v>
      </c>
      <c r="J2079" t="n">
        <v>0.0741</v>
      </c>
      <c r="K2079" t="n">
        <v>0.1293</v>
      </c>
      <c r="L2079" t="inlineStr">
        <is>
          <t>ThegivenPythonscriptappearstoimplementaThriftcompilerwrapperthathandlescompilationofThriftIDLfilesintopythonmodules.Itacceptsthreecommandlinearguments:thepathofafilecontainingtheThriftInterfaceDefinitionLanguage(IDL);thenameofamodulewheretheselementsshouldbesaved;andoptionally,acommandlinet</t>
        </is>
      </c>
      <c r="M2079" t="n">
        <v>0</v>
      </c>
      <c r="N2079" t="n">
        <v>0</v>
      </c>
      <c r="O2079" t="n">
        <v>0</v>
      </c>
    </row>
    <row r="2080">
      <c r="A2080" t="inlineStr">
        <is>
          <t>storm</t>
        </is>
      </c>
      <c r="B2080" t="inlineStr">
        <is>
          <t>storm-client/src/py/storm/ttypes.py</t>
        </is>
      </c>
      <c r="C2080">
        <f>HYPERLINK("https://github.com/apache/storm/blob/master/storm-client/src/py/storm/ttypes.py")</f>
        <v/>
      </c>
      <c r="D2080" t="inlineStr">
        <is>
          <t>```python
#!/usr/bin/env 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t>
        </is>
      </c>
      <c r="E2080" t="n">
        <v>0</v>
      </c>
      <c r="F2080" t="n">
        <v>0.0323</v>
      </c>
      <c r="G2080" t="n">
        <v>0.121</v>
      </c>
      <c r="H2080" t="inlineStr">
        <is>
          <t>```python
#!/usr/bin/env 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t>
        </is>
      </c>
      <c r="I2080" t="n">
        <v>0</v>
      </c>
      <c r="J2080" t="n">
        <v>0.0339</v>
      </c>
      <c r="K2080" t="n">
        <v>0.124</v>
      </c>
      <c r="L2080" t="inlineStr">
        <is>
          <t>```python
#!/usr/bin/env 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t>
        </is>
      </c>
      <c r="M2080" t="n">
        <v>0</v>
      </c>
      <c r="N2080" t="n">
        <v>0.0323</v>
      </c>
      <c r="O2080" t="n">
        <v>0.121</v>
      </c>
    </row>
    <row r="2081">
      <c r="A2081" t="inlineStr">
        <is>
          <t>storm</t>
        </is>
      </c>
      <c r="B2081" t="inlineStr">
        <is>
          <t>storm-client/src/py/storm/__init__.py</t>
        </is>
      </c>
      <c r="C2081">
        <f>HYPERLINK("https://github.com/apache/storm/blob/master/storm-client/src/py/storm/__init__.py")</f>
        <v/>
      </c>
      <c r="D2081" t="inlineStr">
        <is>
          <t>```python
#!/usr/bin/env python
from __future__ import absolute_import, division, print_function, unicode_literals
"""
Licensed to the Apache Software Foundation (ASF) under one or more contributor license agreements.  See the NOTICE file distributed with this work for additional information regarding copyright ownership. The ASF lic</t>
        </is>
      </c>
      <c r="E2081" t="n">
        <v>0</v>
      </c>
      <c r="F2081" t="n">
        <v>0.037</v>
      </c>
      <c r="G2081" t="n">
        <v>0.1316</v>
      </c>
      <c r="H2081" t="inlineStr">
        <is>
          <t>The provided code is a simple Python function named `add` that takes two parameters (numbers), adds them together and returns the result. This operation has a time complexity of O(1). The function does not repeat any code or comments are present to explain its functionality.
&lt;jupyter_code&gt;
def add(a, b):
    return a + b</t>
        </is>
      </c>
      <c r="I2081" t="n">
        <v>0.0041</v>
      </c>
      <c r="J2081" t="n">
        <v>0.0635</v>
      </c>
      <c r="K2081" t="n">
        <v>0.12</v>
      </c>
      <c r="L2081" t="inlineStr">
        <is>
          <t>```python
"""
This Python module contains backend software components for a distributed RPC system using Apache Thrift and Zookeeper. 
It implements core algorithms such as Nimbus (a scheduling algorithm), Distributed RPC (handles remote procedure calls across multiple nodes in the network), 
and Supervisor (manages processes). The code size is</t>
        </is>
      </c>
      <c r="M2081" t="n">
        <v>0.0104</v>
      </c>
      <c r="N2081" t="n">
        <v>0.1786</v>
      </c>
      <c r="O2081" t="n">
        <v>0.3964</v>
      </c>
    </row>
    <row r="2082">
      <c r="A2082" t="inlineStr">
        <is>
          <t>storm</t>
        </is>
      </c>
      <c r="B2082" t="inlineStr">
        <is>
          <t>storm-client/src/py/storm/DistributedRPCInvocations.py</t>
        </is>
      </c>
      <c r="C2082">
        <f>HYPERLINK("https://github.com/apache/storm/blob/master/storm-client/src/py/storm/DistributedRPCInvocations.py")</f>
        <v/>
      </c>
      <c r="D2082" t="inlineStr">
        <is>
          <t>```python
#!/usr/bin/env python
"""
Copyright 2023 The Apache Software Foundation (ASF).
Licensed under the Apache License, Version 2.0 (the "License"); you may not use this file except in compliance with the License. You may obtain a copy of the License at http://www.apache.org/lic</t>
        </is>
      </c>
      <c r="E2082" t="n">
        <v>0</v>
      </c>
      <c r="F2082" t="n">
        <v>0.0357</v>
      </c>
      <c r="G2082" t="n">
        <v>0.1316</v>
      </c>
      <c r="H2082" t="inlineStr">
        <is>
          <t>This code is a simple Python function for addition of two numbers (`a` and `b`). It has a time complexity of O(1), meaning it takes constant time to execute regardless of the size of inputs. The function returns the sum of `a` and `b`.
&lt;jupyter_code&gt;
#!/usr/bin/env python
"""</t>
        </is>
      </c>
      <c r="I2082" t="n">
        <v>0.0045</v>
      </c>
      <c r="J2082" t="n">
        <v>0.1017</v>
      </c>
      <c r="K2082" t="n">
        <v>0.1667</v>
      </c>
      <c r="L2082" t="inlineStr">
        <is>
          <t>The code provided is a part of the backend software component for an application using Apache Thrift as its communication protocol. The main purpose of this module appears to be implementing core algorithms related to string manipulation and processing. 
# It takes in input strings with various options such as encoding (UTF-8). These are processed according to predefined rules or custom ones depending on the option</t>
        </is>
      </c>
      <c r="M2082" t="n">
        <v>0.0039</v>
      </c>
      <c r="N2082" t="n">
        <v>0.1351</v>
      </c>
      <c r="O2082" t="n">
        <v>0.3475</v>
      </c>
    </row>
    <row r="2083">
      <c r="A2083" t="inlineStr">
        <is>
          <t>storm</t>
        </is>
      </c>
      <c r="B2083" t="inlineStr">
        <is>
          <t>storm-client/src/jvm/org/apache/storm/ISubmitterHook.java</t>
        </is>
      </c>
      <c r="C2083">
        <f>HYPERLINK("https://github.com/apache/storm/blob/master/storm-client/src/jvm/org/apache/storm/ISubmitterHook.java")</f>
        <v/>
      </c>
      <c r="D2083"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83" t="n">
        <v>0</v>
      </c>
      <c r="F2083" t="n">
        <v>0.0312</v>
      </c>
      <c r="G2083" t="n">
        <v>0.1172</v>
      </c>
      <c r="H2083" t="inlineStr">
        <is>
          <t>The provided code is a Java implementation of an Apache Storm topology for implementing core algorithms. The `add` function takes two parameters and returns their sum. This operation has a time complexity of O(1), meaning it performs the same number of operations regardless of input size.
The license at the top of this file specifies that anyone can use or modify this software under the terms of the Apache</t>
        </is>
      </c>
      <c r="I2083" t="n">
        <v>0.0037</v>
      </c>
      <c r="J2083" t="n">
        <v>0.1026</v>
      </c>
      <c r="K2083" t="n">
        <v>0.3625</v>
      </c>
      <c r="L2083"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M2083" t="n">
        <v>0</v>
      </c>
      <c r="N2083" t="n">
        <v>0.0308</v>
      </c>
      <c r="O2083" t="n">
        <v>0.1163</v>
      </c>
    </row>
    <row r="2084">
      <c r="A2084" t="inlineStr">
        <is>
          <t>storm</t>
        </is>
      </c>
      <c r="B2084" t="inlineStr">
        <is>
          <t>storm-client/src/jvm/org/apache/storm/StormSubmitter.java</t>
        </is>
      </c>
      <c r="C2084">
        <f>HYPERLINK("https://github.com/apache/storm/blob/master/storm-client/src/jvm/org/apache/storm/StormSubmitter.java")</f>
        <v/>
      </c>
      <c r="D2084" t="inlineStr">
        <is>
          <t>```plaintext
This repository contains backend software components written in Java. The main focus is on implementing core algorithms and data structures used by Apache Storm, a distributed real-time computation system. 
It's licensed under the Apache License Version 2.0 (see http://www.apache.org/licenses/LICENSE-2.0). This means that</t>
        </is>
      </c>
      <c r="E2084" t="n">
        <v>0.0061</v>
      </c>
      <c r="F2084" t="n">
        <v>0.1639</v>
      </c>
      <c r="G2084" t="n">
        <v>0.3708</v>
      </c>
      <c r="H2084" t="inlineStr">
        <is>
          <t>This repository contains backend software components that implement core algorithms used by Apache Storm. The code is licensed under the Apache Software Foundation (ASF) license version 2.0 and can be found at http://www.apache.org/licenses/LICENSE-2.0. It's distributed on an "AS IS" BASIS, WITHOUT WARRANTIES OR CONDITIONS</t>
        </is>
      </c>
      <c r="I2084" t="n">
        <v>0.0059</v>
      </c>
      <c r="J2084" t="n">
        <v>0.1639</v>
      </c>
      <c r="K2084" t="n">
        <v>0.3676</v>
      </c>
      <c r="L2084" t="inlineStr">
        <is>
          <t>The code provided is part of Apache Storm's source code and it contains a class for handling file IO operations in the system. The main purpose of this class seems to be managing files related to the Storm framework.
It takes inputs such as File objects or ByteBuffers representing data that need to be written into these files. It also provides outputs like List&lt;String&gt; which are fil</t>
        </is>
      </c>
      <c r="M2084" t="n">
        <v>0.0027</v>
      </c>
      <c r="N2084" t="n">
        <v>0.026</v>
      </c>
      <c r="O2084" t="n">
        <v>0.1079</v>
      </c>
    </row>
    <row r="2085">
      <c r="A2085" t="inlineStr">
        <is>
          <t>storm</t>
        </is>
      </c>
      <c r="B2085" t="inlineStr">
        <is>
          <t>storm-client/src/jvm/org/apache/storm/ILocalDRPC.java</t>
        </is>
      </c>
      <c r="C2085">
        <f>HYPERLINK("https://github.com/apache/storm/blob/master/storm-client/src/jvm/org/apache/storm/ILocalDRPC.java")</f>
        <v/>
      </c>
      <c r="D2085" t="inlineStr">
        <is>
          <t>This code is licensed under the Apache Software Foundation (ASF) license version 2.0. It's a Java package for distributed processing using Storm framework which provides RPC capabilities and allows shutdown functionality. The source code can be obtained from http://www.apache.org/licenses/LICENSE-2.0 but it must not be used except in compliance with this</t>
        </is>
      </c>
      <c r="E2085" t="n">
        <v>0.0044</v>
      </c>
      <c r="F2085" t="n">
        <v>0.0896</v>
      </c>
      <c r="G2085" t="n">
        <v>0.1639</v>
      </c>
      <c r="H2085" t="inlineStr">
        <is>
          <t>&lt;!-- The code provided is a Java class that implements the Apache Storm's Distributed RPC (Remote Procedure Call). It extends an interface 'Shutdownable', which provides methods for starting and stopping components in distributed systems like Storm. č
č
It also uses two generated interfaces - 'DistributedRPC' and 'DistributedRPCInvocations'. These are likely to</t>
        </is>
      </c>
      <c r="I2085" t="n">
        <v>0.0042</v>
      </c>
      <c r="J2085" t="n">
        <v>0.0702</v>
      </c>
      <c r="K2085" t="n">
        <v>0.121</v>
      </c>
      <c r="L2085" t="inlineStr">
        <is>
          <t>/*
```java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M2085" t="n">
        <v>0</v>
      </c>
      <c r="N2085" t="n">
        <v>0.0312</v>
      </c>
      <c r="O2085" t="n">
        <v>0.1163</v>
      </c>
    </row>
    <row r="2086">
      <c r="A2086" t="inlineStr">
        <is>
          <t>storm</t>
        </is>
      </c>
      <c r="B2086" t="inlineStr">
        <is>
          <t>storm-client/src/jvm/org/apache/storm/Constants.java</t>
        </is>
      </c>
      <c r="C2086">
        <f>HYPERLINK("https://github.com/apache/storm/blob/master/storm-client/src/jvm/org/apache/storm/Constants.java")</f>
        <v/>
      </c>
      <c r="D2086"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86" t="n">
        <v>0</v>
      </c>
      <c r="F2086" t="n">
        <v>0.0312</v>
      </c>
      <c r="G2086" t="n">
        <v>0.1172</v>
      </c>
      <c r="H2086" t="inlineStr">
        <is>
          <t>This code is a part of Apache Storm project which is an open source distributed real-time computation system. It contains the definition for a constant class named Constants with one final static String variable COORDINATED_STREAM_ID that holds the value "Coordinate". The license under which this software can be used and modified is specified in the comments at the top of the file.</t>
        </is>
      </c>
      <c r="I2086" t="n">
        <v>0.0039</v>
      </c>
      <c r="J2086" t="n">
        <v>0.0822</v>
      </c>
      <c r="K2086" t="n">
        <v>0.2799</v>
      </c>
      <c r="L2086" t="inlineStr">
        <is>
          <t>This code is part of Apache Storm's library and it defines a constant class named Constants with two public static final String variables COORDINATED_STREAM_ID and COORDINATION_TYPE. The purpose of this code seems to be defining constants for use in the system related to coordination or distributed processing tasks such as stream IDs or types of coordination used by bol</t>
        </is>
      </c>
      <c r="M2086" t="n">
        <v>0.0037</v>
      </c>
      <c r="N2086" t="n">
        <v>0.0563</v>
      </c>
      <c r="O2086" t="n">
        <v>0.1145</v>
      </c>
    </row>
    <row r="2087">
      <c r="A2087" t="inlineStr">
        <is>
          <t>storm</t>
        </is>
      </c>
      <c r="B2087" t="inlineStr">
        <is>
          <t>storm-client/src/jvm/org/apache/storm/LogWriter.java</t>
        </is>
      </c>
      <c r="C2087">
        <f>HYPERLINK("https://github.com/apache/storm/blob/master/storm-client/src/jvm/org/apache/storm/LogWriter.java")</f>
        <v/>
      </c>
      <c r="D2087"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87" t="n">
        <v>0</v>
      </c>
      <c r="F2087" t="n">
        <v>0.0308</v>
      </c>
      <c r="G2087" t="n">
        <v>0.1163</v>
      </c>
      <c r="H2087" t="inlineStr">
        <is>
          <t>The function `add` takes two parameters (numbers a and b), adds them together, and returns the result. The time complexity of this operation is O(1).
```python
def add(a, b):  # Function to add two numbers
    return a + b
```
This code snippet is licensed under Apache License Version 2.0</t>
        </is>
      </c>
      <c r="I2087" t="n">
        <v>0.0044</v>
      </c>
      <c r="J2087" t="n">
        <v>0.06900000000000001</v>
      </c>
      <c r="K2087" t="n">
        <v>0.123</v>
      </c>
      <c r="L2087"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M2087" t="n">
        <v>0</v>
      </c>
      <c r="N2087" t="n">
        <v>0.0308</v>
      </c>
      <c r="O2087" t="n">
        <v>0.1163</v>
      </c>
    </row>
    <row r="2088">
      <c r="A2088" t="inlineStr">
        <is>
          <t>storm</t>
        </is>
      </c>
      <c r="B2088" t="inlineStr">
        <is>
          <t>storm-client/src/jvm/org/apache/storm/Config.java</t>
        </is>
      </c>
      <c r="C2088">
        <f>HYPERLINK("https://github.com/apache/storm/blob/master/storm-client/src/jvm/org/apache/storm/Config.java")</f>
        <v/>
      </c>
      <c r="D2088" t="inlineStr">
        <is>
          <t>```plaintext
This code is licensed under the Apache Software Foundation (ASF) license version 2.0. It's distributed with this work for information about copyright ownership and licensing details. The ASF has granted permission to use this file in compliance with the License at http://www.apache.org/licenses/LICENSE-2.0. This includes</t>
        </is>
      </c>
      <c r="E2088" t="n">
        <v>0.0049</v>
      </c>
      <c r="F2088" t="n">
        <v>0.0968</v>
      </c>
      <c r="G2088" t="n">
        <v>0.1709</v>
      </c>
      <c r="H2088" t="inlineStr">
        <is>
          <t>This repository contains backend software components that implement core algorithms used in Apache Storm. The complexity of the code is O(n), as it involves iterating over an array or list to perform operations such as serialization and deserialization using Kryo library.
The license for this project allows you to use its source code under the terms specified by the Apache License Version 2.0</t>
        </is>
      </c>
      <c r="I2088" t="n">
        <v>0.0041</v>
      </c>
      <c r="J2088" t="n">
        <v>0.137</v>
      </c>
      <c r="K2088" t="n">
        <v>0.3158</v>
      </c>
      <c r="L2088" t="inlineStr">
        <is>
          <t>This code is a part of Apache Storm's source code and it appears to be implementing Kryo serialization for network communication in the distributed system context. It includes import statements for necessary classes such as Serializer, UnknownHostException, ArrayList, Arrays, HashMap etc. The main purpose seems to be defining custom serializers for specific data types used within the Storm framework.</t>
        </is>
      </c>
      <c r="M2088" t="n">
        <v>0.0037</v>
      </c>
      <c r="N2088" t="n">
        <v>0.0588</v>
      </c>
      <c r="O2088" t="n">
        <v>0.1527</v>
      </c>
    </row>
    <row r="2089">
      <c r="A2089" t="inlineStr">
        <is>
          <t>storm</t>
        </is>
      </c>
      <c r="B2089" t="inlineStr">
        <is>
          <t>storm-client/src/jvm/org/apache/storm/ILocalCluster.java</t>
        </is>
      </c>
      <c r="C2089">
        <f>HYPERLINK("https://github.com/apache/storm/blob/master/storm-client/src/jvm/org/apache/storm/ILocalCluster.java")</f>
        <v/>
      </c>
      <c r="D2089" t="inlineStr">
        <is>
          <t>```
/* 
 * Licensed to the Apache Software Foundation (ASF) under one or more contributor license agreements.  
 * See the NOTICE file distributed with this work for additional information regarding copyright ownership. 
 * The ASF licenses this file to you under the Apache License, Version 2.0 (the "License"); 
 * you may</t>
        </is>
      </c>
      <c r="E2089" t="n">
        <v>0</v>
      </c>
      <c r="F2089" t="n">
        <v>0.037</v>
      </c>
      <c r="G2089" t="n">
        <v>0.122</v>
      </c>
      <c r="H2089" t="inlineStr">
        <is>
          <t>The provided code is a Java function named `add` that takes two parameters (`a` and `b`), performs an addition operation on them, and returns the result. This functionality adds two numbers together. The complexity of this function is O(1). It's licensed under Apache License 2.0 which means it can be used freely for any purpose.
Please provide</t>
        </is>
      </c>
      <c r="I2089" t="n">
        <v>0.0042</v>
      </c>
      <c r="J2089" t="n">
        <v>0.0588</v>
      </c>
      <c r="K2089" t="n">
        <v>0.1163</v>
      </c>
      <c r="L2089" t="inlineStr">
        <is>
          <t>The provided code is a Java implementation of Apache Storm's `TopologyBuilder` class which builds the topology for distributed stream processing tasks in Storm clusters.
It primarily performs operations related to defining and managing topologies within a Storm cluster. The main purpose of this class seems to be creating new instances of Topology objects with specific configurations, adding spouts (data sources) and bolts</t>
        </is>
      </c>
      <c r="M2089" t="n">
        <v>0.0029</v>
      </c>
      <c r="N2089" t="n">
        <v>0.0563</v>
      </c>
      <c r="O2089" t="n">
        <v>0.1119</v>
      </c>
    </row>
    <row r="2090">
      <c r="A2090" t="inlineStr">
        <is>
          <t>storm</t>
        </is>
      </c>
      <c r="B2090" t="inlineStr">
        <is>
          <t>storm-client/src/jvm/org/apache/storm/Thrift.java</t>
        </is>
      </c>
      <c r="C2090">
        <f>HYPERLINK("https://github.com/apache/storm/blob/master/storm-client/src/jvm/org/apache/storm/Thrift.java")</f>
        <v/>
      </c>
      <c r="D2090"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90" t="n">
        <v>0</v>
      </c>
      <c r="F2090" t="n">
        <v>0.0308</v>
      </c>
      <c r="G2090" t="n">
        <v>0.1163</v>
      </c>
      <c r="H2090" t="inlineStr">
        <is>
          <t>This code is a Java implementation of the Apache Storm framework's core algorithms. It contains several classes and interfaces related to distributed computing systems. The main class `org.apache.storm` seems to be responsible for managing components in such a system.
In terms of functionality, this code provides implementations for various aspects like serialization (using Java's built-in Serializable interface</t>
        </is>
      </c>
      <c r="I2090" t="n">
        <v>0.0042</v>
      </c>
      <c r="J2090" t="n">
        <v>0.1143</v>
      </c>
      <c r="K2090" t="n">
        <v>0.155</v>
      </c>
      <c r="L2090" t="inlineStr">
        <is>
          <t>The provided code is a part of Apache Storm's source code for serialization and deserialization of tuples (data records). It defines classes to handle the conversion between Java objects and their binary representation in network byte order. The main purpose of these classes seems to be efficient data transfer over networks where efficiency can be improved by minimizing the size of transferred bytes.
Classes involved</t>
        </is>
      </c>
      <c r="M2090" t="n">
        <v>0.0028</v>
      </c>
      <c r="N2090" t="n">
        <v>0.027</v>
      </c>
      <c r="O2090" t="n">
        <v>0.073</v>
      </c>
    </row>
    <row r="2091">
      <c r="A2091" t="inlineStr">
        <is>
          <t>storm</t>
        </is>
      </c>
      <c r="B2091" t="inlineStr">
        <is>
          <t>storm-client/src/jvm/org/apache/storm/ICredentialsListener.java</t>
        </is>
      </c>
      <c r="C2091">
        <f>HYPERLINK("https://github.com/apache/storm/blob/master/storm-client/src/jvm/org/apache/storm/ICredentialsListener.java")</f>
        <v/>
      </c>
      <c r="D2091" t="inlineStr">
        <is>
          <t>This code is licensed under the Apache Software Foundation (ASF) license version 2.0. It allows for notification of credential changes in a topology and provides an interface definition for such listeners. The implementation may involve complex algorithms but its complexity appears to be O(N). There are no comments provided with this code indicating what it does or how it works. However, based on</t>
        </is>
      </c>
      <c r="E2091" t="n">
        <v>0.0034</v>
      </c>
      <c r="F2091" t="n">
        <v>0.0822</v>
      </c>
      <c r="G2091" t="n">
        <v>0.1481</v>
      </c>
      <c r="H2091" t="inlineStr">
        <is>
          <t>This code is a Java interface named ICredentialsListener that declares one method called onCredentialsChanged(). The purpose of this interface seems to be notifying the system when some credentials (perhaps authentication tokens or passwords) have changed in your topology. This could potentially trigger recomputing certain parts of your application logic based on these new values.
The implementation of this method will depend</t>
        </is>
      </c>
      <c r="I2091" t="n">
        <v>0.003</v>
      </c>
      <c r="J2091" t="n">
        <v>0.058</v>
      </c>
      <c r="K2091" t="n">
        <v>0.1128</v>
      </c>
      <c r="L2091" t="inlineStr">
        <is>
          <t>When the credentials of a topology have changed, this method is called to inform interested parties about it.InputParameters:NoneExpectedReturnType:VoidMethodSignature:voidonCredentialsChange();}
```python
# Code Summary
"""
This code defines an interface named ICredentialsListener that provides a single method 'onCredentialsChange'. 
It's used when</t>
        </is>
      </c>
      <c r="M2091" t="n">
        <v>0.0047</v>
      </c>
      <c r="N2091" t="n">
        <v>0.04</v>
      </c>
      <c r="O2091" t="n">
        <v>0.0901</v>
      </c>
    </row>
    <row r="2092">
      <c r="A2092" t="inlineStr">
        <is>
          <t>storm</t>
        </is>
      </c>
      <c r="B2092" t="inlineStr">
        <is>
          <t>storm-client/src/jvm/org/apache/storm/StormTimer.java</t>
        </is>
      </c>
      <c r="C2092">
        <f>HYPERLINK("https://github.com/apache/storm/blob/master/storm-client/src/jvm/org/apache/storm/StormTimer.java")</f>
        <v/>
      </c>
      <c r="D2092" t="inlineStr">
        <is>
          <t>```plaintext
This code is licensed under the Apache Software Foundation (ASF), version 2.0 license. It's a Java implementation of core algorithms used in backend software components. The ASF licenses this file to you under the same conditions as stated at http://www.apache.org/licenses/LICENSE-2.0 unless required by applicable law</t>
        </is>
      </c>
      <c r="E2092" t="n">
        <v>0.0053</v>
      </c>
      <c r="F2092" t="n">
        <v>0.127</v>
      </c>
      <c r="G2092" t="n">
        <v>0.2119</v>
      </c>
      <c r="H2092" t="inlineStr">
        <is>
          <t>The code provided is a simple addition function that takes two numbers as input and returns their sum. The complexity of this operation is O(1), meaning it performs the same number of operations regardless of the size of the inputs.
   Here's an example of how you might use this function in Java:
```java
public class Main {
  public static void main(</t>
        </is>
      </c>
      <c r="I2092" t="n">
        <v>0.003</v>
      </c>
      <c r="J2092" t="n">
        <v>0.0571</v>
      </c>
      <c r="K2092" t="n">
        <v>0.1128</v>
      </c>
      <c r="L2092" t="inlineStr">
        <is>
          <t>```plaintext
The provided code is part of an Apache Storm project and it appears to be a core component for managing the priority queue operations in Java. The main purpose of this code seems to be handling priorities based on input data using PriorityBlockingQueue from java.util.concurrent package. 
It takes inputs (data with their respective priorities), processes</t>
        </is>
      </c>
      <c r="M2092" t="n">
        <v>0.0039</v>
      </c>
      <c r="N2092" t="n">
        <v>0.0303</v>
      </c>
      <c r="O2092" t="n">
        <v>0.1563</v>
      </c>
    </row>
    <row r="2093">
      <c r="A2093" t="inlineStr">
        <is>
          <t>storm</t>
        </is>
      </c>
      <c r="B2093" t="inlineStr">
        <is>
          <t>storm-client/src/jvm/org/apache/storm/transactional/TransactionAttempt.java</t>
        </is>
      </c>
      <c r="C2093">
        <f>HYPERLINK("https://github.com/apache/storm/blob/master/storm-client/src/jvm/org/apache/storm/transactional/TransactionAttempt.java")</f>
        <v/>
      </c>
      <c r="D2093" t="inlineStr">
        <is>
          <t>```python
# This repository contains backend software components that implement core algorithms for transaction management in Apache Storm. 
# The complexity of the code is O(n), where n represents the number of transactions being processed simultaneously. 
# It's a good practice to keep commits small and focused on specific changes. Initial commit refers to the initial setup or base version of this component</t>
        </is>
      </c>
      <c r="E2093" t="n">
        <v>0.0041</v>
      </c>
      <c r="F2093" t="n">
        <v>0.1429</v>
      </c>
      <c r="G2093" t="n">
        <v>0.2756</v>
      </c>
      <c r="H2093" t="inlineStr">
        <is>
          <t>This code is licensed under the Apache License 2.0 and it's a Java class for representing a transaction attempt in an application that uses transactions. It contains one field of type BigInteger which represents some sort of unique identifier or key associated with this particular transaction attempt. The license details are provided at the top of the file explaining how to use and distribute the software.
Please note</t>
        </is>
      </c>
      <c r="I2093" t="n">
        <v>0.0032</v>
      </c>
      <c r="J2093" t="n">
        <v>0.0513</v>
      </c>
      <c r="K2093" t="n">
        <v>0.1825</v>
      </c>
      <c r="L2093" t="inlineStr">
        <is>
          <t>The provided code is a Java class named `TransactionAttempt` which appears to be part of an Apache Storm transaction system. This class has been deprecated and thus it's not recommended for use in the current context. 
However, without additional information about its functionality or how it might be used within the larger application, we can only provide a general summary based on available details.</t>
        </is>
      </c>
      <c r="M2093" t="n">
        <v>0.0037</v>
      </c>
      <c r="N2093" t="n">
        <v>0.0548</v>
      </c>
      <c r="O2093" t="n">
        <v>0.1103</v>
      </c>
    </row>
    <row r="2094">
      <c r="A2094" t="inlineStr">
        <is>
          <t>storm</t>
        </is>
      </c>
      <c r="B2094" t="inlineStr">
        <is>
          <t>storm-client/src/jvm/org/apache/storm/pacemaker/PacemakerClientPool.java</t>
        </is>
      </c>
      <c r="C2094">
        <f>HYPERLINK("https://github.com/apache/storm/blob/master/storm-client/src/jvm/org/apache/storm/pacemaker/PacemakerClientPool.java")</f>
        <v/>
      </c>
      <c r="D2094" t="inlineStr">
        <is>
          <t>&lt;...&gt; This code is licensed under the Apache Software Foundation (ASF) license version 2.0 and can be found at http://www.apache.org/licenses/LICENSE-2.0. It may not be used except in compliance with this License. The ASF licenses it to you under the same terms as the Apache License Version 2.0.</t>
        </is>
      </c>
      <c r="E2094" t="n">
        <v>0.0046</v>
      </c>
      <c r="F2094" t="n">
        <v>0.09520000000000001</v>
      </c>
      <c r="G2094" t="n">
        <v>0.1681</v>
      </c>
      <c r="H2094" t="inlineStr">
        <is>
          <t>This code is licensed under the Apache License Version 2.0 (see NOTICE file for additional information regarding copyright ownership). The license permits use of this file except in compliance with the License. You may obtain a copy of the License at http://www.apache.org/licenses/LICENSE-2.0 Unless required by applicable law or agreed to in writing, software distributed under the</t>
        </is>
      </c>
      <c r="I2094" t="n">
        <v>0.0039</v>
      </c>
      <c r="J2094" t="n">
        <v>0.0556</v>
      </c>
      <c r="K2094" t="n">
        <v>0.1172</v>
      </c>
      <c r="L2094" t="inlineStr">
        <is>
          <t>The provided code is part of Apache Storm's Pacemaker module and it appears to be responsible for managing the synchronization between multiple nodes in a distributed system.
It defines a class named `Pacemaker` which has several methods related to maintaining synchrony among different worker processes within a topology (a data processing job). 
Key operations include:
1.</t>
        </is>
      </c>
      <c r="M2094" t="n">
        <v>0.0039</v>
      </c>
      <c r="N2094" t="n">
        <v>0.0615</v>
      </c>
      <c r="O2094" t="n">
        <v>0.1172</v>
      </c>
    </row>
    <row r="2095">
      <c r="A2095" t="inlineStr">
        <is>
          <t>storm</t>
        </is>
      </c>
      <c r="B2095" t="inlineStr">
        <is>
          <t>storm-client/src/jvm/org/apache/storm/pacemaker/PacemakerClient.java</t>
        </is>
      </c>
      <c r="C2095">
        <f>HYPERLINK("https://github.com/apache/storm/blob/master/storm-client/src/jvm/org/apache/storm/pacemaker/PacemakerClient.java")</f>
        <v/>
      </c>
      <c r="D2095" t="inlineStr">
        <is>
          <t>Certainly, here is a concise summary of the provided code:
This repository contains backend software components for Apache Storm's Pacemaker module. The implementation involves core algorithms and data structures such as Timer, TimerTask, InetSocketAddress, Map (specifically from java.util), LinkedBlockingQueue (from java.util.concurrent).</t>
        </is>
      </c>
      <c r="E2095" t="n">
        <v>0.0064</v>
      </c>
      <c r="F2095" t="n">
        <v>0.2264</v>
      </c>
      <c r="G2095" t="n">
        <v>0.2655</v>
      </c>
      <c r="H2095" t="inlineStr">
        <is>
          <t>This repository contains backend software components that implement core algorithms. The complexity of the code is O(N), where N represents the number of operations in a sequence or data structure. It's licensed under Apache License 2.0 and can be found at http://www.apache.org/licenses/LICENSE-2.0. Please review it for additional information regarding copyright ownership and lic</t>
        </is>
      </c>
      <c r="I2095" t="n">
        <v>0.0049</v>
      </c>
      <c r="J2095" t="n">
        <v>0.1408</v>
      </c>
      <c r="K2095" t="n">
        <v>0.2976</v>
      </c>
      <c r="L2095" t="inlineStr">
        <is>
          <t>The code provided is a Java implementation of the Pacemaker algorithm used in Apache Storm for managing and coordinating distributed systems. 
 It's designed to ensure that tasks are completed at regular intervals by scheduling them using java.util.Timer class with TimerTasks. This helps maintain system health even when network latency or other factors cause delays. 
 The main purpose</t>
        </is>
      </c>
      <c r="M2095" t="n">
        <v>0.0038</v>
      </c>
      <c r="N2095" t="n">
        <v>0.0588</v>
      </c>
      <c r="O2095" t="n">
        <v>0.155</v>
      </c>
    </row>
    <row r="2096">
      <c r="A2096" t="inlineStr">
        <is>
          <t>storm</t>
        </is>
      </c>
      <c r="B2096" t="inlineStr">
        <is>
          <t>storm-client/src/jvm/org/apache/storm/pacemaker/PacemakerConnectionException.java</t>
        </is>
      </c>
      <c r="C2096">
        <f>HYPERLINK("https://github.com/apache/storm/blob/master/storm-client/src/jvm/org/apache/storm/pacemaker/PacemakerConnectionException.java")</f>
        <v/>
      </c>
      <c r="D2096"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096" t="n">
        <v>0</v>
      </c>
      <c r="F2096" t="n">
        <v>0.0308</v>
      </c>
      <c r="G2096" t="n">
        <v>0.1163</v>
      </c>
      <c r="H2096" t="inlineStr">
        <is>
          <t>The code provided is a Java class named PacemakerConnectionException which extends the Exception class in Apache Storm package. It's used to handle exceptions related to connection issues with the pacemaker component of the system. The exception message (passed as 'err') will be set when an instance of this class is created.
The license at the top of the file states that it is</t>
        </is>
      </c>
      <c r="I2096" t="n">
        <v>0</v>
      </c>
      <c r="J2096" t="n">
        <v>0.0278</v>
      </c>
      <c r="K2096" t="n">
        <v>0.0741</v>
      </c>
      <c r="L2096" t="inlineStr">
        <is>
          <t>This code is a custom exception class named PacemakerConnectionException that extends the base Exception class in Java. The purpose of this class seems to be for handling exceptions related to connections within an application using Apache Storm's pacemaker component. It provides detailed information about any connection errors by accepting a String argument which represents the error message.
It has one method (a constructor) and</t>
        </is>
      </c>
      <c r="M2096" t="n">
        <v>0.0034</v>
      </c>
      <c r="N2096" t="n">
        <v>0.0548</v>
      </c>
      <c r="O2096" t="n">
        <v>0.1103</v>
      </c>
    </row>
    <row r="2097">
      <c r="A2097" t="inlineStr">
        <is>
          <t>storm</t>
        </is>
      </c>
      <c r="B2097" t="inlineStr">
        <is>
          <t>storm-client/src/jvm/org/apache/storm/pacemaker/PacemakerClientHandler.java</t>
        </is>
      </c>
      <c r="C2097">
        <f>HYPERLINK("https://github.com/apache/storm/blob/master/storm-client/src/jvm/org/apache/storm/pacemaker/PacemakerClientHandler.java")</f>
        <v/>
      </c>
      <c r="D2097" t="inlineStr">
        <is>
          <t>This code is licensed under the Apache Software Foundation (ASF)'s Apache License, Version 2.0. It's a Java implementation of core algorithms for network communication and heartbeat messages in Storm, an open source distributed real-time computation system. The license allows users to use this software freely but requires them to comply with certain conditions outlined in it. If not used within</t>
        </is>
      </c>
      <c r="E2097" t="n">
        <v>0.0043</v>
      </c>
      <c r="F2097" t="n">
        <v>0.1389</v>
      </c>
      <c r="G2097" t="n">
        <v>0.323</v>
      </c>
      <c r="H2097" t="inlineStr">
        <is>
          <t>The code provided is a Java function named `add` that takes two parameters and returns their sum (i.e., addition). It's part of the Apache Storm project, which is used for distributed real-time computation systems. The complexity of this operation is O(1), meaning it has constant time complexity as it performs only one simple arithmetic operation regardless of input size. This function does</t>
        </is>
      </c>
      <c r="I2097" t="n">
        <v>0.0035</v>
      </c>
      <c r="J2097" t="n">
        <v>0.0541</v>
      </c>
      <c r="K2097" t="n">
        <v>0.1493</v>
      </c>
      <c r="L2097" t="inlineStr">
        <is>
          <t>The provided code is a part of the Apache Storm package and it's used for heartbeat messaging in distributed systems. It defines an interface to send heartbeat messages (`HBMessage`) between nodes in a cluster using Netty library. The main purpose of this class seems to be managing connections and sending periodic heartbeat signals to ensure that all nodes are still alive and responsive.</t>
        </is>
      </c>
      <c r="M2097" t="n">
        <v>0.0029</v>
      </c>
      <c r="N2097" t="n">
        <v>0.0556</v>
      </c>
      <c r="O2097" t="n">
        <v>0.1111</v>
      </c>
    </row>
    <row r="2098">
      <c r="A2098" t="inlineStr">
        <is>
          <t>storm</t>
        </is>
      </c>
      <c r="B2098" t="inlineStr">
        <is>
          <t>storm-client/src/jvm/org/apache/storm/pacemaker/codec/ThriftNettyClientCodec.java</t>
        </is>
      </c>
      <c r="C2098">
        <f>HYPERLINK("https://github.com/apache/storm/blob/master/storm-client/src/jvm/org/apache/storm/pacemaker/codec/ThriftNettyClientCodec.java")</f>
        <v/>
      </c>
      <c r="D2098" t="inlineStr">
        <is>
          <t>The code provided is licensed under the Apache Software Foundation (ASF), version 2.0 license. It's a Java package named `org.apache.storm.pacemaker.codec` that contains an implementation of core algorithms related to network messaging and security using Kerberos SASL client handler for authentication. This software component handles encoding and decoding</t>
        </is>
      </c>
      <c r="E2098" t="n">
        <v>0.0098</v>
      </c>
      <c r="F2098" t="n">
        <v>0.1311</v>
      </c>
      <c r="G2098" t="n">
        <v>0.3583</v>
      </c>
      <c r="H2098" t="inlineStr">
        <is>
          <t>Licensed under the Apache Software Foundation (ASF), Version 2.0 license. The code is distributed on an "AS IS" BASIS, WITHOUT WARRANTIES OR CONDITIONS OF ANY KIND, either express or implied. See the License for specific language governing permissions and limitations under the License.
```python
# This function adds two numbers together
def</t>
        </is>
      </c>
      <c r="I2098" t="n">
        <v>0.0042</v>
      </c>
      <c r="J2098" t="n">
        <v>0.0667</v>
      </c>
      <c r="K2098" t="n">
        <v>0.1613</v>
      </c>
      <c r="L2098" t="inlineStr">
        <is>
          <t>The provided code is a part of Apache Storm's Pacemaker module and it deals with the encoding and decoding of messages using Kerberos SASL client handler for authentication purposes. The main purpose of this component appears to be to secure communication by encrypting data before sending over network and also ensure its integrity during transit. 
It takes an input map containing configuration</t>
        </is>
      </c>
      <c r="M2098" t="n">
        <v>0.0035</v>
      </c>
      <c r="N2098" t="n">
        <v>0.0563</v>
      </c>
      <c r="O2098" t="n">
        <v>0.1493</v>
      </c>
    </row>
    <row r="2099">
      <c r="A2099" t="inlineStr">
        <is>
          <t>storm</t>
        </is>
      </c>
      <c r="B2099" t="inlineStr">
        <is>
          <t>storm-client/src/jvm/org/apache/storm/pacemaker/codec/ThriftDecoder.java</t>
        </is>
      </c>
      <c r="C2099">
        <f>HYPERLINK("https://github.com/apache/storm/blob/master/storm-client/src/jvm/org/apache/storm/pacemaker/codec/ThriftDecoder.java")</f>
        <v/>
      </c>
      <c r="D2099"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099" t="n">
        <v>0</v>
      </c>
      <c r="F2099" t="n">
        <v>0.0312</v>
      </c>
      <c r="G2099" t="n">
        <v>0.1172</v>
      </c>
      <c r="H2099" t="inlineStr">
        <is>
          <t>This repository contains backend software components that implement core algorithms used in Storm's Pacemaker module for distributed system management. The code is licensed under the Apache License 2.0 (see NOTICE file). It includes a function to add two numbers which has time complexity O(1), as it performs only basic arithmetic operations without any loops or recursion.
```java
public</t>
        </is>
      </c>
      <c r="I2099" t="n">
        <v>0.0045</v>
      </c>
      <c r="J2099" t="n">
        <v>0.1449</v>
      </c>
      <c r="K2099" t="n">
        <v>0.328</v>
      </c>
      <c r="L2099" t="inlineStr">
        <is>
          <t>The provided code is a part of Apache Storm's Pacemaker module that handles heartbeat messages between the supervisor and worker processes in distributed systems. The main purpose of this code seems to be managing communication related to these heartbeat messages (`HBMessage`).
It takes as input a list of `HBMessage` objects representing incoming heartbeat signals from various workers.</t>
        </is>
      </c>
      <c r="M2099" t="n">
        <v>0.0038</v>
      </c>
      <c r="N2099" t="n">
        <v>0.0606</v>
      </c>
      <c r="O2099" t="n">
        <v>0.155</v>
      </c>
    </row>
    <row r="2100">
      <c r="A2100" t="inlineStr">
        <is>
          <t>storm</t>
        </is>
      </c>
      <c r="B2100" t="inlineStr">
        <is>
          <t>storm-client/src/jvm/org/apache/storm/pacemaker/codec/ThriftEncoder.java</t>
        </is>
      </c>
      <c r="C2100">
        <f>HYPERLINK("https://github.com/apache/storm/blob/master/storm-client/src/jvm/org/apache/storm/pacemaker/codec/ThriftEncoder.java")</f>
        <v/>
      </c>
      <c r="D2100" t="inlineStr">
        <is>
          <t>This code is licensed under the Apache Software Foundation (ASF), version 2.0 license and it's distributed on an "AS IS" BASIS without warranties or conditions of any kind either expressed or implied. The specific language governing permissions and limitations under the License are also provided in this repository.
```python
# Licensed to the Apache Software Foundation (ASF</t>
        </is>
      </c>
      <c r="E2100" t="n">
        <v>0.0038</v>
      </c>
      <c r="F2100" t="n">
        <v>0.09089999999999999</v>
      </c>
      <c r="G2100" t="n">
        <v>0.1163</v>
      </c>
      <c r="H2100" t="inlineStr">
        <is>
          <t>This code is licensed under the Apache License 2.0 and it's a part of an application that handles heartbeat messages between nodes in a distributed system. The function `add` takes two parameters (inputs), adds them together, and returns the result. It seems to be used within this context for adding up HBMessage objects or their data fields.
```python</t>
        </is>
      </c>
      <c r="I2100" t="n">
        <v>0.0037</v>
      </c>
      <c r="J2100" t="n">
        <v>0.0882</v>
      </c>
      <c r="K2100" t="n">
        <v>0.1154</v>
      </c>
      <c r="L2100" t="inlineStr">
        <is>
          <t>```plaintext
This code is part of the Apache Storm project's Pacemaker module and its purpose is to encode and decode Heartbeat (HB) messages used by the system for communication between nodes in a distributed topology. 
It provides two main functionalities - encoding HB messages into byte arrays using `encode` method and decoding these encoded bytes back</t>
        </is>
      </c>
      <c r="M2100" t="n">
        <v>0.0043</v>
      </c>
      <c r="N2100" t="n">
        <v>0.125</v>
      </c>
      <c r="O2100" t="n">
        <v>0.1563</v>
      </c>
    </row>
    <row r="2101">
      <c r="A2101" t="inlineStr">
        <is>
          <t>storm</t>
        </is>
      </c>
      <c r="B2101" t="inlineStr">
        <is>
          <t>storm-client/src/jvm/org/apache/storm/lambda/LambdaSpout.java</t>
        </is>
      </c>
      <c r="C2101">
        <f>HYPERLINK("https://github.com/apache/storm/blob/master/storm-client/src/jvm/org/apache/storm/lambda/LambdaSpout.java")</f>
        <v/>
      </c>
      <c r="D2101"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01" t="n">
        <v>0</v>
      </c>
      <c r="F2101" t="n">
        <v>0.0312</v>
      </c>
      <c r="G2101" t="n">
        <v>0.1172</v>
      </c>
      <c r="H2101" t="inlineStr">
        <is>
          <t>This code is a Java implementation of the Apache Storm framework's lambda function for adding two numbers together. The complexity of this operation is O(1), meaning it performs a fixed number of operations regardless of input size. It does not depend on any loops or recursion and thus has linear time complexity.
It starts with importing necessary packages from Apache Storm library which are used to</t>
        </is>
      </c>
      <c r="I2101" t="n">
        <v>0.0033</v>
      </c>
      <c r="J2101" t="n">
        <v>0.1053</v>
      </c>
      <c r="K2101" t="n">
        <v>0.1449</v>
      </c>
      <c r="L2101" t="inlineStr">
        <is>
          <t>```python
# This Apache Storm spout component is designed to generate random numbers for testing purposes in a distributed system. 
# It takes no inputs and emits tuples containing the generated number as output. The code size is approximately 1000 lines long.
from apache.storm import Spout
from java.util import Map
class Random</t>
        </is>
      </c>
      <c r="M2101" t="n">
        <v>0.0042</v>
      </c>
      <c r="N2101" t="n">
        <v>0.0667</v>
      </c>
      <c r="O2101" t="n">
        <v>0.121</v>
      </c>
    </row>
    <row r="2102">
      <c r="A2102" t="inlineStr">
        <is>
          <t>storm</t>
        </is>
      </c>
      <c r="B2102" t="inlineStr">
        <is>
          <t>storm-client/src/jvm/org/apache/storm/lambda/SerializableCallable.java</t>
        </is>
      </c>
      <c r="C2102">
        <f>HYPERLINK("https://github.com/apache/storm/blob/master/storm-client/src/jvm/org/apache/storm/lambda/SerializableCallable.java")</f>
        <v/>
      </c>
      <c r="D2102"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02" t="n">
        <v>0</v>
      </c>
      <c r="F2102" t="n">
        <v>0.0312</v>
      </c>
      <c r="G2102" t="n">
        <v>0.1172</v>
      </c>
      <c r="H2102" t="inlineStr">
        <is>
          <t>```text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I2102" t="n">
        <v>0</v>
      </c>
      <c r="J2102" t="n">
        <v>0.0308</v>
      </c>
      <c r="K2102" t="n">
        <v>0.1163</v>
      </c>
      <c r="L2102" t="inlineStr">
        <is>
          <t>This code provides an interface named `SerializableCallable` that extends the Java standard library's `Callable` and `Serializable` interfaces. The purpose of this interface is to define a task or computation which can be executed concurrently in parallel with other tasks, return a result, and also serialized for storage or transmission over a network without losing its state. This makes it suitable</t>
        </is>
      </c>
      <c r="M2102" t="n">
        <v>0.0036</v>
      </c>
      <c r="N2102" t="n">
        <v>0.058</v>
      </c>
      <c r="O2102" t="n">
        <v>0.07580000000000001</v>
      </c>
    </row>
    <row r="2103">
      <c r="A2103" t="inlineStr">
        <is>
          <t>storm</t>
        </is>
      </c>
      <c r="B2103" t="inlineStr">
        <is>
          <t>storm-client/src/jvm/org/apache/storm/lambda/LambdaConsumerBolt.java</t>
        </is>
      </c>
      <c r="C2103">
        <f>HYPERLINK("https://github.com/apache/storm/blob/master/storm-client/src/jvm/org/apache/storm/lambda/LambdaConsumerBolt.java")</f>
        <v/>
      </c>
      <c r="D2103" t="inlineStr">
        <is>
          <t>This code is licensed under the Apache Software Foundation (ASF)'s license version 2.0 and it's distributed on an "AS IS" BASIS without warranties or conditions of any kind either expressed or implied. The specific language governing permissions and limitations under the License are also provided in this file.
```java
// Licensed to the Apache Software Foundation (AS</t>
        </is>
      </c>
      <c r="E2103" t="n">
        <v>0.0038</v>
      </c>
      <c r="F2103" t="n">
        <v>0.0896</v>
      </c>
      <c r="G2103" t="n">
        <v>0.1163</v>
      </c>
      <c r="H2103" t="inlineStr">
        <is>
          <t>The provided code is a Java implementation of the Apache Storm library's BaseBasicBolt class for performing basic operations such as addition. This Bolt receives tuples from its input and applies an operation (in this case, addition), returning the result to its output. The complexity of this function is O(1), meaning it performs a constant number of operations regardless of the size of the</t>
        </is>
      </c>
      <c r="I2103" t="n">
        <v>0.0034</v>
      </c>
      <c r="J2103" t="n">
        <v>0.0548</v>
      </c>
      <c r="K2103" t="n">
        <v>0.1481</v>
      </c>
      <c r="L2103" t="inlineStr">
        <is>
          <t>The provided code is a Java implementation of Apache Storm's Basic Bolt. It extends the BaseBasicBolt class and overrides its execute method to process incoming tuples from spouts in real time. 
 This bolt performs basic operations such as filtering out unwanted data or performing computations on input fields based on specific conditions defined by users. Its primary</t>
        </is>
      </c>
      <c r="M2103" t="n">
        <v>0.0038</v>
      </c>
      <c r="N2103" t="n">
        <v>0.0606</v>
      </c>
      <c r="O2103" t="n">
        <v>0.1163</v>
      </c>
    </row>
    <row r="2104">
      <c r="A2104" t="inlineStr">
        <is>
          <t>storm</t>
        </is>
      </c>
      <c r="B2104" t="inlineStr">
        <is>
          <t>storm-client/src/jvm/org/apache/storm/lambda/LambdaBiConsumerBolt.java</t>
        </is>
      </c>
      <c r="C2104">
        <f>HYPERLINK("https://github.com/apache/storm/blob/master/storm-client/src/jvm/org/apache/storm/lambda/LambdaBiConsumerBolt.java")</f>
        <v/>
      </c>
      <c r="D2104"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04" t="n">
        <v>0</v>
      </c>
      <c r="F2104" t="n">
        <v>0.0308</v>
      </c>
      <c r="G2104" t="n">
        <v>0.1163</v>
      </c>
      <c r="H2104" t="inlineStr">
        <is>
          <t>This Java code is a part of Apache Storm project which is used for real time processing of large data streams. It's implementing the core algorithms and components of backend software. The function `add` takes two parameters (numbers), adds them together and returns the result. This operation has a complexity of O(1).
The license at the top of this file states that it'</t>
        </is>
      </c>
      <c r="I2104" t="n">
        <v>0.0038</v>
      </c>
      <c r="J2104" t="n">
        <v>0.137</v>
      </c>
      <c r="K2104" t="n">
        <v>0.1852</v>
      </c>
      <c r="L2104" t="inlineStr">
        <is>
          <t>The provided code is a Java implementation of an Apache Storm topology that includes a basic bolt (a component in the processing pipeline). 
 This bolt extends `BaseBasicBolt` and overrides its methods for executing logic on incoming tuples. It takes input from one or more streams, processes each tuple by applying some operation, and then outputs processed data to</t>
        </is>
      </c>
      <c r="M2104" t="n">
        <v>0.0037</v>
      </c>
      <c r="N2104" t="n">
        <v>0.09089999999999999</v>
      </c>
      <c r="O2104" t="n">
        <v>0.1154</v>
      </c>
    </row>
    <row r="2105">
      <c r="A2105" t="inlineStr">
        <is>
          <t>storm</t>
        </is>
      </c>
      <c r="B2105" t="inlineStr">
        <is>
          <t>storm-client/src/jvm/org/apache/storm/lambda/SerializableSupplier.java</t>
        </is>
      </c>
      <c r="C2105">
        <f>HYPERLINK("https://github.com/apache/storm/blob/master/storm-client/src/jvm/org/apache/storm/lambda/SerializableSupplier.java")</f>
        <v/>
      </c>
      <c r="D2105" t="inlineStr">
        <is>
          <t>This code is licensed under the Apache Software Foundation (ASF), and it's distributed with this work under an Apache License, Version 2.0. The license allows for use of the file except in compliance with the terms of the license. A copy of the license can be obtained at http://www.apache.org/licenses/LICENSE-2.0. This software package</t>
        </is>
      </c>
      <c r="E2105" t="n">
        <v>0.008200000000000001</v>
      </c>
      <c r="F2105" t="n">
        <v>0.08699999999999999</v>
      </c>
      <c r="G2105" t="n">
        <v>0.2545</v>
      </c>
      <c r="H2105" t="inlineStr">
        <is>
          <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I2105" t="n">
        <v>0</v>
      </c>
      <c r="J2105" t="n">
        <v>0.0312</v>
      </c>
      <c r="K2105" t="n">
        <v>0.1163</v>
      </c>
      <c r="L2105" t="inlineStr">
        <is>
          <t>The provided code is a Java interface named `SerializableSupplier` that extends the built-in functional interface `Supplier` and also implements the `Serializable` interface. This means it can be serialized (converted to byte stream format) for storage or transmission, which facilitates its use in distributed computing environments like Apache Storm. The purpose of this class seems to be to provide an</t>
        </is>
      </c>
      <c r="M2105" t="n">
        <v>0.0041</v>
      </c>
      <c r="N2105" t="n">
        <v>0.0588</v>
      </c>
      <c r="O2105" t="n">
        <v>0.1527</v>
      </c>
    </row>
    <row r="2106">
      <c r="A2106" t="inlineStr">
        <is>
          <t>storm</t>
        </is>
      </c>
      <c r="B2106" t="inlineStr">
        <is>
          <t>storm-client/src/jvm/org/apache/storm/lambda/SerializableConsumer.java</t>
        </is>
      </c>
      <c r="C2106">
        <f>HYPERLINK("https://github.com/apache/storm/blob/master/storm-client/src/jvm/org/apache/storm/lambda/SerializableConsumer.java")</f>
        <v/>
      </c>
      <c r="D2106" t="inlineStr">
        <is>
          <t>```plaintext
This repository contains backend software components that implement core algorithms. The complexity is O(N), where N represents the number of elements in an input data structure. 
It's licensed under Apache License Version 2.0 and can be found at http://www.apache.org/licenses/LICENSE-2.0. This license allows for</t>
        </is>
      </c>
      <c r="E2106" t="n">
        <v>0.0059</v>
      </c>
      <c r="F2106" t="n">
        <v>0.1613</v>
      </c>
      <c r="G2106" t="n">
        <v>0.3207</v>
      </c>
      <c r="H2106"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I2106" t="n">
        <v>0</v>
      </c>
      <c r="J2106" t="n">
        <v>0.0308</v>
      </c>
      <c r="K2106" t="n">
        <v>0.1163</v>
      </c>
      <c r="L2106" t="inlineStr">
        <is>
          <t>This code is a functional interface that extends the Consumer interface from Java's standard library and also implements Serializable. The purpose of this class seems to be to allow objects of type T to be consumed in a serialized manner (i.e., they can be stored or transmitted over a network). It adheres to good coding practices such as readability, maintainability, and program comprehensibility</t>
        </is>
      </c>
      <c r="M2106" t="n">
        <v>0.0038</v>
      </c>
      <c r="N2106" t="n">
        <v>0.0822</v>
      </c>
      <c r="O2106" t="n">
        <v>0.1481</v>
      </c>
    </row>
    <row r="2107">
      <c r="A2107" t="inlineStr">
        <is>
          <t>storm</t>
        </is>
      </c>
      <c r="B2107" t="inlineStr">
        <is>
          <t>storm-client/src/jvm/org/apache/storm/lambda/SerializableBiConsumer.java</t>
        </is>
      </c>
      <c r="C2107">
        <f>HYPERLINK("https://github.com/apache/storm/blob/master/storm-client/src/jvm/org/apache/storm/lambda/SerializableBiConsumer.java")</f>
        <v/>
      </c>
      <c r="D2107" t="inlineStr">
        <is>
          <t>```plaintext
Package Name: org.apache.storm.lambda
Class Name: SerializableBiConsumer
Type: Interface
Language: Java
Description: This interface extends the BiConsumer functional interface and adds serialization capability to it by implementing the 'Serializable' interface in Java. 
It is used for accepting two input parameters (T and U), performing an operation</t>
        </is>
      </c>
      <c r="E2107" t="n">
        <v>0.0048</v>
      </c>
      <c r="F2107" t="n">
        <v>0.1053</v>
      </c>
      <c r="G2107" t="n">
        <v>0.1695</v>
      </c>
      <c r="H2107" t="inlineStr">
        <is>
          <t>The function provided is a simple addition operation between two numbers in Java. It takes two parameters (numbers), adds them together and returns the result. The time complexity of this function is O(1).
Here's how it can be summarized: 
```java
// Licensed to the Apache Software Foundation (ASF) under one or more contributor license agreements</t>
        </is>
      </c>
      <c r="I2107" t="n">
        <v>0.0033</v>
      </c>
      <c r="J2107" t="n">
        <v>0.0625</v>
      </c>
      <c r="K2107" t="n">
        <v>0.1575</v>
      </c>
      <c r="L2107" t="inlineStr">
        <is>
          <t>This code provides an interface named `SerializableBiConsumer` that extends the built-in Java functional interface `BiConsumer` and includes the `java.io.Serializable` marker interface for serialization purposes. The purpose of this class is to provide a bi-directional operation (accept two inputs and perform some action or computation with them) which can be serialized and deserialized without</t>
        </is>
      </c>
      <c r="M2107" t="n">
        <v>0.0041</v>
      </c>
      <c r="N2107" t="n">
        <v>0.09229999999999999</v>
      </c>
      <c r="O2107" t="n">
        <v>0.12</v>
      </c>
    </row>
    <row r="2108">
      <c r="A2108" t="inlineStr">
        <is>
          <t>storm</t>
        </is>
      </c>
      <c r="B2108" t="inlineStr">
        <is>
          <t>storm-client/src/jvm/org/apache/storm/state/StateProvider.java</t>
        </is>
      </c>
      <c r="C2108">
        <f>HYPERLINK("https://github.com/apache/storm/blob/master/storm-client/src/jvm/org/apache/storm/state/StateProvider.java")</f>
        <v/>
      </c>
      <c r="D2108" t="inlineStr">
        <is>
          <t>A state provider is an interface used by the StateFactory to create new instances of a specific type of state. The implementation details are not provided in this code snippet as it's part of another package or module within Apache Storm framework for managing and maintaining states during distributed computing tasks.
The license at the beginning of the file specifies that you may use this software under the terms specified</t>
        </is>
      </c>
      <c r="E2108" t="n">
        <v>0.0034</v>
      </c>
      <c r="F2108" t="n">
        <v>0.0759</v>
      </c>
      <c r="G2108" t="n">
        <v>0.3003</v>
      </c>
      <c r="H2108" t="inlineStr">
        <is>
          <t>This is a Java interface for creating state providers in Apache Storm framework. It's used by the StateFactory to create new instances of states which are responsible for maintaining and updating data across multiple worker processes. The code doesn't seem to contain any functionality itself but it provides an outline or blueprint on how other classes implementing this interface should look like.
In terms of summary, here</t>
        </is>
      </c>
      <c r="I2108" t="n">
        <v>0.0036</v>
      </c>
      <c r="J2108" t="n">
        <v>0.0519</v>
      </c>
      <c r="K2108" t="n">
        <v>0.1439</v>
      </c>
      <c r="L2108" t="inlineStr">
        <is>
          <t>This code is a Java interface named `StateProvider` that's used by the `StateFactory` to create new state instances. The purpose of this class seems to be managing and storing states for distributed systems or data processing tasks like Apache Storm. It provides methods for initialization (setup) using topology context information and updates based on input map. However, without more specific details about its implementation, it</t>
        </is>
      </c>
      <c r="M2108" t="n">
        <v>0.0033</v>
      </c>
      <c r="N2108" t="n">
        <v>0.0541</v>
      </c>
      <c r="O2108" t="n">
        <v>0.1095</v>
      </c>
    </row>
    <row r="2109">
      <c r="A2109" t="inlineStr">
        <is>
          <t>storm</t>
        </is>
      </c>
      <c r="B2109" t="inlineStr">
        <is>
          <t>storm-client/src/jvm/org/apache/storm/state/State.java</t>
        </is>
      </c>
      <c r="C2109">
        <f>HYPERLINK("https://github.com/apache/storm/blob/master/storm-client/src/jvm/org/apache/storm/state/State.java")</f>
        <v/>
      </c>
      <c r="D2109" t="inlineStr">
        <is>
          <t>This code is licensed under the Apache Software Foundation (ASF) license version 2.0. It's a Java class that provides state management for Storm framework components like IStatefulBolt. The licensing conditions include not using this file except in compliance with the License and obtaining a copy of the License at http://www.apache.org/licenses/LIC</t>
        </is>
      </c>
      <c r="E2109" t="n">
        <v>0.0044</v>
      </c>
      <c r="F2109" t="n">
        <v>0.09229999999999999</v>
      </c>
      <c r="G2109" t="n">
        <v>0.1639</v>
      </c>
      <c r="H2109" t="inlineStr">
        <is>
          <t>The provided code is a Java implementation of the Apache Storm framework's state management component. It appears to be managing and tracking states for various components within the system using either an IStatefulBolt interface or other mechanisms as indicated by comments in the code. The complexity seems to lie mostly around implementing core algorithms related to state management which could potentially involve operations like addition, subtraction etc., depending</t>
        </is>
      </c>
      <c r="I2109" t="n">
        <v>0.0032</v>
      </c>
      <c r="J2109" t="n">
        <v>0.0519</v>
      </c>
      <c r="K2109" t="n">
        <v>0.2254</v>
      </c>
      <c r="L2109" t="inlineStr">
        <is>
          <t>The code provided is a Java class that implements the IStatefulBolt interface from Apache Storm's topology package. This component manages state either directly by the framework (like in case of IStatefulBolt) or indirectly through its own methods and properties. The purpose of this class seems to be managing some kind of state for bolts within an Apache Storm cluster. It</t>
        </is>
      </c>
      <c r="M2109" t="n">
        <v>0.004</v>
      </c>
      <c r="N2109" t="n">
        <v>0.058</v>
      </c>
      <c r="O2109" t="n">
        <v>0.1136</v>
      </c>
    </row>
    <row r="2110">
      <c r="A2110" t="inlineStr">
        <is>
          <t>storm</t>
        </is>
      </c>
      <c r="B2110" t="inlineStr">
        <is>
          <t>storm-client/src/jvm/org/apache/storm/state/StateEncoder.java</t>
        </is>
      </c>
      <c r="C2110">
        <f>HYPERLINK("https://github.com/apache/storm/blob/master/storm-client/src/jvm/org/apache/storm/state/StateEncoder.java")</f>
        <v/>
      </c>
      <c r="D2110"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10" t="n">
        <v>0</v>
      </c>
      <c r="F2110" t="n">
        <v>0.0308</v>
      </c>
      <c r="G2110" t="n">
        <v>0.1163</v>
      </c>
      <c r="H2110" t="inlineStr">
        <is>
          <t>The provided code is a Java interface named StateEncoder that encodes keys and values of generic types K and V into encoded versions (KENCODEDT and VENCODEDT respectively). The method signature for the encodeKey() function suggests it takes an argument of type K which represents the key to be encoded, returning a value of type KENCODEDT.</t>
        </is>
      </c>
      <c r="I2110" t="n">
        <v>0.0033</v>
      </c>
      <c r="J2110" t="n">
        <v>0.0317</v>
      </c>
      <c r="K2110" t="n">
        <v>0.07870000000000001</v>
      </c>
      <c r="L2110" t="inlineStr">
        <is>
          <t>This code defines an interface named `StateEncoder` which is used for encoding keys and values in a stateful computation system like Apache Storm. The purpose of this interface seems to be providing methods that encode key (K type) and value (V type) into encoded types KENCODEDT and VENCODEDT respectively. This makes it possible to store the data more efficiently</t>
        </is>
      </c>
      <c r="M2110" t="n">
        <v>0.0037</v>
      </c>
      <c r="N2110" t="n">
        <v>0.0597</v>
      </c>
      <c r="O2110" t="n">
        <v>0.1145</v>
      </c>
    </row>
    <row r="2111">
      <c r="A2111" t="inlineStr">
        <is>
          <t>storm</t>
        </is>
      </c>
      <c r="B2111" t="inlineStr">
        <is>
          <t>storm-client/src/jvm/org/apache/storm/state/DefaultStateSerializer.java</t>
        </is>
      </c>
      <c r="C2111">
        <f>HYPERLINK("https://github.com/apache/storm/blob/master/storm-client/src/jvm/org/apache/storm/state/DefaultStateSerializer.java")</f>
        <v/>
      </c>
      <c r="D2111" t="inlineStr">
        <is>
          <t>This code is licensed under the Apache Software Foundation (ASF), version 2.0 license. It's a part of an open source project that contains backend software components related to state management in distributed systems like Storm. The ASF licenses this file to you under the same conditions as stated at http://www.apache.org/licenses/LICENSE-2.</t>
        </is>
      </c>
      <c r="E2111" t="n">
        <v>0.0044</v>
      </c>
      <c r="F2111" t="n">
        <v>0.0606</v>
      </c>
      <c r="G2111" t="n">
        <v>0.123</v>
      </c>
      <c r="H2111" t="inlineStr">
        <is>
          <t>This repository contains backend software components that implement core algorithms used in the Storm system for distributed computation tasks. The complexity of these operations is generally O(n), where n represents the number of elements being processed.
In particular, this code snippet appears to be a part of Kryo serialization and deserialization process which handles object graph traversal during serialization or des</t>
        </is>
      </c>
      <c r="I2111" t="n">
        <v>0.0042</v>
      </c>
      <c r="J2111" t="n">
        <v>0.1429</v>
      </c>
      <c r="K2111" t="n">
        <v>0.3206</v>
      </c>
      <c r="L2111" t="inlineStr">
        <is>
          <t>The code provided is part of Apache Storm's state management system and it uses Kryo serialization library for object deserialization from a byte stream. The main purpose of this class seems to be the creation and manipulation of instances of classes that are stored in memory during the execution of the Storm topology.
It defines methods related to creating new output objects (`createOutput()</t>
        </is>
      </c>
      <c r="M2111" t="n">
        <v>0.0029</v>
      </c>
      <c r="N2111" t="n">
        <v>0.0556</v>
      </c>
      <c r="O2111" t="n">
        <v>0.1111</v>
      </c>
    </row>
    <row r="2112">
      <c r="A2112" t="inlineStr">
        <is>
          <t>storm</t>
        </is>
      </c>
      <c r="B2112" t="inlineStr">
        <is>
          <t>storm-client/src/jvm/org/apache/storm/state/ISynchronizeOutputCollector.java</t>
        </is>
      </c>
      <c r="C2112">
        <f>HYPERLINK("https://github.com/apache/storm/blob/master/storm-client/src/jvm/org/apache/storm/state/ISynchronizeOutputCollector.java")</f>
        <v/>
      </c>
      <c r="D2112" t="inlineStr">
        <is>
          <t>Synchronization interface for output collector in Apache Storm framework. It defines a method to add tuples (data elements) into the output stream of a topology with specified stream id and tuple id. The data is passed as a list of objects. This allows flexibility in handling different types of data within the same stream. The synchronization ensures that only one thread can access this method at any given</t>
        </is>
      </c>
      <c r="E2112" t="n">
        <v>0.0032</v>
      </c>
      <c r="F2112" t="n">
        <v>0.0263</v>
      </c>
      <c r="G2112" t="n">
        <v>0.07140000000000001</v>
      </c>
      <c r="H2112" t="inlineStr">
        <is>
          <t>This repository contains backend software components that implement core algorithms used by Apache Storm for distributed stream processing. The function `add` is part of the interface ISynchronizeOutputCollector which adds a tuple to an output collector synchronously. This operation has a time complexity of O(n), where n represents the number of tuples in the list being added.
It's licensed under</t>
        </is>
      </c>
      <c r="I2112" t="n">
        <v>0.0041</v>
      </c>
      <c r="J2112" t="n">
        <v>0.1449</v>
      </c>
      <c r="K2112" t="n">
        <v>0.284</v>
      </c>
      <c r="L2112" t="inlineStr">
        <is>
          <t>```plaintext
The provided code is part of Apache Storm's state package and implements the ISynchronizeOutputCollector interface. This interface provides a method for adding tuples to an output collector synchronously. 
The add() function takes three parameters - stream ID (Integer), tuple ID (Object), and list of Objects representing the tuple data. The purpose</t>
        </is>
      </c>
      <c r="M2112" t="n">
        <v>0.0046</v>
      </c>
      <c r="N2112" t="n">
        <v>0.1</v>
      </c>
      <c r="O2112" t="n">
        <v>0.1613</v>
      </c>
    </row>
    <row r="2113">
      <c r="A2113" t="inlineStr">
        <is>
          <t>storm</t>
        </is>
      </c>
      <c r="B2113" t="inlineStr">
        <is>
          <t>storm-client/src/jvm/org/apache/storm/state/SynchronizeOutputCollector.java</t>
        </is>
      </c>
      <c r="C2113">
        <f>HYPERLINK("https://github.com/apache/storm/blob/master/storm-client/src/jvm/org/apache/storm/state/SynchronizeOutputCollector.java")</f>
        <v/>
      </c>
      <c r="D2113" t="inlineStr">
        <is>
          <t>This code is licensed under the Apache Software Foundation (ASF) license version 2.0. It's a Java class that implements an interface ISynchronizeOutputCollector and overrides its add method to provide synchronization for output collection in Storm distributed streaming system. The implementation of this function adds tuples with specified stream id, tuple id, and list of values into</t>
        </is>
      </c>
      <c r="E2113" t="n">
        <v>0.0043</v>
      </c>
      <c r="F2113" t="n">
        <v>0.1515</v>
      </c>
      <c r="G2113" t="n">
        <v>0.1953</v>
      </c>
      <c r="H2113" t="inlineStr">
        <is>
          <t>This code is a part of Apache Storm's Synchronize Output Collector implementation in Java. It overrides the `add` method from ISynchronizeOutputCollector interface and adds an element to the output buffer for synchronization purposes. The complexity here is O(n), as it iterates over the list of Objects passed as arguments.
Here are some key points about</t>
        </is>
      </c>
      <c r="I2113" t="n">
        <v>0.004</v>
      </c>
      <c r="J2113" t="n">
        <v>0.09229999999999999</v>
      </c>
      <c r="K2113" t="n">
        <v>0.1575</v>
      </c>
      <c r="L2113" t="inlineStr">
        <is>
          <t>The provided code is implementing an interface called ISynchronizeOutputCollector which has a method named add. This method takes three parameters - streamId of type int, id of type Object and listOfTuples of type List&lt;Object&gt;. The purpose of this class seems to be to synchronously collect tuples for the given stream ID using the specified tuple ID as key in some sort</t>
        </is>
      </c>
      <c r="M2113" t="n">
        <v>0.0036</v>
      </c>
      <c r="N2113" t="n">
        <v>0.058</v>
      </c>
      <c r="O2113" t="n">
        <v>0.1504</v>
      </c>
    </row>
    <row r="2114">
      <c r="A2114" t="inlineStr">
        <is>
          <t>storm</t>
        </is>
      </c>
      <c r="B2114" t="inlineStr">
        <is>
          <t>storm-client/src/jvm/org/apache/storm/state/Serializer.java</t>
        </is>
      </c>
      <c r="C2114">
        <f>HYPERLINK("https://github.com/apache/storm/blob/master/storm-client/src/jvm/org/apache/storm/state/Serializer.java")</f>
        <v/>
      </c>
      <c r="D2114" t="inlineStr">
        <is>
          <t>```plaintext
This repository contains backend software components that implement serialization and deserialization of state data for Apache Storm. The code is licensed under the Apache License Version 2.0. It can be obtained at http://www.apache.org/licenses/LICENSE-2.0. This license allows users to use this file except in compliance with it. The</t>
        </is>
      </c>
      <c r="E2114" t="n">
        <v>0.005</v>
      </c>
      <c r="F2114" t="n">
        <v>0.125</v>
      </c>
      <c r="G2114" t="n">
        <v>0.2083</v>
      </c>
      <c r="H2114" t="inlineStr">
        <is>
          <t>The provided code is a Java interface named `Serializer` that extends the `java.io.Serializable` interface. This interface provides two methods for serialization and deserialization of objects (T). The class implementing this interface should provide implementation to these methods in order to be able to convert an object into byte array and vice versa.
In terms of functionality, it seems like</t>
        </is>
      </c>
      <c r="I2114" t="n">
        <v>0.0037</v>
      </c>
      <c r="J2114" t="n">
        <v>0.08699999999999999</v>
      </c>
      <c r="K2114" t="n">
        <v>0.1145</v>
      </c>
      <c r="L2114" t="inlineStr">
        <is>
          <t>The provided code is a Java interface named `Serializer` that extends the `java.io.Serializable` interface. This interface is intended to be implemented by classes which are responsible for serializing and deserializing state objects of type T. 
Here's what it does in summary:
1. It provides two main methods:
   - `serialize()`</t>
        </is>
      </c>
      <c r="M2114" t="n">
        <v>0.0045</v>
      </c>
      <c r="N2114" t="n">
        <v>0.1017</v>
      </c>
      <c r="O2114" t="n">
        <v>0.124</v>
      </c>
    </row>
    <row r="2115">
      <c r="A2115" t="inlineStr">
        <is>
          <t>storm</t>
        </is>
      </c>
      <c r="B2115" t="inlineStr">
        <is>
          <t>storm-client/src/jvm/org/apache/storm/state/BaseStateIterator.java</t>
        </is>
      </c>
      <c r="C2115">
        <f>HYPERLINK("https://github.com/apache/storm/blob/master/storm-client/src/jvm/org/apache/storm/state/BaseStateIterator.java")</f>
        <v/>
      </c>
      <c r="D2115"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15" t="n">
        <v>0</v>
      </c>
      <c r="F2115" t="n">
        <v>0.0312</v>
      </c>
      <c r="G2115" t="n">
        <v>0.1172</v>
      </c>
      <c r="H2115" t="inlineStr">
        <is>
          <t>This repository contains backend software components implementing core algorithms used by Apache Storm for distributed real time computation systems. The code is licensed under the Apache License 2.0 which allows it to be freely used and modified in compliance with the license terms.
Please note that this summary does not include any specific functionality of the provided code as per your request but provides a general overview about its purpose and structure</t>
        </is>
      </c>
      <c r="I2115" t="n">
        <v>0.0038</v>
      </c>
      <c r="J2115" t="n">
        <v>0.1481</v>
      </c>
      <c r="K2115" t="n">
        <v>0.2961</v>
      </c>
      <c r="L2115" t="inlineStr">
        <is>
          <t>This code is part of Apache Storm's state management system and it provides a way to store the state for each bolt in an iterative topology. The main purpose of this class seems to be managing the storage and retrieval of states associated with each task (bolt). 
It uses Java utilities such as AbstractMap, Map, Set, Iterator etc., which are fundamental</t>
        </is>
      </c>
      <c r="M2115" t="n">
        <v>0.0036</v>
      </c>
      <c r="N2115" t="n">
        <v>0.0571</v>
      </c>
      <c r="O2115" t="n">
        <v>0.1128</v>
      </c>
    </row>
    <row r="2116">
      <c r="A2116" t="inlineStr">
        <is>
          <t>storm</t>
        </is>
      </c>
      <c r="B2116" t="inlineStr">
        <is>
          <t>storm-client/src/jvm/org/apache/storm/state/ISubscribedState.java</t>
        </is>
      </c>
      <c r="C2116">
        <f>HYPERLINK("https://github.com/apache/storm/blob/master/storm-client/src/jvm/org/apache/storm/state/ISubscribedState.java")</f>
        <v/>
      </c>
      <c r="D2116"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16" t="n">
        <v>0</v>
      </c>
      <c r="F2116" t="n">
        <v>0.0308</v>
      </c>
      <c r="G2116" t="n">
        <v>0.1163</v>
      </c>
      <c r="H2116" t="inlineStr">
        <is>
          <t>This repository contains backend software components that implement core algorithms used by Apache Storm for distributed processing of large data streams. The complexity is O(n), as it involves operations on a collection (like list or map). It's licensed under the Apache License 2.0 and you may not use this file except in compliance with the license. You can obtain a copy at http://www.apache.</t>
        </is>
      </c>
      <c r="I2116" t="n">
        <v>0.0041</v>
      </c>
      <c r="J2116" t="n">
        <v>0.1316</v>
      </c>
      <c r="K2116" t="n">
        <v>0.3158</v>
      </c>
      <c r="L2116" t="inlineStr">
        <is>
          <t>The provided code is a Java interface named `ISubscribedState` that defines two methods - `set()` and `remove()`. The purpose of this interface seems to be managing state for some sort of subscription system or data processing framework like Apache Storm. 
Here's the summary in detail:
- This ISubscribedState interface provides an abstraction</t>
        </is>
      </c>
      <c r="M2116" t="n">
        <v>0.0042</v>
      </c>
      <c r="N2116" t="n">
        <v>0.0339</v>
      </c>
      <c r="O2116" t="n">
        <v>0.0806</v>
      </c>
    </row>
    <row r="2117">
      <c r="A2117" t="inlineStr">
        <is>
          <t>storm</t>
        </is>
      </c>
      <c r="B2117" t="inlineStr">
        <is>
          <t>storm-client/src/jvm/org/apache/storm/state/KeyValueState.java</t>
        </is>
      </c>
      <c r="C2117">
        <f>HYPERLINK("https://github.com/apache/storm/blob/master/storm-client/src/jvm/org/apache/storm/state/KeyValueState.java")</f>
        <v/>
      </c>
      <c r="D2117" t="inlineStr">
        <is>
          <t>This code is licensed under the Apache Software Foundation (ASF)'s license version 2.0. It provides an interface for a key-value state that supports iterating over entries and also extends from State interface. The implementation of this class might be complex due to its core algorithms but it's not explicitly stated in the comments or README file. This could potentially be a part of larger</t>
        </is>
      </c>
      <c r="E2117" t="n">
        <v>0.0037</v>
      </c>
      <c r="F2117" t="n">
        <v>0.1053</v>
      </c>
      <c r="G2117" t="n">
        <v>0.2206</v>
      </c>
      <c r="H2117" t="inlineStr">
        <is>
          <t>This code is a Java interface for a key-value state that extends the State interface and implements Iterable to allow iteration over entries in the map. The iterator returns Map.Entry objects which contain keys of type K and values of type V. It also includes methods such as put(), remove() etc., for manipulating this data structure.
It's licensed under Apache License</t>
        </is>
      </c>
      <c r="I2117" t="n">
        <v>0.0039</v>
      </c>
      <c r="J2117" t="n">
        <v>0.0833</v>
      </c>
      <c r="K2117" t="n">
        <v>0.1128</v>
      </c>
      <c r="L2117" t="inlineStr">
        <is>
          <t>```plaintext
This code provides an interface named KeyValueState that extends the State interface and implements Iterable. It represents a state object that supports key-value mappings. The purpose of this class is to provide methods for managing and manipulating these key-value pairs in various ways such as getting, setting, removing or checking their existence. 
It has two generic</t>
        </is>
      </c>
      <c r="M2117" t="n">
        <v>0.0042</v>
      </c>
      <c r="N2117" t="n">
        <v>0.0896</v>
      </c>
      <c r="O2117" t="n">
        <v>0.1163</v>
      </c>
    </row>
    <row r="2118">
      <c r="A2118" t="inlineStr">
        <is>
          <t>storm</t>
        </is>
      </c>
      <c r="B2118" t="inlineStr">
        <is>
          <t>storm-client/src/jvm/org/apache/storm/state/StateSpoutOutputCollector.java</t>
        </is>
      </c>
      <c r="C2118">
        <f>HYPERLINK("https://github.com/apache/storm/blob/master/storm-client/src/jvm/org/apache/storm/state/StateSpoutOutputCollector.java")</f>
        <v/>
      </c>
      <c r="D2118"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18" t="n">
        <v>0</v>
      </c>
      <c r="F2118" t="n">
        <v>0.0308</v>
      </c>
      <c r="G2118" t="n">
        <v>0.1163</v>
      </c>
      <c r="H2118" t="inlineStr">
        <is>
          <t>This code is a Java implementation of the Apache Storm framework's State Spout Output Collector interface. It provides an override for the remove method which removes state data associated with a specific stream and id from the collector. The complexity of this operation is O(n), as it involves searching through all stored states to find matching ones. This function may be used in distributed systems where maintaining consistency across multiple</t>
        </is>
      </c>
      <c r="I2118" t="n">
        <v>0.0031</v>
      </c>
      <c r="J2118" t="n">
        <v>0.075</v>
      </c>
      <c r="K2118" t="n">
        <v>0.1408</v>
      </c>
      <c r="L2118" t="inlineStr">
        <is>
          <t>```java
// This Java class extends SynchronizedOutputCollector and implements IStateSpoutOutputCollector interface. 
// It provides a method to remove tuples from the output collector based on stream id and tuple id.
// The purpose of this code is to manage stateful spouts in Apache Storm.
// Code Complexity: O(</t>
        </is>
      </c>
      <c r="M2118" t="n">
        <v>0.005</v>
      </c>
      <c r="N2118" t="n">
        <v>0.1154</v>
      </c>
      <c r="O2118" t="n">
        <v>0.125</v>
      </c>
    </row>
    <row r="2119">
      <c r="A2119" t="inlineStr">
        <is>
          <t>storm</t>
        </is>
      </c>
      <c r="B2119" t="inlineStr">
        <is>
          <t>storm-client/src/jvm/org/apache/storm/state/IStateSpoutOutputCollector.java</t>
        </is>
      </c>
      <c r="C2119">
        <f>HYPERLINK("https://github.com/apache/storm/blob/master/storm-client/src/jvm/org/apache/storm/state/IStateSpoutOutputCollector.java")</f>
        <v/>
      </c>
      <c r="D2119"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19" t="n">
        <v>0</v>
      </c>
      <c r="F2119" t="n">
        <v>0.0308</v>
      </c>
      <c r="G2119" t="n">
        <v>0.1163</v>
      </c>
      <c r="H2119" t="inlineStr">
        <is>
          <t>This repository contains backend software components that implement core algorithms used in Apache Storm. The function `remove` is a method of the interface `IStateSpoutOutputCollector` which removes an output from the state based on stream ID and object id. It appears to have O(N) complexity since it may need to iterate over all elements in order to find and remove a specific one.</t>
        </is>
      </c>
      <c r="I2119" t="n">
        <v>0.0042</v>
      </c>
      <c r="J2119" t="n">
        <v>0.169</v>
      </c>
      <c r="K2119" t="n">
        <v>0.3182</v>
      </c>
      <c r="L2119" t="inlineStr">
        <is>
          <t>```java
// This is a Java interface named IStateSpoutOutputCollector that extends ISynchronizeOutputCollector. 
// It provides the method remove which takes two parameters - an integer streamId and an Object id. 
// The purpose of this code is to manage stateful spouts in Apache Storm by removing tuples from their output streams based on</t>
        </is>
      </c>
      <c r="M2119" t="n">
        <v>0.0041</v>
      </c>
      <c r="N2119" t="n">
        <v>0.0702</v>
      </c>
      <c r="O2119" t="n">
        <v>0.08</v>
      </c>
    </row>
    <row r="2120">
      <c r="A2120" t="inlineStr">
        <is>
          <t>storm</t>
        </is>
      </c>
      <c r="B2120" t="inlineStr">
        <is>
          <t>storm-client/src/jvm/org/apache/storm/state/InMemoryKeyValueStateProvider.java</t>
        </is>
      </c>
      <c r="C2120">
        <f>HYPERLINK("https://github.com/apache/storm/blob/master/storm-client/src/jvm/org/apache/storm/state/InMemoryKeyValueStateProvider.java")</f>
        <v/>
      </c>
      <c r="D2120"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20" t="n">
        <v>0</v>
      </c>
      <c r="F2120" t="n">
        <v>0.0312</v>
      </c>
      <c r="G2120" t="n">
        <v>0.1172</v>
      </c>
      <c r="H2120" t="inlineStr">
        <is>
          <t>This repository contains backend software components that implement core algorithms used by Apache Storm for distributed processing of large data streams in real time. The code is licensed under the Apache Software Foundation (ASF) license version 2.0 and can be found at http://www.apache.org/licenses/LICENSE-2.0. It may not be used except in compliance with this License. You</t>
        </is>
      </c>
      <c r="I2120" t="n">
        <v>0.0047</v>
      </c>
      <c r="J2120" t="n">
        <v>0.1408</v>
      </c>
      <c r="K2120" t="n">
        <v>0.3357</v>
      </c>
      <c r="L2120" t="inlineStr">
        <is>
          <t>This code provides an implementation of the `IState` interface from Apache Storm framework using a ConcurrentHashMap for storing key-value pairs in memory. The purpose of this class is to provide stateful computation capabilities within distributed systems such as big data processing frameworks like Storm. It implements methods related to initialization and cleanup tasks when topology starts or stops. Code size is 1000</t>
        </is>
      </c>
      <c r="M2120" t="n">
        <v>0.0039</v>
      </c>
      <c r="N2120" t="n">
        <v>0.08450000000000001</v>
      </c>
      <c r="O2120" t="n">
        <v>0.1493</v>
      </c>
    </row>
    <row r="2121">
      <c r="A2121" t="inlineStr">
        <is>
          <t>storm</t>
        </is>
      </c>
      <c r="B2121" t="inlineStr">
        <is>
          <t>storm-client/src/jvm/org/apache/storm/state/InMemoryKeyValueState.java</t>
        </is>
      </c>
      <c r="C2121">
        <f>HYPERLINK("https://github.com/apache/storm/blob/master/storm-client/src/jvm/org/apache/storm/state/InMemoryKeyValueState.java")</f>
        <v/>
      </c>
      <c r="D2121" t="inlineStr">
        <is>
          <t>This code is licensed under the Apache Software Foundation (ASF), version 2.0 license. It's a Java package named `org.apache.storm.state` that provides an in-memory implementation of stateful components used by Apache Storm. The software may be distributed under the terms specified in the ASF License at http://www.apache.org/licenses</t>
        </is>
      </c>
      <c r="E2121" t="n">
        <v>0.0048</v>
      </c>
      <c r="F2121" t="n">
        <v>0.09379999999999999</v>
      </c>
      <c r="G2121" t="n">
        <v>0.1695</v>
      </c>
      <c r="H2121" t="inlineStr">
        <is>
          <t>The provided code is a Java implementation of an in-memory state storage system for Apache Storm. It uses the ConcurrentHashMap data structure from java.util.concurrent package to store and retrieve key-value pairs concurrently without blocking threads. The complexity of this operation is O(1), meaning it takes constant time regardless of the size of the map. This class also logs information using</t>
        </is>
      </c>
      <c r="I2121" t="n">
        <v>0.0036</v>
      </c>
      <c r="J2121" t="n">
        <v>0.0548</v>
      </c>
      <c r="K2121" t="n">
        <v>0.1515</v>
      </c>
      <c r="L2121" t="inlineStr">
        <is>
          <t>This code is part of Apache Storm's state management system and provides an in-memory implementation for storing and retrieving data efficiently. The class maintains a concurrency safe hash map (`ConcurrentHashMap`) to store the states with keys being tuple ids and values being `StateDataTuple` objects which hold information about the corresponding tuples. It also logs important events using</t>
        </is>
      </c>
      <c r="M2121" t="n">
        <v>0.0038</v>
      </c>
      <c r="N2121" t="n">
        <v>0.0896</v>
      </c>
      <c r="O2121" t="n">
        <v>0.155</v>
      </c>
    </row>
    <row r="2122">
      <c r="A2122" t="inlineStr">
        <is>
          <t>storm</t>
        </is>
      </c>
      <c r="B2122" t="inlineStr">
        <is>
          <t>storm-client/src/jvm/org/apache/storm/state/DefaultStateEncoder.java</t>
        </is>
      </c>
      <c r="C2122">
        <f>HYPERLINK("https://github.com/apache/storm/blob/master/storm-client/src/jvm/org/apache/storm/state/DefaultStateEncoder.java")</f>
        <v/>
      </c>
      <c r="D2122" t="inlineStr">
        <is>
          <t>```plaintext
This code is licensed under the Apache Software Foundation (ASF) license version 2.0. It provides a default state encoder class for encoding and decoding key value pairs where both keys and values are binary byte arrays. The encoded types of key and value must be both binary to maintain data integrity. This implementation has O(N) complexity as it processes each</t>
        </is>
      </c>
      <c r="E2122" t="n">
        <v>0.0036</v>
      </c>
      <c r="F2122" t="n">
        <v>0.08450000000000001</v>
      </c>
      <c r="G2122" t="n">
        <v>0.1504</v>
      </c>
      <c r="H2122" t="inlineStr">
        <is>
          <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t>
        </is>
      </c>
      <c r="I2122" t="n">
        <v>0</v>
      </c>
      <c r="J2122" t="n">
        <v>0.0286</v>
      </c>
      <c r="K2122" t="n">
        <v>0.1119</v>
      </c>
      <c r="L2122" t="inlineStr">
        <is>
          <t>This code is part of Apache Storm's state management module and provides a default encoder for encoding key values as binary arrays (bytes). The class assumes that the encoded types of both keys and values are byte array binaries. It uses Java 8+ Optional to handle possible null or absent states more gracefully. If an exception occurs during decoding, it returns an empty optional which indicates failure in</t>
        </is>
      </c>
      <c r="M2122" t="n">
        <v>0.0035</v>
      </c>
      <c r="N2122" t="n">
        <v>0.0779</v>
      </c>
      <c r="O2122" t="n">
        <v>0.1429</v>
      </c>
    </row>
    <row r="2123">
      <c r="A2123" t="inlineStr">
        <is>
          <t>storm</t>
        </is>
      </c>
      <c r="B2123" t="inlineStr">
        <is>
          <t>storm-client/src/jvm/org/apache/storm/state/StateFactory.java</t>
        </is>
      </c>
      <c r="C2123">
        <f>HYPERLINK("https://github.com/apache/storm/blob/master/storm-client/src/jvm/org/apache/storm/state/StateFactory.java")</f>
        <v/>
      </c>
      <c r="D2123"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23" t="n">
        <v>0</v>
      </c>
      <c r="F2123" t="n">
        <v>0.0308</v>
      </c>
      <c r="G2123" t="n">
        <v>0.1163</v>
      </c>
      <c r="H2123" t="inlineStr">
        <is>
          <t>This code is a factory for creating instances of classes that implement the core algorithms used in Apache Storm's state management system. The complexity of this function appears to be O(n), where n represents the number of different types of states managed by the algorithm. Each type of state has its own class implementation and instance creation logic. This means there could potentially be multiple iterations over the 'classes' map</t>
        </is>
      </c>
      <c r="I2123" t="n">
        <v>0.0037</v>
      </c>
      <c r="J2123" t="n">
        <v>0.15</v>
      </c>
      <c r="K2123" t="n">
        <v>0.2113</v>
      </c>
      <c r="L2123" t="inlineStr">
        <is>
          <t>This code is part of Apache Storm's state package and it appears to be a factory for creating instances of classes that implement the State interface. The main purpose of this class seems to be managing the persistence of data in an instance store. 
It has three methods: prepare, cleanup, and getStateForKey which are used as part of its functionality according to comments provided</t>
        </is>
      </c>
      <c r="M2123" t="n">
        <v>0.0037</v>
      </c>
      <c r="N2123" t="n">
        <v>0.0822</v>
      </c>
      <c r="O2123" t="n">
        <v>0.1471</v>
      </c>
    </row>
    <row r="2124">
      <c r="A2124" t="inlineStr">
        <is>
          <t>storm</t>
        </is>
      </c>
      <c r="B2124" t="inlineStr">
        <is>
          <t>storm-client/src/jvm/org/apache/storm/state/IStateSpout.java</t>
        </is>
      </c>
      <c r="C2124">
        <f>HYPERLINK("https://github.com/apache/storm/blob/master/storm-client/src/jvm/org/apache/storm/state/IStateSpout.java")</f>
        <v/>
      </c>
      <c r="D2124" t="inlineStr">
        <is>
          <t>This code is licensed under the Apache Software Foundation (ASF)'s license version 2.0 and it defines an interface named `IStateSpout` which extends from `Serializable`. The purpose of this class seems to be managing state for a Storm topology in terms of distributed processing systems like Hadoop or Spark. It provides methods such as open() that are used during initialization phase</t>
        </is>
      </c>
      <c r="E2124" t="n">
        <v>0.0036</v>
      </c>
      <c r="F2124" t="n">
        <v>0.0857</v>
      </c>
      <c r="G2124" t="n">
        <v>0.1515</v>
      </c>
      <c r="H2124" t="inlineStr">
        <is>
          <t>This repository contains backend software components that implement core algorithms used in the Storm framework for distributed real-time processing of unbounded data streams. The code is licensed under Apache 2.0 and can be found at http://www.apache.org/licenses/LICENSE-2.0. It's important to note that any changes made should comply with this license.
```</t>
        </is>
      </c>
      <c r="I2124" t="n">
        <v>0.0052</v>
      </c>
      <c r="J2124" t="n">
        <v>0.1493</v>
      </c>
      <c r="K2124" t="n">
        <v>0.3495</v>
      </c>
      <c r="L2124" t="inlineStr">
        <is>
          <t>The provided code is a Java interface named `IStateSpout` that extends the Serializable class and has two methods namely open() and prepare(). The purpose of this interface seems to be related to Apache Storm's state management system for distributed stream processing systems. 
The method 'open()' appears to initialize some resources or connections required by the spout implementation during its initialization phase</t>
        </is>
      </c>
      <c r="M2124" t="n">
        <v>0.003</v>
      </c>
      <c r="N2124" t="n">
        <v>0.0571</v>
      </c>
      <c r="O2124" t="n">
        <v>0.1128</v>
      </c>
    </row>
    <row r="2125">
      <c r="A2125" t="inlineStr">
        <is>
          <t>storm</t>
        </is>
      </c>
      <c r="B2125" t="inlineStr">
        <is>
          <t>storm-client/src/jvm/org/apache/storm/state/BaseBinaryStateIterator.java</t>
        </is>
      </c>
      <c r="C2125">
        <f>HYPERLINK("https://github.com/apache/storm/blob/master/storm-client/src/jvm/org/apache/storm/state/BaseBinaryStateIterator.java")</f>
        <v/>
      </c>
      <c r="D2125" t="inlineStr">
        <is>
          <t>```
/*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25" t="n">
        <v>0</v>
      </c>
      <c r="F2125" t="n">
        <v>0.0317</v>
      </c>
      <c r="G2125" t="n">
        <v>0.1163</v>
      </c>
      <c r="H2125" t="inlineStr">
        <is>
          <t>The code you provided is a simple function for addition of two numbers in Python. The functionality of the code can be summarized as follows:
```plaintext
Function Name: add
Inputs: Two numbers (a and b)
Output: Returns the sum of the inputs 
Time Complexity: O(1), meaning it performs constant time operations regardless of input size</t>
        </is>
      </c>
      <c r="I2125" t="n">
        <v>0.004</v>
      </c>
      <c r="J2125" t="n">
        <v>0.0625</v>
      </c>
      <c r="K2125" t="n">
        <v>0.1181</v>
      </c>
      <c r="L2125" t="inlineStr">
        <is>
          <t>```plaintext
The code provided is a part of Apache Storm's state management system. It defines classes and interfaces related to maintaining the state of an Apache Storm topology. 
It uses Java programming language with Google Guava library for some data structures like TreeSet and Iterator. The main purpose of this code seems to be managing states in a distributed computing environment where multiple</t>
        </is>
      </c>
      <c r="M2125" t="n">
        <v>0.0029</v>
      </c>
      <c r="N2125" t="n">
        <v>0.0278</v>
      </c>
      <c r="O2125" t="n">
        <v>0.1111</v>
      </c>
    </row>
    <row r="2126">
      <c r="A2126" t="inlineStr">
        <is>
          <t>storm</t>
        </is>
      </c>
      <c r="B2126" t="inlineStr">
        <is>
          <t>storm-client/src/jvm/org/apache/storm/spout/SpoutOutputCollector.java</t>
        </is>
      </c>
      <c r="C2126">
        <f>HYPERLINK("https://github.com/apache/storm/blob/master/storm-client/src/jvm/org/apache/storm/spout/SpoutOutputCollector.java")</f>
        <v/>
      </c>
      <c r="D2126" t="inlineStr">
        <is>
          <t>This code is licensed under the Apache Software Foundation (ASF), and it's distributed with this work under the terms of the Apache License, Version 2.0. The license allows users to use or modify the file as long as they comply with its conditions. It provides a basic structure for an Apache Storm spout component that emits tuples from an output collector API. However,</t>
        </is>
      </c>
      <c r="E2126" t="n">
        <v>0.0034</v>
      </c>
      <c r="F2126" t="n">
        <v>0.0822</v>
      </c>
      <c r="G2126" t="n">
        <v>0.1481</v>
      </c>
      <c r="H2126" t="inlineStr">
        <is>
          <t>This code is licensed under the Apache License 2.0 and it's a part of an Apache Storm project which is used for real-time computation systems. The license grants you permission to use this file except in compliance with the license terms. You can obtain a copy of the license at http://www.apache.org/licenses/LICENSE-2.0 Unless required by applicable</t>
        </is>
      </c>
      <c r="I2126" t="n">
        <v>0.004</v>
      </c>
      <c r="J2126" t="n">
        <v>0.0548</v>
      </c>
      <c r="K2126" t="n">
        <v>0.1181</v>
      </c>
      <c r="L2126" t="inlineStr">
        <is>
          <t>This code is a part of Apache Storm's spout component. The purpose of this class appears to be emitting tuples from an external data source for processing in the Storm topology. It exposes an API that allows you to emit these tuples and it utilizes the OutputCollector interface provided by Storm. 
However, without seeing the actual implementation or context,</t>
        </is>
      </c>
      <c r="M2126" t="n">
        <v>0.0037</v>
      </c>
      <c r="N2126" t="n">
        <v>0.0588</v>
      </c>
      <c r="O2126" t="n">
        <v>0.1527</v>
      </c>
    </row>
    <row r="2127">
      <c r="A2127" t="inlineStr">
        <is>
          <t>storm</t>
        </is>
      </c>
      <c r="B2127" t="inlineStr">
        <is>
          <t>storm-client/src/jvm/org/apache/storm/spout/ISchemableSpout.java</t>
        </is>
      </c>
      <c r="C2127">
        <f>HYPERLINK("https://github.com/apache/storm/blob/master/storm-client/src/jvm/org/apache/storm/spout/ISchemableSpout.java")</f>
        <v/>
      </c>
      <c r="D2127"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27" t="n">
        <v>0</v>
      </c>
      <c r="F2127" t="n">
        <v>0.0308</v>
      </c>
      <c r="G2127" t="n">
        <v>0.1163</v>
      </c>
      <c r="H2127"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I2127" t="n">
        <v>0</v>
      </c>
      <c r="J2127" t="n">
        <v>0.0308</v>
      </c>
      <c r="K2127" t="n">
        <v>0.1163</v>
      </c>
      <c r="L2127" t="inlineStr">
        <is>
          <t>This code provides an interface named ISchemaSpout with two methods - getScheme() and setScheme(). 
getScheme() is used to retrieve the scheme of this spout which could be understood as a schema or pattern that defines how data should be processed by downstream components in Storm topology. It returns Scheme object without any parameters.
setScheme</t>
        </is>
      </c>
      <c r="M2127" t="n">
        <v>0.004</v>
      </c>
      <c r="N2127" t="n">
        <v>0.06560000000000001</v>
      </c>
      <c r="O2127" t="n">
        <v>0.119</v>
      </c>
    </row>
    <row r="2128">
      <c r="A2128" t="inlineStr">
        <is>
          <t>storm</t>
        </is>
      </c>
      <c r="B2128" t="inlineStr">
        <is>
          <t>storm-client/src/jvm/org/apache/storm/spout/MultiScheme.java</t>
        </is>
      </c>
      <c r="C2128">
        <f>HYPERLINK("https://github.com/apache/storm/blob/master/storm-client/src/jvm/org/apache/storm/spout/MultiScheme.java")</f>
        <v/>
      </c>
      <c r="D2128"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28" t="n">
        <v>0</v>
      </c>
      <c r="F2128" t="n">
        <v>0.0312</v>
      </c>
      <c r="G2128" t="n">
        <v>0.1172</v>
      </c>
      <c r="H2128" t="inlineStr">
        <is>
          <t>This repository contains backend software components that implement core algorithms used in Apache Storm. The complexity of the code is O(N), where N represents the number of lines of code. It's licensed under the Apache License Version 2.0 and can be found at http://www.apache.org/licenses/LICENSE-2.0. Comments are provided to explain each part of the</t>
        </is>
      </c>
      <c r="I2128" t="n">
        <v>0.0049</v>
      </c>
      <c r="J2128" t="n">
        <v>0.1408</v>
      </c>
      <c r="K2128" t="n">
        <v>0.3411</v>
      </c>
      <c r="L2128" t="inlineStr">
        <is>
          <t>The provided code is a Java interface named `MultiScheme` that extends the `Serializable` class. This interface seems to be part of Apache Storm's library and it defines methods for handling multiple data schemas.
Main Purpose: The purpose of this interface appears to be defining how different types of input data can be processed by various components in an application built on top of</t>
        </is>
      </c>
      <c r="M2128" t="n">
        <v>0.0034</v>
      </c>
      <c r="N2128" t="n">
        <v>0.0556</v>
      </c>
      <c r="O2128" t="n">
        <v>0.1111</v>
      </c>
    </row>
    <row r="2129">
      <c r="A2129" t="inlineStr">
        <is>
          <t>storm</t>
        </is>
      </c>
      <c r="B2129" t="inlineStr">
        <is>
          <t>storm-client/src/jvm/org/apache/storm/spout/ShellSpout.java</t>
        </is>
      </c>
      <c r="C2129">
        <f>HYPERLINK("https://github.com/apache/storm/blob/master/storm-client/src/jvm/org/apache/storm/spout/ShellSpout.java")</f>
        <v/>
      </c>
      <c r="D2129"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29" t="n">
        <v>0</v>
      </c>
      <c r="F2129" t="n">
        <v>0.0312</v>
      </c>
      <c r="G2129" t="n">
        <v>0.1172</v>
      </c>
      <c r="H2129" t="inlineStr">
        <is>
          <t>The provided code is a simple addition function in Java named `add` which takes two parameters and returns their sum. The complexity of this operation is O(1), meaning it always performs the same number of operations regardless of input size.
```java
public class Main {
    public static int add(int a, int b){
        return a + b;  // This</t>
        </is>
      </c>
      <c r="I2129" t="n">
        <v>0.0037</v>
      </c>
      <c r="J2129" t="n">
        <v>0.0615</v>
      </c>
      <c r="K2129" t="n">
        <v>0.1154</v>
      </c>
      <c r="L2129" t="inlineStr">
        <is>
          <t>The provided code is a part of the Apache Storm project's source code for a spout component. This module is responsible for emitting tuples (data records) to be processed by bolts in distributed streaming systems like Storm. 
 It uses an Executor Service to schedule tasks that emit new data at regular intervals defined by the user. These tasks are instances of</t>
        </is>
      </c>
      <c r="M2129" t="n">
        <v>0.0036</v>
      </c>
      <c r="N2129" t="n">
        <v>0.0571</v>
      </c>
      <c r="O2129" t="n">
        <v>0.1128</v>
      </c>
    </row>
    <row r="2130">
      <c r="A2130" t="inlineStr">
        <is>
          <t>storm</t>
        </is>
      </c>
      <c r="B2130" t="inlineStr">
        <is>
          <t>storm-client/src/jvm/org/apache/storm/spout/RawScheme.java</t>
        </is>
      </c>
      <c r="C2130">
        <f>HYPERLINK("https://github.com/apache/storm/blob/master/storm-client/src/jvm/org/apache/storm/spout/RawScheme.java")</f>
        <v/>
      </c>
      <c r="D2130" t="inlineStr">
        <is>
          <t>```plaintext
Licensed under the Apache Software Foundation (ASF) license version 2.0 found at http://www.apache.org/licenses/LICENSE-2.0. The ASF licenses this file to you under the same conditions as stated in the License. You may not use this file except in compliance with the License. Unless required by</t>
        </is>
      </c>
      <c r="E2130" t="n">
        <v>0</v>
      </c>
      <c r="F2130" t="n">
        <v>0.0328</v>
      </c>
      <c r="G2130" t="n">
        <v>0.1282</v>
      </c>
      <c r="H2130" t="inlineStr">
        <is>
          <t>The provided code is a Java implementation of the Apache Storm package `org.apache.storm.spout` named `RawScheme` which implements core algorithms for processing data in distributed systems. The complexity of this function appears to be O(N), where N represents some aspect of input size or number of operations performed by the algorithm implemented within it.
In summary, this code defines</t>
        </is>
      </c>
      <c r="I2130" t="n">
        <v>0.0067</v>
      </c>
      <c r="J2130" t="n">
        <v>0.0857</v>
      </c>
      <c r="K2130" t="n">
        <v>0.2428</v>
      </c>
      <c r="L2130" t="inlineStr">
        <is>
          <t>```plaintext
This code is a Java implementation of the RawScheme class in Apache Storm framework. It's used for emitting raw bytes as tuples and it implements an interface called IScheme which defines methods to serialize and deserialize data into byte arrays. 
It has two main functions - one to serialize List&lt;Object&gt; (a</t>
        </is>
      </c>
      <c r="M2130" t="n">
        <v>0.0046</v>
      </c>
      <c r="N2130" t="n">
        <v>0.0984</v>
      </c>
      <c r="O2130" t="n">
        <v>0.1613</v>
      </c>
    </row>
    <row r="2131">
      <c r="A2131" t="inlineStr">
        <is>
          <t>storm</t>
        </is>
      </c>
      <c r="B2131" t="inlineStr">
        <is>
          <t>storm-client/src/jvm/org/apache/storm/spout/IMultiSchemableSpout.java</t>
        </is>
      </c>
      <c r="C2131">
        <f>HYPERLINK("https://github.com/apache/storm/blob/master/storm-client/src/jvm/org/apache/storm/spout/IMultiSchemableSpout.java")</f>
        <v/>
      </c>
      <c r="D2131"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31" t="n">
        <v>0</v>
      </c>
      <c r="F2131" t="n">
        <v>0.0308</v>
      </c>
      <c r="G2131" t="n">
        <v>0.1163</v>
      </c>
      <c r="H2131" t="inlineStr">
        <is>
          <t>The provided code is a Java interface named IMultiSchemableSpout that defines two methods: getScheme() and setScheme(). The method getScheme() returns the current scheme of the spout while the method setScheme() sets the scheme for the spout. 
In terms of functionality, this interface seems to be part of an Apache Storm framework implementation where</t>
        </is>
      </c>
      <c r="I2131" t="n">
        <v>0.0035</v>
      </c>
      <c r="J2131" t="n">
        <v>0.06560000000000001</v>
      </c>
      <c r="K2131" t="n">
        <v>0.16</v>
      </c>
      <c r="L2131" t="inlineStr">
        <is>
          <t>This code is a Java interface named IMultiSchemableSpout that defines two methods - getScheme() and setScheme(). The purpose of this interface seems to be related to the management or handling of different data schemas in a distributed system like Apache Storm. 
 It provides an abstraction for defining how incoming tuples are processed by the spouts (</t>
        </is>
      </c>
      <c r="M2131" t="n">
        <v>0.0039</v>
      </c>
      <c r="N2131" t="n">
        <v>0.0645</v>
      </c>
      <c r="O2131" t="n">
        <v>0.0781</v>
      </c>
    </row>
    <row r="2132">
      <c r="A2132" t="inlineStr">
        <is>
          <t>storm</t>
        </is>
      </c>
      <c r="B2132" t="inlineStr">
        <is>
          <t>storm-client/src/jvm/org/apache/storm/spout/ISpoutOutputCollector.java</t>
        </is>
      </c>
      <c r="C2132">
        <f>HYPERLINK("https://github.com/apache/storm/blob/master/storm-client/src/jvm/org/apache/storm/spout/ISpoutOutputCollector.java")</f>
        <v/>
      </c>
      <c r="D2132"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32" t="n">
        <v>0</v>
      </c>
      <c r="F2132" t="n">
        <v>0.0312</v>
      </c>
      <c r="G2132" t="n">
        <v>0.1172</v>
      </c>
      <c r="H2132" t="inlineStr">
        <is>
          <t>This code is licensed under the Apache License 2.0 and it's a part of an Apache Storm project that contains backend software components for implementing core algorithms. It does not seem to have any direct functionality related to addition but rather implements some complex algorithms which are used in distributed computing systems like Apache Storm. The complexity seems to be O(N), where N represents the number of threads or instances</t>
        </is>
      </c>
      <c r="I2132" t="n">
        <v>0.0041</v>
      </c>
      <c r="J2132" t="n">
        <v>0.1235</v>
      </c>
      <c r="K2132" t="n">
        <v>0.2113</v>
      </c>
      <c r="L2132" t="inlineStr">
        <is>
          <t>This code is part of Apache Storm's spout package and it defines a class for handling the data input to a Storm topology. 
It provides two methods that need to be implemented by any classes implementing this interface: nextTuple() which emits new tuples into the system, and fail(errorMsg) which reports an error in processing. The IErrorReporter</t>
        </is>
      </c>
      <c r="M2132" t="n">
        <v>0.0039</v>
      </c>
      <c r="N2132" t="n">
        <v>0.09089999999999999</v>
      </c>
      <c r="O2132" t="n">
        <v>0.1563</v>
      </c>
    </row>
    <row r="2133">
      <c r="A2133" t="inlineStr">
        <is>
          <t>storm</t>
        </is>
      </c>
      <c r="B2133" t="inlineStr">
        <is>
          <t>storm-client/src/jvm/org/apache/storm/spout/RawMultiScheme.java</t>
        </is>
      </c>
      <c r="C2133">
        <f>HYPERLINK("https://github.com/apache/storm/blob/master/storm-client/src/jvm/org/apache/storm/spout/RawMultiScheme.java")</f>
        <v/>
      </c>
      <c r="D2133" t="inlineStr">
        <is>
          <t>```plaintext
This code is licensed under the Apache Software Foundation (ASF). It's subject to one or more contributor license agreements and can be found in the NOTICE file distributed with this work for additional information regarding copyright ownership. The ASF licenses this file to you under the Apache License, Version 2.0 (the "License"). You may not use</t>
        </is>
      </c>
      <c r="E2133" t="n">
        <v>0.0038</v>
      </c>
      <c r="F2133" t="n">
        <v>0.0896</v>
      </c>
      <c r="G2133" t="n">
        <v>0.155</v>
      </c>
      <c r="H2133" t="inlineStr">
        <is>
          <t>This Apache Storm spout package contains backend software components implementing core algorithms. It is licensed under the Apache Software Foundation (ASF), version 2.0 license found at http://www.apache.org/licenses/LICENSE-2.0. The code base size is approximately 1000 lines of code and complexity is O(N). There are comments explaining some key parts</t>
        </is>
      </c>
      <c r="I2133" t="n">
        <v>0.0054</v>
      </c>
      <c r="J2133" t="n">
        <v>0.1538</v>
      </c>
      <c r="K2133" t="n">
        <v>0.3553</v>
      </c>
      <c r="L2133" t="inlineStr">
        <is>
          <t>The code provided is a part of Apache Storm's spout component implementation in Java. The main purpose of this class seems to be the generation and emitting of tuples (data records). 
It uses core algorithms for generating data such as byte array conversion using ByteBuffer and list manipulation with Arrays.asList methods. It also handles serialization by implementing Fields</t>
        </is>
      </c>
      <c r="M2133" t="n">
        <v>0.0037</v>
      </c>
      <c r="N2133" t="n">
        <v>0.0882</v>
      </c>
      <c r="O2133" t="n">
        <v>0.1923</v>
      </c>
    </row>
    <row r="2134">
      <c r="A2134" t="inlineStr">
        <is>
          <t>storm</t>
        </is>
      </c>
      <c r="B2134" t="inlineStr">
        <is>
          <t>storm-client/src/jvm/org/apache/storm/spout/CheckpointSpout.java</t>
        </is>
      </c>
      <c r="C2134">
        <f>HYPERLINK("https://github.com/apache/storm/blob/master/storm-client/src/jvm/org/apache/storm/spout/CheckpointSpout.java")</f>
        <v/>
      </c>
      <c r="D2134"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34" t="n">
        <v>0</v>
      </c>
      <c r="F2134" t="n">
        <v>0.0312</v>
      </c>
      <c r="G2134" t="n">
        <v>0.1172</v>
      </c>
      <c r="H2134" t="inlineStr">
        <is>
          <t>This repository contains backend software components that implement core algorithms. It is licensed under the Apache Software Foundation (ASF), Version 2.0 license found at http://www.apache.org/licenses/LICENSE-2.0. The code may not be used except in compliance with this License. You can obtain a copy of the License from there. Unless required by applicable law or agreed</t>
        </is>
      </c>
      <c r="I2134" t="n">
        <v>0.0045</v>
      </c>
      <c r="J2134" t="n">
        <v>0.1143</v>
      </c>
      <c r="K2134" t="n">
        <v>0.2952</v>
      </c>
      <c r="L2134" t="inlineStr">
        <is>
          <t>The code provided is a part of Apache Storm's spout component. It handles the checkpointing process for its topology and emits tuples to be processed by bolts in real time. The main purpose of this class seems to be managing stateful processing with checkpoints, ensuring that no data gets lost during failures or restarts.
Inputs are typically not explicitly defined</t>
        </is>
      </c>
      <c r="M2134" t="n">
        <v>0.003</v>
      </c>
      <c r="N2134" t="n">
        <v>0.029</v>
      </c>
      <c r="O2134" t="n">
        <v>0.1136</v>
      </c>
    </row>
    <row r="2135">
      <c r="A2135" t="inlineStr">
        <is>
          <t>storm</t>
        </is>
      </c>
      <c r="B2135" t="inlineStr">
        <is>
          <t>storm-client/src/jvm/org/apache/storm/spout/SchemeAsMultiScheme.java</t>
        </is>
      </c>
      <c r="C2135">
        <f>HYPERLINK("https://github.com/apache/storm/blob/master/storm-client/src/jvm/org/apache/storm/spout/SchemeAsMultiScheme.java")</f>
        <v/>
      </c>
      <c r="D2135" t="inlineStr">
        <is>
          <t>&lt;!-- This repository contains backend software components. The complexity is O(N), and the implementation of core algorithms are in place. Commits have been made to this code base since its initial commit. Code size is 1000 lines long.--&gt;
```
Please provide a concise, clear, and direct summary of the functionality of the provided code. Do not repeat</t>
        </is>
      </c>
      <c r="E2135" t="n">
        <v>0.0048</v>
      </c>
      <c r="F2135" t="n">
        <v>0.1562</v>
      </c>
      <c r="G2135" t="n">
        <v>0.2326</v>
      </c>
      <c r="H2135" t="inlineStr">
        <is>
          <t>This is a Java code snippet for an Apache Storm spout that implements the MultiScheme interface from org.apache.storm package. The purpose of this class seems to be to parse incoming data into multiple fields using different schemes based on certain conditions or rules. 
It uses ByteBuffers and Lists in conjunction with Fields from Apache Storm's tuple package. It</t>
        </is>
      </c>
      <c r="I2135" t="n">
        <v>0.0041</v>
      </c>
      <c r="J2135" t="n">
        <v>0.08699999999999999</v>
      </c>
      <c r="K2135" t="n">
        <v>0.1538</v>
      </c>
      <c r="L2135" t="inlineStr">
        <is>
          <t>The provided code is part of Apache Storm's implementation and defines a class called `SchemeAsMultiScheme` that implements the interface `MultiScheme`. 
It appears to be used for serialization and deserialization of data in Apache Storm, which is a distributed stream processing system. The main purpose of this class seems to be to convert between byte arrays (used</t>
        </is>
      </c>
      <c r="M2135" t="n">
        <v>0.0039</v>
      </c>
      <c r="N2135" t="n">
        <v>0.0615</v>
      </c>
      <c r="O2135" t="n">
        <v>0.1563</v>
      </c>
    </row>
    <row r="2136">
      <c r="A2136" t="inlineStr">
        <is>
          <t>storm</t>
        </is>
      </c>
      <c r="B2136" t="inlineStr">
        <is>
          <t>storm-client/src/jvm/org/apache/storm/spout/Scheme.java</t>
        </is>
      </c>
      <c r="C2136">
        <f>HYPERLINK("https://github.com/apache/storm/blob/master/storm-client/src/jvm/org/apache/storm/spout/Scheme.java")</f>
        <v/>
      </c>
      <c r="D2136" t="inlineStr">
        <is>
          <t>The code provided is a Java interface named Scheme that extends the Serializable class in Apache Storm library for defining custom serialization schemes. It provides methods to define fields and convert between bytes and objects of this scheme. The license at the top indicates it's licensed under the Apache License 2.0. This means you can use, modify, and distribute the code as long as you comply</t>
        </is>
      </c>
      <c r="E2136" t="n">
        <v>0.0033</v>
      </c>
      <c r="F2136" t="n">
        <v>0.0526</v>
      </c>
      <c r="G2136" t="n">
        <v>0.0725</v>
      </c>
      <c r="H2136" t="inlineStr">
        <is>
          <t>This repository contains backend software components that implement core algorithms and data structures used in the Storm distributed computation system. The complexity of this code is O(N), where N represents the number of objects being processed by the scheme implementation. It's licensed under Apache License 2.0, meaning you can use it for any purpose except to violate its terms. You may obtain a copy of the license</t>
        </is>
      </c>
      <c r="I2136" t="n">
        <v>0.0038</v>
      </c>
      <c r="J2136" t="n">
        <v>0.1282</v>
      </c>
      <c r="K2136" t="n">
        <v>0.3068</v>
      </c>
      <c r="L2136" t="inlineStr">
        <is>
          <t>The provided code is a Java interface named `Scheme` that extends the `Serializable` class in Apache Storm library for data serialization and deserialization purposes. 
It has one method declaration with no implementation detail given. The purpose of this scheme could be to define how objects are converted from byte arrays (used by Kafka or other messaging systems) into Java Object</t>
        </is>
      </c>
      <c r="M2136" t="n">
        <v>0.003</v>
      </c>
      <c r="N2136" t="n">
        <v>0.0294</v>
      </c>
      <c r="O2136" t="n">
        <v>0.1136</v>
      </c>
    </row>
    <row r="2137">
      <c r="A2137" t="inlineStr">
        <is>
          <t>storm</t>
        </is>
      </c>
      <c r="B2137" t="inlineStr">
        <is>
          <t>storm-client/src/jvm/org/apache/storm/spout/ISpout.java</t>
        </is>
      </c>
      <c r="C2137">
        <f>HYPERLINK("https://github.com/apache/storm/blob/master/storm-client/src/jvm/org/apache/storm/spout/ISpout.java")</f>
        <v/>
      </c>
      <c r="D2137" t="inlineStr">
        <is>
          <t>```plaintext
This code is licensed under the Apache Software Foundation (ASF)'s license version 2.0. It's a Java class implementing an interface for spouts in Storm - a distributed real time computation system. The code may not be used except in compliance with this License. A copy of the License can be obtained at http://www.apache.org/licenses</t>
        </is>
      </c>
      <c r="E2137" t="n">
        <v>0.0034</v>
      </c>
      <c r="F2137" t="n">
        <v>0.0882</v>
      </c>
      <c r="G2137" t="n">
        <v>0.1587</v>
      </c>
      <c r="H2137" t="inlineStr">
        <is>
          <t>This code is a Java implementation of an Apache Storm spout (Spout is the core interface for implementing spouts). The purpose of this class seems to be to distribute workload across multiple worker nodes in a distributed system by emitting tuples from it. It's licensed under the Apache License 2.0 and contains comments explaining its usage and license details.
It appears</t>
        </is>
      </c>
      <c r="I2137" t="n">
        <v>0.0039</v>
      </c>
      <c r="J2137" t="n">
        <v>0.1127</v>
      </c>
      <c r="K2137" t="n">
        <v>0.1504</v>
      </c>
      <c r="L2137" t="inlineStr">
        <is>
          <t>The provided code is a part of Apache Storm's core interface for implementing spouts. A Spout is responsible for emitting tuples (data records) to the topology and acknowledging once it has received an acknowledgment from the bolt processing these tuples. The main purpose of this class seems to be data ingestion or emission into the system. It does not explicitly state</t>
        </is>
      </c>
      <c r="M2137" t="n">
        <v>0.0036</v>
      </c>
      <c r="N2137" t="n">
        <v>0.0571</v>
      </c>
      <c r="O2137" t="n">
        <v>0.188</v>
      </c>
    </row>
    <row r="2138">
      <c r="A2138" t="inlineStr">
        <is>
          <t>storm</t>
        </is>
      </c>
      <c r="B2138" t="inlineStr">
        <is>
          <t>storm-client/src/jvm/org/apache/storm/spout/CheckPointState.java</t>
        </is>
      </c>
      <c r="C2138">
        <f>HYPERLINK("https://github.com/apache/storm/blob/master/storm-client/src/jvm/org/apache/storm/spout/CheckPointState.java")</f>
        <v/>
      </c>
      <c r="D2138"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38" t="n">
        <v>0</v>
      </c>
      <c r="F2138" t="n">
        <v>0.0308</v>
      </c>
      <c r="G2138" t="n">
        <v>0.1163</v>
      </c>
      <c r="H2138" t="inlineStr">
        <is>
          <t>This repository contains backend software components that implement core algorithms. The complexity is O(n), where n represents the number of elements in a data structure or array. Each commit includes changes to different parts of this code base and each commit message explains what has been changed. The initial size of the code base was 1000 lines long.
Please provide an example of the functionality of</t>
        </is>
      </c>
      <c r="I2138" t="n">
        <v>0.0041</v>
      </c>
      <c r="J2138" t="n">
        <v>0.1333</v>
      </c>
      <c r="K2138" t="n">
        <v>0.309</v>
      </c>
      <c r="L2138" t="inlineStr">
        <is>
          <t>```plaintext
The provided code is part of Apache Storm's spout package and it handles the checkpointing process for a data stream in distributed systems. The main purpose of this code is to manage stateful processing by tracking offsets or sequence numbers from incoming messages. 
It does so through two primary methods - nextTuple() which emits new tuples into</t>
        </is>
      </c>
      <c r="M2138" t="n">
        <v>0.0031</v>
      </c>
      <c r="N2138" t="n">
        <v>0.0303</v>
      </c>
      <c r="O2138" t="n">
        <v>0.1154</v>
      </c>
    </row>
    <row r="2139">
      <c r="A2139" t="inlineStr">
        <is>
          <t>storm</t>
        </is>
      </c>
      <c r="B2139" t="inlineStr">
        <is>
          <t>storm-client/src/jvm/org/apache/storm/daemon/Task.java</t>
        </is>
      </c>
      <c r="C2139">
        <f>HYPERLINK("https://github.com/apache/storm/blob/master/storm-client/src/jvm/org/apache/storm/daemon/Task.java")</f>
        <v/>
      </c>
      <c r="D2139" t="inlineStr">
        <is>
          <t>```plaintext
This repository contains backend software components written in Java for Apache Storm. The code base is licensed under the Apache License 2.0 and can be found at http://www.apache.org/licenses/LICENSE-2.0. It's distributed on an "AS IS" BASIS without any warranties or conditions of any kind either expressed</t>
        </is>
      </c>
      <c r="E2139" t="n">
        <v>0.0053</v>
      </c>
      <c r="F2139" t="n">
        <v>0.09520000000000001</v>
      </c>
      <c r="G2139" t="n">
        <v>0.1271</v>
      </c>
      <c r="H2139" t="inlineStr">
        <is>
          <t>This repository contains backend software components that implement core algorithms used by Apache Storm for distributed processing of large data streams. The complexity is O(n), where n represents the number of elements in a list or map.
The code is licensed under the Apache License 2.0 (see NOTICE file). It may not be used except in compliance with this license. You can obtain a copy</t>
        </is>
      </c>
      <c r="I2139" t="n">
        <v>0.0037</v>
      </c>
      <c r="J2139" t="n">
        <v>0.1067</v>
      </c>
      <c r="K2139" t="n">
        <v>0.2715</v>
      </c>
      <c r="L2139" t="inlineStr">
        <is>
          <t>The code provided is part of Apache Storm's daemon package and it seems to be responsible for managing the lifecycle of worker processes within a distributed system. It does this by maintaining an internal map (`workerToProc`) that maps each worker process ID to its corresponding Process object.
It also maintains two lists (`assignedWorkers` and `unass</t>
        </is>
      </c>
      <c r="M2139" t="n">
        <v>0.0033</v>
      </c>
      <c r="N2139" t="n">
        <v>0.0625</v>
      </c>
      <c r="O2139" t="n">
        <v>0.1181</v>
      </c>
    </row>
    <row r="2140">
      <c r="A2140" t="inlineStr">
        <is>
          <t>storm</t>
        </is>
      </c>
      <c r="B2140" t="inlineStr">
        <is>
          <t>storm-client/src/jvm/org/apache/storm/daemon/Shutdownable.java</t>
        </is>
      </c>
      <c r="C2140">
        <f>HYPERLINK("https://github.com/apache/storm/blob/master/storm-client/src/jvm/org/apache/storm/daemon/Shutdownable.java")</f>
        <v/>
      </c>
      <c r="D2140"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40" t="n">
        <v>0</v>
      </c>
      <c r="F2140" t="n">
        <v>0.0308</v>
      </c>
      <c r="G2140" t="n">
        <v>0.1163</v>
      </c>
      <c r="H2140" t="inlineStr">
        <is>
          <t>ThisJava code defines an interface named `Shutdownable` with a single method called `shutdown()`. The purpose of this interface is to provide a standard way for classes that implement it to shutdown their operations. This can be useful in large applications where different components might need to shut down independently from each other. Complexity should be O(1), as the methods defined within the interface</t>
        </is>
      </c>
      <c r="I2140" t="n">
        <v>0.0029</v>
      </c>
      <c r="J2140" t="n">
        <v>0.0556</v>
      </c>
      <c r="K2140" t="n">
        <v>0.1111</v>
      </c>
      <c r="L2140" t="inlineStr">
        <is>
          <t>The provided code is a Java interface named "Shutdownable". This interface has one method called shutdown(). Its purpose seems to be to signal other components of the software system that it's time for them to shut down or clean up resources they may have been using. 
 Upon calling this method, presumably there will be some kind of action performed by the implementing class in</t>
        </is>
      </c>
      <c r="M2140" t="n">
        <v>0.0034</v>
      </c>
      <c r="N2140" t="n">
        <v>0.0822</v>
      </c>
      <c r="O2140" t="n">
        <v>0.1103</v>
      </c>
    </row>
    <row r="2141">
      <c r="A2141" t="inlineStr">
        <is>
          <t>storm</t>
        </is>
      </c>
      <c r="B2141" t="inlineStr">
        <is>
          <t>storm-client/src/jvm/org/apache/storm/daemon/Acker.java</t>
        </is>
      </c>
      <c r="C2141">
        <f>HYPERLINK("https://github.com/apache/storm/blob/master/storm-client/src/jvm/org/apache/storm/daemon/Acker.java")</f>
        <v/>
      </c>
      <c r="D2141"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41" t="n">
        <v>0</v>
      </c>
      <c r="F2141" t="n">
        <v>0.0312</v>
      </c>
      <c r="G2141" t="n">
        <v>0.1172</v>
      </c>
      <c r="H2141" t="inlineStr">
        <is>
          <t>This code is a Java implementation of an Apache Storm bolt that performs addition operation on two numbers. The function `add` takes in two parameters and returns their sum. This Bolt's functionality is to perform the same task as its name suggests - adding numbers together. It operates with O(1) complexity meaning it has constant time complexity i.e., no matter how large your input data</t>
        </is>
      </c>
      <c r="I2141" t="n">
        <v>0.0037</v>
      </c>
      <c r="J2141" t="n">
        <v>0.1067</v>
      </c>
      <c r="K2141" t="n">
        <v>0.146</v>
      </c>
      <c r="L2141" t="inlineStr">
        <is>
          <t>```plaintext
This code is part of Apache Storm's backend software components and it serves as a bolt implementation for processing data in a distributed stream processing system. The main purpose of this code is to perform some operation on the input tuple (data record) before sending it downstream. 
Inputs are tuples from previous spouts or other bolts in</t>
        </is>
      </c>
      <c r="M2141" t="n">
        <v>0.0041</v>
      </c>
      <c r="N2141" t="n">
        <v>0.0896</v>
      </c>
      <c r="O2141" t="n">
        <v>0.1923</v>
      </c>
    </row>
    <row r="2142">
      <c r="A2142" t="inlineStr">
        <is>
          <t>storm</t>
        </is>
      </c>
      <c r="B2142" t="inlineStr">
        <is>
          <t>storm-client/src/jvm/org/apache/storm/daemon/DaemonCommon.java</t>
        </is>
      </c>
      <c r="C2142">
        <f>HYPERLINK("https://github.com/apache/storm/blob/master/storm-client/src/jvm/org/apache/storm/daemon/DaemonCommon.java")</f>
        <v/>
      </c>
      <c r="D2142"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42" t="n">
        <v>0</v>
      </c>
      <c r="F2142" t="n">
        <v>0.0308</v>
      </c>
      <c r="G2142" t="n">
        <v>0.1163</v>
      </c>
      <c r="H2142" t="inlineStr">
        <is>
          <t>This repository contains backend software components for Apache Storm. The DaemonCommon interface provides a method to check if the daemon is waiting or not. It has been licensed under the Apache Software Foundation (ASF) license version 2.0 and can be found at http://www.apache.org/licenses/LICENSE-2.0. This code base commit represents the initial setup of</t>
        </is>
      </c>
      <c r="I2142" t="n">
        <v>0.0046</v>
      </c>
      <c r="J2142" t="n">
        <v>0.0882</v>
      </c>
      <c r="K2142" t="n">
        <v>0.121</v>
      </c>
      <c r="L2142" t="inlineStr">
        <is>
          <t>This code is a Java interface named `DaemonCommon` that defines the method signature for `isWaiting()`. The purpose of this interface seems to be related to some kind of daemon or service management system in Apache Storm. 
 It provides one main functionality - checking if there are any tasks waiting to be processed by the associated process. If such tasks exist,</t>
        </is>
      </c>
      <c r="M2142" t="n">
        <v>0.0036</v>
      </c>
      <c r="N2142" t="n">
        <v>0.0597</v>
      </c>
      <c r="O2142" t="n">
        <v>0.07580000000000001</v>
      </c>
    </row>
    <row r="2143">
      <c r="A2143" t="inlineStr">
        <is>
          <t>storm</t>
        </is>
      </c>
      <c r="B2143" t="inlineStr">
        <is>
          <t>storm-client/src/jvm/org/apache/storm/daemon/GrouperFactory.java</t>
        </is>
      </c>
      <c r="C2143">
        <f>HYPERLINK("https://github.com/apache/storm/blob/master/storm-client/src/jvm/org/apache/storm/daemon/GrouperFactory.java")</f>
        <v/>
      </c>
      <c r="D2143"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43" t="n">
        <v>0</v>
      </c>
      <c r="F2143" t="n">
        <v>0.0312</v>
      </c>
      <c r="G2143" t="n">
        <v>0.1172</v>
      </c>
      <c r="H2143" t="inlineStr">
        <is>
          <t>This code is a Java implementation of the Apache Storm daemon package which contains backend software components for distributed computing tasks such as implementing core algorithms. The complexity can be considered O(n), where n represents the number of elements in data structures like Lists or Maps used in this code snippet. It's licensed under the Apache License 2.0 and it may not be used except</t>
        </is>
      </c>
      <c r="I2143" t="n">
        <v>0.004</v>
      </c>
      <c r="J2143" t="n">
        <v>0.1316</v>
      </c>
      <c r="K2143" t="n">
        <v>0.3112</v>
      </c>
      <c r="L2143" t="inlineStr">
        <is>
          <t>The code provided is part of Apache Storm's daemon package and it appears to be responsible for generating a summary configuration based on various inputs.
Here are the main functionalities performed by this piece of code:
1. It takes in a map containing configurations as input. 
2. The function then sorts these configurations into two categories - "top level configs" (</t>
        </is>
      </c>
      <c r="M2143" t="n">
        <v>0.003</v>
      </c>
      <c r="N2143" t="n">
        <v>0.0588</v>
      </c>
      <c r="O2143" t="n">
        <v>0.1128</v>
      </c>
    </row>
    <row r="2144">
      <c r="A2144" t="inlineStr">
        <is>
          <t>storm</t>
        </is>
      </c>
      <c r="B2144" t="inlineStr">
        <is>
          <t>storm-client/src/jvm/org/apache/storm/daemon/StormCommon.java</t>
        </is>
      </c>
      <c r="C2144">
        <f>HYPERLINK("https://github.com/apache/storm/blob/master/storm-client/src/jvm/org/apache/storm/daemon/StormCommon.java")</f>
        <v/>
      </c>
      <c r="D2144" t="inlineStr">
        <is>
          <t>The code is licensed under the Apache Software Foundation (ASF), and it's distributed with this work under an Apache License version 2.0. It may not be used except in compliance with the license. You can obtain a copy of the license at http://www.apache.org/licenses/LICENSE-2.0 Unless required by applicable law or agreed to</t>
        </is>
      </c>
      <c r="E2144" t="n">
        <v>0.0036</v>
      </c>
      <c r="F2144" t="n">
        <v>0.0588</v>
      </c>
      <c r="G2144" t="n">
        <v>0.1626</v>
      </c>
      <c r="H2144" t="inlineStr">
        <is>
          <t>This repository contains backend software components that implement core algorithms. The complexity of the code is O(n), where n represents the number of elements in a list or array. It's licensed under Apache License 2.0 and can be found at http://www.apache.org/licenses/LICENSE-2.0.
Please note that this summary does not include any</t>
        </is>
      </c>
      <c r="I2144" t="n">
        <v>0.0052</v>
      </c>
      <c r="J2144" t="n">
        <v>0.1471</v>
      </c>
      <c r="K2144" t="n">
        <v>0.3049</v>
      </c>
      <c r="L2144"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M2144" t="n">
        <v>0</v>
      </c>
      <c r="N2144" t="n">
        <v>0.0308</v>
      </c>
      <c r="O2144" t="n">
        <v>0.1163</v>
      </c>
    </row>
    <row r="2145">
      <c r="A2145" t="inlineStr">
        <is>
          <t>storm</t>
        </is>
      </c>
      <c r="B2145" t="inlineStr">
        <is>
          <t>storm-client/src/jvm/org/apache/storm/daemon/supervisor/IAdvancedFSOps.java</t>
        </is>
      </c>
      <c r="C2145">
        <f>HYPERLINK("https://github.com/apache/storm/blob/master/storm-client/src/jvm/org/apache/storm/daemon/supervisor/IAdvancedFSOps.java")</f>
        <v/>
      </c>
      <c r="D2145" t="inlineStr">
        <is>
          <t>```plaintext
// This code is licensed under the Apache Software Foundation (ASF) license version 2.0 found at http://www.apache.org/licenses/LICENSE-2.0. The ASF licenses this file to you under the same license as the Apache License Version 2.0. You may not use this file except in compliance with</t>
        </is>
      </c>
      <c r="E2145" t="n">
        <v>0.0041</v>
      </c>
      <c r="F2145" t="n">
        <v>0.06560000000000001</v>
      </c>
      <c r="G2145" t="n">
        <v>0.1282</v>
      </c>
      <c r="H2145" t="inlineStr">
        <is>
          <t>The provided code is a Java method for addition of two numbers (`add()`). It takes in two parameters `a` and `b` and returns their sum. The time complexity of this function is O(1), meaning it performs the operation in constant time regardless of input size.
# Licensed to the Apache Software Foundation (ASF) under one or more contributor license</t>
        </is>
      </c>
      <c r="I2145" t="n">
        <v>0.0031</v>
      </c>
      <c r="J2145" t="n">
        <v>0.0597</v>
      </c>
      <c r="K2145" t="n">
        <v>0.1527</v>
      </c>
      <c r="L2145" t="inlineStr">
        <is>
          <t>The provided code is a part of Apache Storm's supervisor daemon package. It provides functionality for managing and monitoring worker processes in the Storm cluster. 
 This module primarily handles file I/O operations related to logging and profiling data. Specifically, it manages directories containing log files from various workers and profiles information about these logs.
 Key functions include creating new</t>
        </is>
      </c>
      <c r="M2145" t="n">
        <v>0.0044</v>
      </c>
      <c r="N2145" t="n">
        <v>0.08699999999999999</v>
      </c>
      <c r="O2145" t="n">
        <v>0.1527</v>
      </c>
    </row>
    <row r="2146">
      <c r="A2146" t="inlineStr">
        <is>
          <t>storm</t>
        </is>
      </c>
      <c r="B2146" t="inlineStr">
        <is>
          <t>storm-client/src/jvm/org/apache/storm/daemon/supervisor/ExitCodeCallback.java</t>
        </is>
      </c>
      <c r="C2146">
        <f>HYPERLINK("https://github.com/apache/storm/blob/master/storm-client/src/jvm/org/apache/storm/daemon/supervisor/ExitCodeCallback.java")</f>
        <v/>
      </c>
      <c r="D2146"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46" t="n">
        <v>0</v>
      </c>
      <c r="F2146" t="n">
        <v>0.0308</v>
      </c>
      <c r="G2146" t="n">
        <v>0.1163</v>
      </c>
      <c r="H2146" t="inlineStr">
        <is>
          <t>The provided code is a Java interface named `ExitCodeCallback` that defines a single method called `execute` which takes an integer parameter representing the exit code of a process. The purpose of this callback mechanism could be to notify some higher level component about the completion status of a task or job represented by the process.
In summary, it's used for managing and tracking the execution state</t>
        </is>
      </c>
      <c r="I2146" t="n">
        <v>0.0028</v>
      </c>
      <c r="J2146" t="n">
        <v>0.0533</v>
      </c>
      <c r="K2146" t="n">
        <v>0.1087</v>
      </c>
      <c r="L2146" t="inlineStr">
        <is>
          <t>The provided code is a Java interface named `ExitCodeCallback` in the Apache Storm's supervisor package. This interface has one method that accepts an integer parameter and returns void (nothing). The purpose of this callback is to notify when a process finishes with its exit code. It does not have any inputs or outputs as it only interacts through the passed argument which represents the exit code of the</t>
        </is>
      </c>
      <c r="M2146" t="n">
        <v>0.0032</v>
      </c>
      <c r="N2146" t="n">
        <v>0.0519</v>
      </c>
      <c r="O2146" t="n">
        <v>0.07140000000000001</v>
      </c>
    </row>
    <row r="2147">
      <c r="A2147" t="inlineStr">
        <is>
          <t>storm</t>
        </is>
      </c>
      <c r="B2147" t="inlineStr">
        <is>
          <t>storm-client/src/jvm/org/apache/storm/daemon/supervisor/AdvancedFSOps.java</t>
        </is>
      </c>
      <c r="C2147">
        <f>HYPERLINK("https://github.com/apache/storm/blob/master/storm-client/src/jvm/org/apache/storm/daemon/supervisor/AdvancedFSOps.java")</f>
        <v/>
      </c>
      <c r="D2147" t="inlineStr">
        <is>
          <t>This code is licensed under the Apache Software Foundation (ASF) license version 2.0 and it's distributed with this work for additional information regarding copyright ownership. The ASF licenses this file to you under the same license as stated in http://www.apache.org/licenses/LICENSE-2.0 unless required by applicable law or agreed to in writing</t>
        </is>
      </c>
      <c r="E2147" t="n">
        <v>0.0044</v>
      </c>
      <c r="F2147" t="n">
        <v>0.0896</v>
      </c>
      <c r="G2147" t="n">
        <v>0.1639</v>
      </c>
      <c r="H2147" t="inlineStr">
        <is>
          <t>The provided code is a Java implementation of the Apache Storm supervisor daemon's back end components. It contains algorithms for core functionality and implements certain operations related to file handling, exception management, and license information. This includes licensing under the Apache License 2.0 (see http://www.apache.org/licenses/LICENSE-2.0).
It appears</t>
        </is>
      </c>
      <c r="I2147" t="n">
        <v>0.022</v>
      </c>
      <c r="J2147" t="n">
        <v>0.125</v>
      </c>
      <c r="K2147" t="n">
        <v>0.3126</v>
      </c>
      <c r="L2147" t="inlineStr">
        <is>
          <t>import java.util.*;
public class FileHandler {
    private Map&lt;String, String&gt; fileMap = new HashMap&lt;&gt;(); // Maps filenames to their contents
    public void addToFile(String filename, String content) throws IOException { 
        if (fileMap.containsKey(filename)) {  
            appendContent(filename,</t>
        </is>
      </c>
      <c r="M2147" t="n">
        <v>0</v>
      </c>
      <c r="N2147" t="n">
        <v>0</v>
      </c>
      <c r="O2147" t="n">
        <v>0.0481</v>
      </c>
    </row>
    <row r="2148">
      <c r="A2148" t="inlineStr">
        <is>
          <t>storm</t>
        </is>
      </c>
      <c r="B2148" t="inlineStr">
        <is>
          <t>storm-client/src/jvm/org/apache/storm/daemon/supervisor/ClientSupervisorUtils.java</t>
        </is>
      </c>
      <c r="C2148">
        <f>HYPERLINK("https://github.com/apache/storm/blob/master/storm-client/src/jvm/org/apache/storm/daemon/supervisor/ClientSupervisorUtils.java")</f>
        <v/>
      </c>
      <c r="D2148"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48" t="n">
        <v>0</v>
      </c>
      <c r="F2148" t="n">
        <v>0.0308</v>
      </c>
      <c r="G2148" t="n">
        <v>0.1163</v>
      </c>
      <c r="H2148" t="inlineStr">
        <is>
          <t>This repository contains backend software components that implement core algorithms used in Apache Storm. The complexity of the code is O(N), where N represents the number of lines of code. It's licensed under the Apache Software Foundation (ASF) license version 2.0 and can be found at http://www.apache.org/licenses/LICENSE-2.0. This file may</t>
        </is>
      </c>
      <c r="I2148" t="n">
        <v>0.0052</v>
      </c>
      <c r="J2148" t="n">
        <v>0.1471</v>
      </c>
      <c r="K2148" t="n">
        <v>0.3495</v>
      </c>
      <c r="L2148" t="inlineStr">
        <is>
          <t>The provided code is a part of Apache Storm's Supervisor component which manages and supervises the execution of worker processes in an Apache Hadoop environment. It uses metrics from Coda Hale library for monitoring purposes. The main purpose of this class seems to be managing workers (processes that execute tasks). 
It accepts input as file paths related to worker executables or scripts</t>
        </is>
      </c>
      <c r="M2148" t="n">
        <v>0.0029</v>
      </c>
      <c r="N2148" t="n">
        <v>0.0282</v>
      </c>
      <c r="O2148" t="n">
        <v>0.1119</v>
      </c>
    </row>
    <row r="2149">
      <c r="A2149" t="inlineStr">
        <is>
          <t>storm</t>
        </is>
      </c>
      <c r="B2149" t="inlineStr">
        <is>
          <t>storm-client/src/jvm/org/apache/storm/daemon/common/FileWatcher.java</t>
        </is>
      </c>
      <c r="C2149">
        <f>HYPERLINK("https://github.com/apache/storm/blob/master/storm-client/src/jvm/org/apache/storm/daemon/common/FileWatcher.java")</f>
        <v/>
      </c>
      <c r="D2149"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49" t="n">
        <v>0</v>
      </c>
      <c r="F2149" t="n">
        <v>0.0308</v>
      </c>
      <c r="G2149" t="n">
        <v>0.1163</v>
      </c>
      <c r="H2149" t="inlineStr">
        <is>
          <t>The provided code is a Java function for addition of two numbers using Apache Storm's common daemon package. The complexity of this operation is O(1), meaning it takes constant time to perform the task regardless of input size. This function does not repeat any code and provides a clear summary of its functionality in the comments at the top of the file. It also includes an Apache License 2.</t>
        </is>
      </c>
      <c r="I2149" t="n">
        <v>0.0035</v>
      </c>
      <c r="J2149" t="n">
        <v>0.0759</v>
      </c>
      <c r="K2149" t="n">
        <v>0.1064</v>
      </c>
      <c r="L2149" t="inlineStr">
        <is>
          <t>The provided code is part of Apache Storm's source code and it deals with monitoring changes in a file system path for modifications (ENTRY_MODIFY). The main purpose of this code seems to be setting up a watch service on the given filesystem path that triggers an event whenever any modification occurs within the directory or its subdirectories.
It uses Java NIO's Watch</t>
        </is>
      </c>
      <c r="M2149" t="n">
        <v>0.0029</v>
      </c>
      <c r="N2149" t="n">
        <v>0.0274</v>
      </c>
      <c r="O2149" t="n">
        <v>0.1119</v>
      </c>
    </row>
    <row r="2150">
      <c r="A2150" t="inlineStr">
        <is>
          <t>storm</t>
        </is>
      </c>
      <c r="B2150" t="inlineStr">
        <is>
          <t>storm-client/src/jvm/org/apache/storm/daemon/metrics/BuiltinMetricsUtil.java</t>
        </is>
      </c>
      <c r="C2150">
        <f>HYPERLINK("https://github.com/apache/storm/blob/master/storm-client/src/jvm/org/apache/storm/daemon/metrics/BuiltinMetricsUtil.java")</f>
        <v/>
      </c>
      <c r="D2150" t="inlineStr">
        <is>
          <t>```plaintext
// This code is licensed under the Apache Software Foundation (ASF) license version 2.0. It's a part of Storm project which provides distributed real time computation system. The ASF licenses this file to you under the same license as the rest of your work. You may obtain a copy of the License at http://www.apache.org</t>
        </is>
      </c>
      <c r="E2150" t="n">
        <v>0.0033</v>
      </c>
      <c r="F2150" t="n">
        <v>0.0597</v>
      </c>
      <c r="G2150" t="n">
        <v>0.1181</v>
      </c>
      <c r="H2150" t="inlineStr">
        <is>
          <t>The code provided is a Java class that implements the IMetric interface from Apache Storm's metrics system. This metric represents an integer counter which can be incremented by one or more values at once. The implementation of this class does not appear to have any methods for adding numbers together as per your request but it appears to implement other interfaces and classes related to metric management in Apache Storm.</t>
        </is>
      </c>
      <c r="I2150" t="n">
        <v>0.0034</v>
      </c>
      <c r="J2150" t="n">
        <v>0.0759</v>
      </c>
      <c r="K2150" t="n">
        <v>0.1056</v>
      </c>
      <c r="L2150" t="inlineStr">
        <is>
          <t>```plaintext
This code is part of Apache Storm's backend software components and it provides metrics collection functionality for a distributed system. It works by implementing the IMetric interface to define how data should be collected, stored, and reported from various sources within the system. The main purpose of this code is to gather performance statistics about the running topology in real time.</t>
        </is>
      </c>
      <c r="M2150" t="n">
        <v>0.0042</v>
      </c>
      <c r="N2150" t="n">
        <v>0.1127</v>
      </c>
      <c r="O2150" t="n">
        <v>0.1866</v>
      </c>
    </row>
    <row r="2151">
      <c r="A2151" t="inlineStr">
        <is>
          <t>storm</t>
        </is>
      </c>
      <c r="B2151" t="inlineStr">
        <is>
          <t>storm-client/src/jvm/org/apache/storm/daemon/metrics/ClientMetricsUtils.java</t>
        </is>
      </c>
      <c r="C2151">
        <f>HYPERLINK("https://github.com/apache/storm/blob/master/storm-client/src/jvm/org/apache/storm/daemon/metrics/ClientMetricsUtils.java")</f>
        <v/>
      </c>
      <c r="D2151" t="inlineStr">
        <is>
          <t>"""
This is the Apache Storm project's code for metrics collection and reporting daemon. It provides functionality to gather various performance statistics of a running topology such as execution latency, message count etc., and reports them periodically or on demand. The collected data can be used by administrators to monitor their system health in real time. This software is licensed under the Apache License 2.</t>
        </is>
      </c>
      <c r="E2151" t="n">
        <v>0.007</v>
      </c>
      <c r="F2151" t="n">
        <v>0.0822</v>
      </c>
      <c r="G2151" t="n">
        <v>0.2304</v>
      </c>
      <c r="H2151" t="inlineStr">
        <is>
          <t>This repository contains backend software components that implement core algorithms. The code is licensed under the Apache Software Foundation (ASF) license version 2.0 and can be found at http://www.apache.org/licenses/LICENSE-2.0. It may not be used except in compliance with this License. You may obtain a copy of the License by visiting the aforementioned URL.</t>
        </is>
      </c>
      <c r="I2151" t="n">
        <v>0.0049</v>
      </c>
      <c r="J2151" t="n">
        <v>0.1449</v>
      </c>
      <c r="K2151" t="n">
        <v>0.3411</v>
      </c>
      <c r="L2151" t="inlineStr">
        <is>
          <t>&lt;!-- Code Summary --&gt;
This code is part of Apache Storm's daemon metrics package and it provides a mechanism for tracking and reporting statistics about the performance of Storm components such as supervisor nodes or worker processes over time. The main purpose of this module is to provide insights into how these components are performing under various conditions in order to optimize their operation. 
It does so</t>
        </is>
      </c>
      <c r="M2151" t="n">
        <v>0.0036</v>
      </c>
      <c r="N2151" t="n">
        <v>0.0541</v>
      </c>
      <c r="O2151" t="n">
        <v>0.1439</v>
      </c>
    </row>
    <row r="2152">
      <c r="A2152" t="inlineStr">
        <is>
          <t>storm</t>
        </is>
      </c>
      <c r="B2152" t="inlineStr">
        <is>
          <t>storm-client/src/jvm/org/apache/storm/daemon/worker/WorkerState.java</t>
        </is>
      </c>
      <c r="C2152">
        <f>HYPERLINK("https://github.com/apache/storm/blob/master/storm-client/src/jvm/org/apache/storm/daemon/worker/WorkerState.java")</f>
        <v/>
      </c>
      <c r="D2152" t="inlineStr">
        <is>
          <t>```plaintext
// This code is licensed under the Apache Software Foundation (ASF) license version 2.0. It can be found at http://www.apache.org/licenses/LICENSE-2.0. The ASF licenses this file to you under the same terms and conditions. You may not use this file except in compliance with the License.</t>
        </is>
      </c>
      <c r="E2152" t="n">
        <v>0.0048</v>
      </c>
      <c r="F2152" t="n">
        <v>0.0984</v>
      </c>
      <c r="G2152" t="n">
        <v>0.1695</v>
      </c>
      <c r="H2152" t="inlineStr">
        <is>
          <t>The provided code is a simple function named `add` that takes two numbers as arguments and returns their sum. The time complexity of this operation is O(1), meaning it always executes in the same amount of time regardless of input size. This function can be found within Apache Storm's worker daemon package which contains backend software components used for distributed computing tasks.
Here is a</t>
        </is>
      </c>
      <c r="I2152" t="n">
        <v>0.0037</v>
      </c>
      <c r="J2152" t="n">
        <v>0.0533</v>
      </c>
      <c r="K2152" t="n">
        <v>0.146</v>
      </c>
      <c r="L2152" t="inlineStr">
        <is>
          <t>The code provided is a part of Apache Storm's worker daemon implementation in Java. It seems to be related with message processing and handling tasks for distributed systems.
It starts by importing necessary packages such as java.io, java.nio (which provides classes for working with binary data types), java.util (containing collections framework). 
There are several main</t>
        </is>
      </c>
      <c r="M2152" t="n">
        <v>0.0033</v>
      </c>
      <c r="N2152" t="n">
        <v>0.0597</v>
      </c>
      <c r="O2152" t="n">
        <v>0.1181</v>
      </c>
    </row>
    <row r="2153">
      <c r="A2153" t="inlineStr">
        <is>
          <t>storm</t>
        </is>
      </c>
      <c r="B2153" t="inlineStr">
        <is>
          <t>storm-client/src/jvm/org/apache/storm/daemon/worker/LogConfigManager.java</t>
        </is>
      </c>
      <c r="C2153">
        <f>HYPERLINK("https://github.com/apache/storm/blob/master/storm-client/src/jvm/org/apache/storm/daemon/worker/LogConfigManager.java")</f>
        <v/>
      </c>
      <c r="D2153" t="inlineStr">
        <is>
          <t>```plaintext
This code is licensed under the Apache Software Foundation (ASF), version 2.0 or later ("the License"). You may not use this file except in compliance with the License. You can obtain a copy of the License at http://www.apache.org/licenses/LICENSE-2.0. Unless required by applicable law or agreed to in</t>
        </is>
      </c>
      <c r="E2153" t="n">
        <v>0.0038</v>
      </c>
      <c r="F2153" t="n">
        <v>0.0625</v>
      </c>
      <c r="G2153" t="n">
        <v>0.125</v>
      </c>
      <c r="H2153" t="inlineStr">
        <is>
          <t>This repository contains backend software components that implement core algorithms. The complexity of the code is O(n), where n represents the number of elements in a data structure such as lists or trees.
In this specific piece of code, it appears to be part of an Apache Storm project's worker daemon package which deals with distributed computing tasks and uses various Java utilities like HashMaps</t>
        </is>
      </c>
      <c r="I2153" t="n">
        <v>0.004</v>
      </c>
      <c r="J2153" t="n">
        <v>0.1333</v>
      </c>
      <c r="K2153" t="n">
        <v>0.3112</v>
      </c>
      <c r="L2153" t="inlineStr">
        <is>
          <t>&lt;!-- This is a summary of the provided code --&gt;
```java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t>
        </is>
      </c>
      <c r="M2153" t="n">
        <v>0.0032</v>
      </c>
      <c r="N2153" t="n">
        <v>0.0635</v>
      </c>
      <c r="O2153" t="n">
        <v>0.1163</v>
      </c>
    </row>
    <row r="2154">
      <c r="A2154" t="inlineStr">
        <is>
          <t>storm</t>
        </is>
      </c>
      <c r="B2154" t="inlineStr">
        <is>
          <t>storm-client/src/jvm/org/apache/storm/daemon/worker/BackPressureTracker.java</t>
        </is>
      </c>
      <c r="C2154">
        <f>HYPERLINK("https://github.com/apache/storm/blob/master/storm-client/src/jvm/org/apache/storm/daemon/worker/BackPressureTracker.java")</f>
        <v/>
      </c>
      <c r="D2154" t="inlineStr">
        <is>
          <t>```plaintext
---
Title: Apache Storm Worker Daemon Code Summary
Author: Unknown
Language: Java
Framework: Apache Storm
Type: Backend Software Component
License: Apache License 2.0
---
Description: The code provided is part of the Apache Storm worker daemon implementation in Java language. It's licensed under Apache License 2</t>
        </is>
      </c>
      <c r="E2154" t="n">
        <v>0</v>
      </c>
      <c r="F2154" t="n">
        <v>0.0727</v>
      </c>
      <c r="G2154" t="n">
        <v>0.1261</v>
      </c>
      <c r="H2154" t="inlineStr">
        <is>
          <t>This repository contains backend software components that implement core algorithms. The complexity of the code is O(n), where n represents the number of elements in a data structure (like an ArrayList or HashMap). This means it scales linearly with the size of input data.
In particular, there's a class named `Worker` which extends from another class called `AbstractWorker` and</t>
        </is>
      </c>
      <c r="I2154" t="n">
        <v>0.0044</v>
      </c>
      <c r="J2154" t="n">
        <v>0.1449</v>
      </c>
      <c r="K2154" t="n">
        <v>0.284</v>
      </c>
      <c r="L2154" t="inlineStr">
        <is>
          <t>The code provided is part of Apache Storm's worker daemon module. It defines a class named `WorkerTopologyMetrics` which uses Coda Hale metrics library to provide various topology statistics as Gauges. The main purpose of this class seems to be to monitor and report the status of tasks in real time.
It takes an input map containing task information (task id,</t>
        </is>
      </c>
      <c r="M2154" t="n">
        <v>0.003</v>
      </c>
      <c r="N2154" t="n">
        <v>0.058</v>
      </c>
      <c r="O2154" t="n">
        <v>0.1136</v>
      </c>
    </row>
    <row r="2155">
      <c r="A2155" t="inlineStr">
        <is>
          <t>storm</t>
        </is>
      </c>
      <c r="B2155" t="inlineStr">
        <is>
          <t>storm-client/src/jvm/org/apache/storm/daemon/worker/Worker.java</t>
        </is>
      </c>
      <c r="C2155">
        <f>HYPERLINK("https://github.com/apache/storm/blob/master/storm-client/src/jvm/org/apache/storm/daemon/worker/Worker.java")</f>
        <v/>
      </c>
      <c r="D2155"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55" t="n">
        <v>0</v>
      </c>
      <c r="F2155" t="n">
        <v>0.0312</v>
      </c>
      <c r="G2155" t="n">
        <v>0.1172</v>
      </c>
      <c r="H2155" t="inlineStr">
        <is>
          <t>This repository contains backend software components that implement core algorithms used in the Apache Storm system for distributed real time computation systems. The complexity of this code is O(n), where n represents the number of tasks or operations to be performed by the worker threads. This includes various metrics and monitoring functionalities provided by Coda Hale Metrics library.
Please note that the actual implementation details are not included</t>
        </is>
      </c>
      <c r="I2155" t="n">
        <v>0.0038</v>
      </c>
      <c r="J2155" t="n">
        <v>0.1299</v>
      </c>
      <c r="K2155" t="n">
        <v>0.2143</v>
      </c>
      <c r="L2155"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M2155" t="n">
        <v>0</v>
      </c>
      <c r="N2155" t="n">
        <v>0.0308</v>
      </c>
      <c r="O2155" t="n">
        <v>0.1163</v>
      </c>
    </row>
    <row r="2156">
      <c r="A2156" t="inlineStr">
        <is>
          <t>storm</t>
        </is>
      </c>
      <c r="B2156" t="inlineStr">
        <is>
          <t>storm-client/src/jvm/org/apache/storm/daemon/worker/WorkerTransfer.java</t>
        </is>
      </c>
      <c r="C2156">
        <f>HYPERLINK("https://github.com/apache/storm/blob/master/storm-client/src/jvm/org/apache/storm/daemon/worker/WorkerTransfer.java")</f>
        <v/>
      </c>
      <c r="D2156" t="inlineStr">
        <is>
          <t>```plaintext
This code is licensed under the Apache Software Foundation (ASF) license version 2.0. It's distributed with this work for additional information regarding copyright ownership and licensing details. The ASF licenses this file to you under the same terms as the Apache License Version 2.0 found at http://www.apache.org/licenses/</t>
        </is>
      </c>
      <c r="E2156" t="n">
        <v>0.0045</v>
      </c>
      <c r="F2156" t="n">
        <v>0.09520000000000001</v>
      </c>
      <c r="G2156" t="n">
        <v>0.1667</v>
      </c>
      <c r="H2156" t="inlineStr">
        <is>
          <t>This repository contains backend software components implementing core algorithms and data structures. The code is licensed under the Apache Software Foundation (ASF) license version 2.0 or later. It's distributed on an "AS IS" BASIS, WITHOUT WARRANTIES OR CONDITIONS OF ANY KIND, either express or implied. You may obtain a copy of the License at http://www</t>
        </is>
      </c>
      <c r="I2156" t="n">
        <v>0.0047</v>
      </c>
      <c r="J2156" t="n">
        <v>0.1515</v>
      </c>
      <c r="K2156" t="n">
        <v>0.2929</v>
      </c>
      <c r="L2156" t="inlineStr">
        <is>
          <t>The provided code is part of Apache Storm's worker daemon implementation. It creates a thread that processes tuples from the input queue and employs an executor service to process these tuples concurrently. The main purpose of this class seems to be executing tasks in parallel for processing large amounts of data efficiently.
Inputs are queues containing tuple objects which represent</t>
        </is>
      </c>
      <c r="M2156" t="n">
        <v>0.003</v>
      </c>
      <c r="N2156" t="n">
        <v>0.058</v>
      </c>
      <c r="O2156" t="n">
        <v>0.1136</v>
      </c>
    </row>
    <row r="2157">
      <c r="A2157" t="inlineStr">
        <is>
          <t>storm</t>
        </is>
      </c>
      <c r="B2157" t="inlineStr">
        <is>
          <t>storm-client/src/jvm/org/apache/storm/serialization/ThriftSerializationDelegate.java</t>
        </is>
      </c>
      <c r="C2157">
        <f>HYPERLINK("https://github.com/apache/storm/blob/master/storm-client/src/jvm/org/apache/storm/serialization/ThriftSerializationDelegate.java")</f>
        <v/>
      </c>
      <c r="D2157"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57" t="n">
        <v>0</v>
      </c>
      <c r="F2157" t="n">
        <v>0.0312</v>
      </c>
      <c r="G2157" t="n">
        <v>0.1172</v>
      </c>
      <c r="H2157" t="inlineStr">
        <is>
          <t>The provided code is a Java implementation of the Apache Storm serialization package. It's licensed under the Apache License 2.0 and contains backend software components for implementing core algorithms. The complexity appears to be O(n), but without more context it can't definitively be determined.
Here are some key parts of this code that could provide an overview:
```java</t>
        </is>
      </c>
      <c r="I2157" t="n">
        <v>0.0041</v>
      </c>
      <c r="J2157" t="n">
        <v>0.0857</v>
      </c>
      <c r="K2157" t="n">
        <v>0.328</v>
      </c>
      <c r="L2157" t="inlineStr">
        <is>
          <t>This code is part of Apache Storm's serialization package and it provides methods for deserializing Thrift data into Java objects. The main purpose of this class seems to be the conversion from a byte array (which might represent some form of structured or semi-structured data in binary format like Thrift protocol buffers) back into its original object representation.
It takes</t>
        </is>
      </c>
      <c r="M2157" t="n">
        <v>0.0036</v>
      </c>
      <c r="N2157" t="n">
        <v>0.0571</v>
      </c>
      <c r="O2157" t="n">
        <v>0.1136</v>
      </c>
    </row>
    <row r="2158">
      <c r="A2158" t="inlineStr">
        <is>
          <t>storm</t>
        </is>
      </c>
      <c r="B2158" t="inlineStr">
        <is>
          <t>storm-client/src/jvm/org/apache/storm/serialization/KryoTupleDeserializer.java</t>
        </is>
      </c>
      <c r="C2158">
        <f>HYPERLINK("https://github.com/apache/storm/blob/master/storm-client/src/jvm/org/apache/storm/serialization/KryoTupleDeserializer.java")</f>
        <v/>
      </c>
      <c r="D2158" t="inlineStr">
        <is>
          <t>```python
# This code is licensed under the Apache Software Foundation (ASF) license version 2.0. The ASF licenses this file to you under the same license. You may obtain a copy of the License at http://www.apache.org/licenses/LICENSE-2.0 Unless required by applicable law or agreed to in writing, software distributed</t>
        </is>
      </c>
      <c r="E2158" t="n">
        <v>0.0045</v>
      </c>
      <c r="F2158" t="n">
        <v>0.0635</v>
      </c>
      <c r="G2158" t="n">
        <v>0.0833</v>
      </c>
      <c r="H2158" t="inlineStr">
        <is>
          <t>This repository contains backend software components which implement core algorithms. The complexity of the code is O(n). It's licensed under Apache License 2.0 and requires compliance with it for any modifications or usage.
Please provide a concise, clear, and direct summary of the functionality of the provided code. Do not repeat the code.</t>
        </is>
      </c>
      <c r="I2158" t="n">
        <v>0.0052</v>
      </c>
      <c r="J2158" t="n">
        <v>0.1562</v>
      </c>
      <c r="K2158" t="n">
        <v>0.3411</v>
      </c>
      <c r="L2158" t="inlineStr">
        <is>
          <t>The provided code is part of Apache Storm's serialization package and it deals with the deserialization process for Kryo framework in Java. The main purpose of this class seems to be to convert byte streams back into objects that were previously converted using a different method (like `ObjectOutputStream`). 
It has three key methods: `deserialize(byte[] bytes)</t>
        </is>
      </c>
      <c r="M2158" t="n">
        <v>0.0033</v>
      </c>
      <c r="N2158" t="n">
        <v>0.0308</v>
      </c>
      <c r="O2158" t="n">
        <v>0.1181</v>
      </c>
    </row>
    <row r="2159">
      <c r="A2159" t="inlineStr">
        <is>
          <t>storm</t>
        </is>
      </c>
      <c r="B2159" t="inlineStr">
        <is>
          <t>storm-client/src/jvm/org/apache/storm/serialization/SerializationDelegate.java</t>
        </is>
      </c>
      <c r="C2159">
        <f>HYPERLINK("https://github.com/apache/storm/blob/master/storm-client/src/jvm/org/apache/storm/serialization/SerializationDelegate.java")</f>
        <v/>
      </c>
      <c r="D2159"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59" t="n">
        <v>0</v>
      </c>
      <c r="F2159" t="n">
        <v>0.0312</v>
      </c>
      <c r="G2159" t="n">
        <v>0.1172</v>
      </c>
      <c r="H2159" t="inlineStr">
        <is>
          <t>The provided code is a Java interface named `SerializationDelegate` that provides the method signature for delegating serialization tasks to other classes. It seems like this delegate might be used in Apache Storm's distributed computation system as part of its data serialization process. The function `lifecycleControl()` appears to manage the lifecycle control of some sort of component or task handled by</t>
        </is>
      </c>
      <c r="I2159" t="n">
        <v>0</v>
      </c>
      <c r="J2159" t="n">
        <v>0.058</v>
      </c>
      <c r="K2159" t="n">
        <v>0.07580000000000001</v>
      </c>
      <c r="L2159" t="inlineStr">
        <is>
          <t>The`SerializationDelegate` interface in Apache Storm is a delegate for handling serialization and deserialization tasks within the system. It provides methods to register custom classes that need special treatment during serialization or deserialization, which can be useful when dealing with complex types like user-defined objects. The `registerClass` method allows registration of specific classes along with their corresponding field names, while the</t>
        </is>
      </c>
      <c r="M2159" t="n">
        <v>0.003</v>
      </c>
      <c r="N2159" t="n">
        <v>0.0286</v>
      </c>
      <c r="O2159" t="n">
        <v>0.07580000000000001</v>
      </c>
    </row>
    <row r="2160">
      <c r="A2160" t="inlineStr">
        <is>
          <t>storm</t>
        </is>
      </c>
      <c r="B2160" t="inlineStr">
        <is>
          <t>storm-client/src/jvm/org/apache/storm/serialization/IKryoFactory.java</t>
        </is>
      </c>
      <c r="C2160">
        <f>HYPERLINK("https://github.com/apache/storm/blob/master/storm-client/src/jvm/org/apache/storm/serialization/IKryoFactory.java")</f>
        <v/>
      </c>
      <c r="D2160" t="inlineStr">
        <is>
          <t>```plaintext
The code is licensed under the Apache Software Foundation (ASF) license and provides an interface for controlling the Kryo instance used by Storm for serialization. The lifecycle of this class includes initialization with a map containing configuration details, which may include specific settings related to the usage of Kryo within the system. 
It's important to</t>
        </is>
      </c>
      <c r="E2160" t="n">
        <v>0.0033</v>
      </c>
      <c r="F2160" t="n">
        <v>0.0615</v>
      </c>
      <c r="G2160" t="n">
        <v>0.1563</v>
      </c>
      <c r="H2160" t="inlineStr">
        <is>
          <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t>
        </is>
      </c>
      <c r="I2160" t="n">
        <v>0</v>
      </c>
      <c r="J2160" t="n">
        <v>0.0303</v>
      </c>
      <c r="K2160" t="n">
        <v>0.1145</v>
      </c>
      <c r="L2160" t="inlineStr">
        <is>
          <t>The provided code is a Java interface named `SerializationProvider` which controls the Kryo instance used by Apache Storm for serialization. 
Here's an overview of its functionality and purpose:
1. It provides initialization methods to set up the Kryo instance with custom classes or fields that need special handling during serialization. This allows for more control over how objects</t>
        </is>
      </c>
      <c r="M2160" t="n">
        <v>0.0074</v>
      </c>
      <c r="N2160" t="n">
        <v>0.0597</v>
      </c>
      <c r="O2160" t="n">
        <v>0.1966</v>
      </c>
    </row>
    <row r="2161">
      <c r="A2161" t="inlineStr">
        <is>
          <t>storm</t>
        </is>
      </c>
      <c r="B2161" t="inlineStr">
        <is>
          <t>storm-client/src/jvm/org/apache/storm/serialization/GzipThriftSerializationDelegate.java</t>
        </is>
      </c>
      <c r="C2161">
        <f>HYPERLINK("https://github.com/apache/storm/blob/master/storm-client/src/jvm/org/apache/storm/serialization/GzipThriftSerializationDelegate.java")</f>
        <v/>
      </c>
      <c r="D2161" t="inlineStr">
        <is>
          <t>This code is licensed under the Apache Software Foundation (ASF)'s license version 2.0 found at http://www.apache.org/licenses/LICENSE-2.0. It uses Thrift serialization and deserialization for complex data types in Apache Storm framework. The code may not be used except in compliance with the License. A copy of this</t>
        </is>
      </c>
      <c r="E2161" t="n">
        <v>0.0048</v>
      </c>
      <c r="F2161" t="n">
        <v>0.09520000000000001</v>
      </c>
      <c r="G2161" t="n">
        <v>0.1695</v>
      </c>
      <c r="H2161" t="inlineStr">
        <is>
          <t>This code is licensed under the Apache Software Foundation (ASF), which means it can be used and modified freely as long as attribution to its original authorship is included. The license for this file from the ASF states that you may not use this file except in compliance with the License. You may obtain a copy of the License at http://www.apache.org/licenses/LIC</t>
        </is>
      </c>
      <c r="I2161" t="n">
        <v>0.0036</v>
      </c>
      <c r="J2161" t="n">
        <v>0.08110000000000001</v>
      </c>
      <c r="K2161" t="n">
        <v>0.1504</v>
      </c>
      <c r="L2161" t="inlineStr">
        <is>
          <t>ThisJavabasedprojectoffileseriesdeserializesThriftstructuresfrombinaryformatusingApacheStorm'sThriftlibrary.ItusesaTDeserializerobjecttodecodeprovidedbytesintoobjects.Inputsupportsonbothprimitiveandspecializeddatastructuressuchaslistsandmaps.Onsuccessfuldecoding,itreturnsadesiredobjecttype.</t>
        </is>
      </c>
      <c r="M2161" t="n">
        <v>0</v>
      </c>
      <c r="N2161" t="n">
        <v>0</v>
      </c>
      <c r="O2161" t="n">
        <v>0</v>
      </c>
    </row>
    <row r="2162">
      <c r="A2162" t="inlineStr">
        <is>
          <t>storm</t>
        </is>
      </c>
      <c r="B2162" t="inlineStr">
        <is>
          <t>storm-client/src/jvm/org/apache/storm/serialization/SerializationRegister.java</t>
        </is>
      </c>
      <c r="C2162">
        <f>HYPERLINK("https://github.com/apache/storm/blob/master/storm-client/src/jvm/org/apache/storm/serialization/SerializationRegister.java")</f>
        <v/>
      </c>
      <c r="D2162"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62" t="n">
        <v>0</v>
      </c>
      <c r="F2162" t="n">
        <v>0.0312</v>
      </c>
      <c r="G2162" t="n">
        <v>0.1172</v>
      </c>
      <c r="H2162" t="inlineStr">
        <is>
          <t>The provided code is a Java function called "add". It takes two parameters (numbers), adds them together and returns the result. This functionality can be summarized as follows:
```plaintext
Function Name: add
Inputs: Two numbers (integers or floats).
Output: The sum of the input numbers.
Purpose: To perform addition operation on</t>
        </is>
      </c>
      <c r="I2162" t="n">
        <v>0.0047</v>
      </c>
      <c r="J2162" t="n">
        <v>0.0678</v>
      </c>
      <c r="K2162" t="n">
        <v>0.1626</v>
      </c>
      <c r="L2162" t="inlineStr">
        <is>
          <t>The provided code is a part of Apache Storm's serialization package and it uses Kryo for object serialization in the system. It provides an implementation to register Kryo serializers with the Serialization Factory without requiring explicit registration steps by users. This functionality allows efficient handling of complex data types during network communication or persistence operations within distributed systems like Storm.
Please note that</t>
        </is>
      </c>
      <c r="M2162" t="n">
        <v>0.0038</v>
      </c>
      <c r="N2162" t="n">
        <v>0.0556</v>
      </c>
      <c r="O2162" t="n">
        <v>0.1481</v>
      </c>
    </row>
    <row r="2163">
      <c r="A2163" t="inlineStr">
        <is>
          <t>storm</t>
        </is>
      </c>
      <c r="B2163" t="inlineStr">
        <is>
          <t>storm-client/src/jvm/org/apache/storm/serialization/IKryoDecorator.java</t>
        </is>
      </c>
      <c r="C2163">
        <f>HYPERLINK("https://github.com/apache/storm/blob/master/storm-client/src/jvm/org/apache/storm/serialization/IKryoDecorator.java")</f>
        <v/>
      </c>
      <c r="D2163" t="inlineStr">
        <is>
          <t>This code is licensed under the Apache Software Foundation (ASF) license version 2.0. It allows you to decorate a Kryo instance with custom serializations by implementing an interface named IKryoDecorator. The implementation of this interface should be done in compliance with the terms and conditions outlined in the License at http://www.apache.org/lic</t>
        </is>
      </c>
      <c r="E2163" t="n">
        <v>0.0043</v>
      </c>
      <c r="F2163" t="n">
        <v>0.125</v>
      </c>
      <c r="G2163" t="n">
        <v>0.1626</v>
      </c>
      <c r="H2163" t="inlineStr">
        <is>
          <t>This code is a Kryo decorator for custom serialization in Apache Storm framework. It provides an interface with one method that allows to customize the Kryo instance by adding additional serializers or deserializers. The complexity of this function is O(n), where n represents the number of registered classes and fields.
It's licensed under the Apache License 2.0</t>
        </is>
      </c>
      <c r="I2163" t="n">
        <v>0.0038</v>
      </c>
      <c r="J2163" t="n">
        <v>0.0882</v>
      </c>
      <c r="K2163" t="n">
        <v>0.1163</v>
      </c>
      <c r="L2163" t="inlineStr">
        <is>
          <t>The provided code is a Java interface named IKryoDecorator that extends the functionality of Kryo serialization library by adding custom serializers to it. The purpose of this class seems to be to decorate or modify the behavior of an existing Kryo instance with additional functionalities related to serialization and deserialization processes. It provides methods for registering new classes in K</t>
        </is>
      </c>
      <c r="M2163" t="n">
        <v>0.0036</v>
      </c>
      <c r="N2163" t="n">
        <v>0.0882</v>
      </c>
      <c r="O2163" t="n">
        <v>0.1136</v>
      </c>
    </row>
    <row r="2164">
      <c r="A2164" t="inlineStr">
        <is>
          <t>storm</t>
        </is>
      </c>
      <c r="B2164" t="inlineStr">
        <is>
          <t>storm-client/src/jvm/org/apache/storm/serialization/SerializationFactory.java</t>
        </is>
      </c>
      <c r="C2164">
        <f>HYPERLINK("https://github.com/apache/storm/blob/master/storm-client/src/jvm/org/apache/storm/serialization/SerializationFactory.java")</f>
        <v/>
      </c>
      <c r="D2164" t="inlineStr">
        <is>
          <t>```plaintext
This code is licensed under the Apache Software Foundation (ASF) license version 2.0. It's a Java implementation of core algorithms and data structures used in distributed systems like Storm. The licensing conditions are specified at http://www.apache.org/licenses/LICENSE-2.0 . This software can be redistributed with or</t>
        </is>
      </c>
      <c r="E2164" t="n">
        <v>0.0103</v>
      </c>
      <c r="F2164" t="n">
        <v>0.1639</v>
      </c>
      <c r="G2164" t="n">
        <v>0.3644</v>
      </c>
      <c r="H2164" t="inlineStr">
        <is>
          <t>This repository contains backend software components that implement core algorithms and data structures used in Apache Storm for distributed stream processing system. The complexity of the code is O(N), where N represents the number of elements being processed by the algorithm or data structure.
&lt;jupyter_code&gt;
# Licensed to the Apache Software Foundation (ASF) under one
# or more contributor</t>
        </is>
      </c>
      <c r="I2164" t="n">
        <v>0.0044</v>
      </c>
      <c r="J2164" t="n">
        <v>0.1493</v>
      </c>
      <c r="K2164" t="n">
        <v>0.3255</v>
      </c>
      <c r="L2164" t="inlineStr">
        <is>
          <t>This code is a part of Apache Storm's serialization package and it provides custom Kryo serializer implementations for the BigInteger class in Java. The main purpose of this code is to optimize memory usage by storing large numbers as byte arrays instead of their string representations. 
 It does so by overriding the default behavior of Kryo's BigInteger serial</t>
        </is>
      </c>
      <c r="M2164" t="n">
        <v>0.0037</v>
      </c>
      <c r="N2164" t="n">
        <v>0.0588</v>
      </c>
      <c r="O2164" t="n">
        <v>0.1538</v>
      </c>
    </row>
    <row r="2165">
      <c r="A2165" t="inlineStr">
        <is>
          <t>storm</t>
        </is>
      </c>
      <c r="B2165" t="inlineStr">
        <is>
          <t>storm-client/src/jvm/org/apache/storm/serialization/ITupleDeserializer.java</t>
        </is>
      </c>
      <c r="C2165">
        <f>HYPERLINK("https://github.com/apache/storm/blob/master/storm-client/src/jvm/org/apache/storm/serialization/ITupleDeserializer.java")</f>
        <v/>
      </c>
      <c r="D2165"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65" t="n">
        <v>0</v>
      </c>
      <c r="F2165" t="n">
        <v>0.0308</v>
      </c>
      <c r="G2165" t="n">
        <v>0.1163</v>
      </c>
      <c r="H2165" t="inlineStr">
        <is>
          <t>This code is a Java interface for deserializing Apache Storm tuples (objects containing multiple values). The function `deserialize` takes in an array of bytes and returns a Tuple object. It's licensed under the Apache License 2.0 as indicated by comments at the top of the file.
The complexity of this operation is O(n), where n represents</t>
        </is>
      </c>
      <c r="I2165" t="n">
        <v>0.0039</v>
      </c>
      <c r="J2165" t="n">
        <v>0.0896</v>
      </c>
      <c r="K2165" t="n">
        <v>0.1172</v>
      </c>
      <c r="L2165"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M2165" t="n">
        <v>0</v>
      </c>
      <c r="N2165" t="n">
        <v>0.0308</v>
      </c>
      <c r="O2165" t="n">
        <v>0.1163</v>
      </c>
    </row>
    <row r="2166">
      <c r="A2166" t="inlineStr">
        <is>
          <t>storm</t>
        </is>
      </c>
      <c r="B2166" t="inlineStr">
        <is>
          <t>storm-client/src/jvm/org/apache/storm/serialization/GzipBridgeThriftSerializationDelegate.java</t>
        </is>
      </c>
      <c r="C2166">
        <f>HYPERLINK("https://github.com/apache/storm/blob/master/storm-client/src/jvm/org/apache/storm/serialization/GzipBridgeThriftSerializationDelegate.java")</f>
        <v/>
      </c>
      <c r="D2166" t="inlineStr">
        <is>
          <t>This code is licensed under the Apache Software Foundation (ASF) license version 2.0. It reads incoming data and checks if it's gzipped or not by testing whether a certain condition. If the input is gzipped, it uses GZIPInputStream to deserialize the data. Otherwise, it continues with normal processing of the data. The licensing</t>
        </is>
      </c>
      <c r="E2166" t="n">
        <v>0.0041</v>
      </c>
      <c r="F2166" t="n">
        <v>0.09520000000000001</v>
      </c>
      <c r="G2166" t="n">
        <v>0.16</v>
      </c>
      <c r="H2166" t="inlineStr">
        <is>
          <t>The code provided is a Java function named "add". It takes two parameters 'a' and 'b', adds them together and returns the result. The functionality of this code is to add two numbers together.
The time complexity of this function is O(1), which means it has constant time complexity as it performs only one operation regardless of the size of input data (i.e</t>
        </is>
      </c>
      <c r="I2166" t="n">
        <v>0.0034</v>
      </c>
      <c r="J2166" t="n">
        <v>0.0548</v>
      </c>
      <c r="K2166" t="n">
        <v>0.1111</v>
      </c>
      <c r="L2166" t="inlineStr">
        <is>
          <t>```python
# This Apache Storm serialization package provides functionality for writing and reading objects to a GZIP compressed file format. 
# The main purpose of this code is the deserialization process which checks if incoming data needs decompression (i.e., it tests whether the input is gzipped or not). If so, it uses GZIPInputStream to handle</t>
        </is>
      </c>
      <c r="M2166" t="n">
        <v>0.0044</v>
      </c>
      <c r="N2166" t="n">
        <v>0.0968</v>
      </c>
      <c r="O2166" t="n">
        <v>0.1181</v>
      </c>
    </row>
    <row r="2167">
      <c r="A2167" t="inlineStr">
        <is>
          <t>storm</t>
        </is>
      </c>
      <c r="B2167" t="inlineStr">
        <is>
          <t>storm-client/src/jvm/org/apache/storm/serialization/ITupleSerializer.java</t>
        </is>
      </c>
      <c r="C2167">
        <f>HYPERLINK("https://github.com/apache/storm/blob/master/storm-client/src/jvm/org/apache/storm/serialization/ITupleSerializer.java")</f>
        <v/>
      </c>
      <c r="D2167"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67" t="n">
        <v>0</v>
      </c>
      <c r="F2167" t="n">
        <v>0.0308</v>
      </c>
      <c r="G2167" t="n">
        <v>0.1163</v>
      </c>
      <c r="H2167" t="inlineStr">
        <is>
          <t>The provided code is a Java interface for serializing Apache Storm Tuple objects into byte arrays. The function `serialize` takes in a tuple object and returns its equivalent byte array representation. This process typically involves converting the data within the tuple to bytes so that it can be processed by other components of the system.
In terms of functionality, this code provides an abstraction layer between different</t>
        </is>
      </c>
      <c r="I2167" t="n">
        <v>0.0032</v>
      </c>
      <c r="J2167" t="n">
        <v>0.0533</v>
      </c>
      <c r="K2167" t="n">
        <v>0.1079</v>
      </c>
      <c r="L2167" t="inlineStr">
        <is>
          <t>This code provides an interface named ITupleSerializer with a single method serialize(). The purpose of this class is to convert Tuple objects into byte arrays for network transmission or storage in persistent memory. This process involves applying a CRC32 checksum algorithm on the tuple data before conversion which enhances its integrity and reliability. If there are any discrepancies during deserialization (when converting back</t>
        </is>
      </c>
      <c r="M2167" t="n">
        <v>0.0034</v>
      </c>
      <c r="N2167" t="n">
        <v>0.0563</v>
      </c>
      <c r="O2167" t="n">
        <v>0.0741</v>
      </c>
    </row>
    <row r="2168">
      <c r="A2168" t="inlineStr">
        <is>
          <t>storm</t>
        </is>
      </c>
      <c r="B2168" t="inlineStr">
        <is>
          <t>storm-client/src/jvm/org/apache/storm/serialization/SerializableSerializer.java</t>
        </is>
      </c>
      <c r="C2168">
        <f>HYPERLINK("https://github.com/apache/storm/blob/master/storm-client/src/jvm/org/apache/storm/serialization/SerializableSerializer.java")</f>
        <v/>
      </c>
      <c r="D2168" t="inlineStr">
        <is>
          <t>```java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68" t="n">
        <v>0</v>
      </c>
      <c r="F2168" t="n">
        <v>0.0308</v>
      </c>
      <c r="G2168" t="n">
        <v>0.1163</v>
      </c>
      <c r="H2168" t="inlineStr">
        <is>
          <t>This repository contains backend software components that implement core algorithms. The complexity of the code is O(n), where n represents the number of elements in a list or array. It's licensed under Apache License 2.0 and uses Kryo serializer for object graph traversal during deserialization.
Please note that this summary does not include any specific functionality provided by the</t>
        </is>
      </c>
      <c r="I2168" t="n">
        <v>0.0046</v>
      </c>
      <c r="J2168" t="n">
        <v>0.1429</v>
      </c>
      <c r="K2168" t="n">
        <v>0.3255</v>
      </c>
      <c r="L2168" t="inlineStr">
        <is>
          <t>```java
// This code is part of Apache Storm's serialization module and provides methods for converting Java objects to byte streams (Serialization) 
// and vice versa (Deserialization). The main purpose of the code seems to be defining a custom Kryo Serializer that can handle complex data types in Java.
public class CustomKryoSerializer</t>
        </is>
      </c>
      <c r="M2168" t="n">
        <v>0.0046</v>
      </c>
      <c r="N2168" t="n">
        <v>0.1017</v>
      </c>
      <c r="O2168" t="n">
        <v>0.1613</v>
      </c>
    </row>
    <row r="2169">
      <c r="A2169" t="inlineStr">
        <is>
          <t>storm</t>
        </is>
      </c>
      <c r="B2169" t="inlineStr">
        <is>
          <t>storm-client/src/jvm/org/apache/storm/serialization/KryoValuesDeserializer.java</t>
        </is>
      </c>
      <c r="C2169">
        <f>HYPERLINK("https://github.com/apache/storm/blob/master/storm-client/src/jvm/org/apache/storm/serialization/KryoValuesDeserializer.java")</f>
        <v/>
      </c>
      <c r="D2169"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69" t="n">
        <v>0</v>
      </c>
      <c r="F2169" t="n">
        <v>0.0312</v>
      </c>
      <c r="G2169" t="n">
        <v>0.1172</v>
      </c>
      <c r="H2169" t="inlineStr">
        <is>
          <t>The provided code is a Java function named add that takes two parameters and returns their sum. The complexity of this operation is O(1), meaning it performs the addition in constant time regardless of input size.
Here's the summary for your reference: 
```plaintext
Function Name: add
Parameters: Two numbers (integers or floats)
Return Type:</t>
        </is>
      </c>
      <c r="I2169" t="n">
        <v>0.0034</v>
      </c>
      <c r="J2169" t="n">
        <v>0.0625</v>
      </c>
      <c r="K2169" t="n">
        <v>0.119</v>
      </c>
      <c r="L2169" t="inlineStr">
        <is>
          <t>```python
# This Apache Storm serialization package uses Kryo for efficient and compact binary serialization of Java objects. 
# It provides methods to register custom classes with the Kryo instance and read/write them as byte streams. The primary purpose is to enable high performance data serialization in distributed systems like Storm.
def deserialize(bytes):</t>
        </is>
      </c>
      <c r="M2169" t="n">
        <v>0.0041</v>
      </c>
      <c r="N2169" t="n">
        <v>0.06560000000000001</v>
      </c>
      <c r="O2169" t="n">
        <v>0.12</v>
      </c>
    </row>
    <row r="2170">
      <c r="A2170" t="inlineStr">
        <is>
          <t>storm</t>
        </is>
      </c>
      <c r="B2170" t="inlineStr">
        <is>
          <t>storm-client/src/jvm/org/apache/storm/serialization/DefaultKryoFactory.java</t>
        </is>
      </c>
      <c r="C2170">
        <f>HYPERLINK("https://github.com/apache/storm/blob/master/storm-client/src/jvm/org/apache/storm/serialization/DefaultKryoFactory.java")</f>
        <v/>
      </c>
      <c r="D2170" t="inlineStr">
        <is>
          <t>```python
# The code is licensed under the Apache Software Foundation (ASF) license version 2.0. It's a serializer for Kryo library used in Apache Storm framework to serialize and deserialize Java objects into byte streams. This helps in efficient storage or transmission of data over networks.
class GenericObjectSerializer extends Serializer {</t>
        </is>
      </c>
      <c r="E2170" t="n">
        <v>0.0043</v>
      </c>
      <c r="F2170" t="n">
        <v>0.0678</v>
      </c>
      <c r="G2170" t="n">
        <v>0.1626</v>
      </c>
      <c r="H2170" t="inlineStr">
        <is>
          <t>ThisJavaStormlibraryusesKryoasitserializationframeworktoseriallizeobjectsintothecluster.ItincludesamanybuiltinserializersforextendedtypeslikeDateTimelongdoubleetc.AlsoincludesaSerializerinterfacewhichmustbeimplementedifauserextraobjecttypescurrentlyunsupportedbythesebuildinserializerse.Includessomeut</t>
        </is>
      </c>
      <c r="I2170" t="n">
        <v>0</v>
      </c>
      <c r="J2170" t="n">
        <v>0</v>
      </c>
      <c r="K2170" t="n">
        <v>0</v>
      </c>
      <c r="L2170" t="inlineStr">
        <is>
          <t>```plaintext
Package Name: org.apache.storm.serialization
Functionality Summary: This package contains classes for serializing and deserializing Java objects using the Kryo library. It provides a custom Serializer class that can be used to register specific types of objects with Kryo's serialization framework. The main purpose is to optimize object serialization by</t>
        </is>
      </c>
      <c r="M2170" t="n">
        <v>0.0045</v>
      </c>
      <c r="N2170" t="n">
        <v>0.06560000000000001</v>
      </c>
      <c r="O2170" t="n">
        <v>0.124</v>
      </c>
    </row>
    <row r="2171">
      <c r="A2171" t="inlineStr">
        <is>
          <t>storm</t>
        </is>
      </c>
      <c r="B2171" t="inlineStr">
        <is>
          <t>storm-client/src/jvm/org/apache/storm/serialization/KryoValuesSerializer.java</t>
        </is>
      </c>
      <c r="C2171">
        <f>HYPERLINK("https://github.com/apache/storm/blob/master/storm-client/src/jvm/org/apache/storm/serialization/KryoValuesSerializer.java")</f>
        <v/>
      </c>
      <c r="D2171"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71" t="n">
        <v>0</v>
      </c>
      <c r="F2171" t="n">
        <v>0.0312</v>
      </c>
      <c r="G2171" t="n">
        <v>0.1172</v>
      </c>
      <c r="H2171" t="inlineStr">
        <is>
          <t>This code is licensed under the Apache License 2.0 and it's a part of an Apache Storm project which deals with serialization and deserialization of data in real time processing systems. The function add takes two parameters (a, b), adds them together and returns the result. It has O(1) complexity as it performs a single operation regardless of input size.</t>
        </is>
      </c>
      <c r="I2171" t="n">
        <v>0.0036</v>
      </c>
      <c r="J2171" t="n">
        <v>0.08450000000000001</v>
      </c>
      <c r="K2171" t="n">
        <v>0.1136</v>
      </c>
      <c r="L2171" t="inlineStr">
        <is>
          <t>```plaintext
This code is part of the Apache Storm project and its purpose is to serialize Java objects into a compact binary format using Kryo library for efficient data storage or transmission over networks. The main functionality includes methods that register classes with Kryo, write objects to an Output instance, as well as handling lists and maps. It uses O(N) complexity where</t>
        </is>
      </c>
      <c r="M2171" t="n">
        <v>0.0039</v>
      </c>
      <c r="N2171" t="n">
        <v>0.08450000000000001</v>
      </c>
      <c r="O2171" t="n">
        <v>0.1119</v>
      </c>
    </row>
    <row r="2172">
      <c r="A2172" t="inlineStr">
        <is>
          <t>storm</t>
        </is>
      </c>
      <c r="B2172" t="inlineStr">
        <is>
          <t>storm-client/src/jvm/org/apache/storm/serialization/KryoTupleSerializer.java</t>
        </is>
      </c>
      <c r="C2172">
        <f>HYPERLINK("https://github.com/apache/storm/blob/master/storm-client/src/jvm/org/apache/storm/serialization/KryoTupleSerializer.java")</f>
        <v/>
      </c>
      <c r="D2172" t="inlineStr">
        <is>
          <t>```plaintext
This code is licensed under the Apache Software Foundation (ASF) license version 2.0. It's a serialization library for Apache Storm that uses Kryo to efficiently serialize and deserialize Java objects. The licensing terms are specified in detail at http://www.apache.org/licenses/LICENSE-2.0.</t>
        </is>
      </c>
      <c r="E2172" t="n">
        <v>0.0055</v>
      </c>
      <c r="F2172" t="n">
        <v>0.1053</v>
      </c>
      <c r="G2172" t="n">
        <v>0.1786</v>
      </c>
      <c r="H2172" t="inlineStr">
        <is>
          <t>This code is licensed under the Apache License 2.0 and it's a part of an Apache Storm project which contains backend software components for distributed real time computation systems. It implements core algorithms used in such systems. The license allows you to use this file as long as you comply with its terms. If there are any issues or discrepancies regarding copyright ownership, please refer to the NOTICE</t>
        </is>
      </c>
      <c r="I2172" t="n">
        <v>0.0071</v>
      </c>
      <c r="J2172" t="n">
        <v>0.1026</v>
      </c>
      <c r="K2172" t="n">
        <v>0.3046</v>
      </c>
      <c r="L2172" t="inlineStr">
        <is>
          <t>The provided code is part of Apache Storm's serialization package and it implements custom Kryo serializer for the purpose of efficient binary serialization in a distributed computing system. The main functionality includes writing objects to an Output stream using Kryo library which provides fast and compact binary data format.
It takes input as general topology context along with output object map, writes them into byte</t>
        </is>
      </c>
      <c r="M2172" t="n">
        <v>0.0037</v>
      </c>
      <c r="N2172" t="n">
        <v>0.08110000000000001</v>
      </c>
      <c r="O2172" t="n">
        <v>0.1095</v>
      </c>
    </row>
    <row r="2173">
      <c r="A2173" t="inlineStr">
        <is>
          <t>storm</t>
        </is>
      </c>
      <c r="B2173" t="inlineStr">
        <is>
          <t>storm-client/src/jvm/org/apache/storm/serialization/GzipSerializationDelegate.java</t>
        </is>
      </c>
      <c r="C2173">
        <f>HYPERLINK("https://github.com/apache/storm/blob/master/storm-client/src/jvm/org/apache/storm/serialization/GzipSerializationDelegate.java")</f>
        <v/>
      </c>
      <c r="D2173"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t>
        </is>
      </c>
      <c r="E2173" t="n">
        <v>0</v>
      </c>
      <c r="F2173" t="n">
        <v>0.0312</v>
      </c>
      <c r="G2173" t="n">
        <v>0.1172</v>
      </c>
      <c r="H2173" t="inlineStr">
        <is>
          <t>This code is a Java implementation of the Apache Storm serialization package which includes methods for object serialization and deserialization using Java's built-in ObjectOutputStream and ObjectInputStream classes. The license at the top indicates that this software can be used under the terms specified by the Apache License 2.0. It also mentions conditions like no use without compliance with the license or obtaining a copy from</t>
        </is>
      </c>
      <c r="I2173" t="n">
        <v>0.0037</v>
      </c>
      <c r="J2173" t="n">
        <v>0.0789</v>
      </c>
      <c r="K2173" t="n">
        <v>0.2715</v>
      </c>
      <c r="L2173" t="inlineStr">
        <is>
          <t>This code is part of Apache Storm's serialization package and it provides methods for object serialization and deserialization using Java's built-in ObjectOutputStream and ObjectInputStream classes. The purpose of this class seems to be to convert objects into a byte stream (serialize the object) or vice versa (deserialize the byte stream back into an object).</t>
        </is>
      </c>
      <c r="M2173" t="n">
        <v>0.004</v>
      </c>
      <c r="N2173" t="n">
        <v>0.0615</v>
      </c>
      <c r="O2173" t="n">
        <v>0.119</v>
      </c>
    </row>
    <row r="2174">
      <c r="A2174" t="inlineStr">
        <is>
          <t>storm</t>
        </is>
      </c>
      <c r="B2174" t="inlineStr">
        <is>
          <t>storm-client/src/jvm/org/apache/storm/serialization/types/HashSetSerializer.java</t>
        </is>
      </c>
      <c r="C2174">
        <f>HYPERLINK("https://github.com/apache/storm/blob/master/storm-client/src/jvm/org/apache/storm/serialization/types/HashSetSerializer.java")</f>
        <v/>
      </c>
      <c r="D2174" t="inlineStr">
        <is>
          <t>```plaintext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74" t="n">
        <v>0</v>
      </c>
      <c r="F2174" t="n">
        <v>0.0308</v>
      </c>
      <c r="G2174" t="n">
        <v>0.1163</v>
      </c>
      <c r="H2174" t="inlineStr">
        <is>
          <t>This repository contains backend software components that implement core algorithms. The complexity of the code is O(n), where n represents the number of elements in a collection or data structure. It's licensed under Apache License 2.0 (see NOTICE file for additional information regarding copyright ownership). You may not use this file except in compliance with the license. A copy of the license can be obtained at</t>
        </is>
      </c>
      <c r="I2174" t="n">
        <v>0.0036</v>
      </c>
      <c r="J2174" t="n">
        <v>0.1039</v>
      </c>
      <c r="K2174" t="n">
        <v>0.2696</v>
      </c>
      <c r="L2174" t="inlineStr">
        <is>
          <t>This code is part of Apache Storm's serialization package and it deals with the Kryo library for Java object serialization. The main purpose of this code seems to be customizing how collections are deserialized from a byte stream in order to maintain compatibility between different versions of an application that uses these objects.
It defines a customized collection serializer by extending `CollectionSerializer`</t>
        </is>
      </c>
      <c r="M2174" t="n">
        <v>0.0035</v>
      </c>
      <c r="N2174" t="n">
        <v>0.0563</v>
      </c>
      <c r="O2174" t="n">
        <v>0.1119</v>
      </c>
    </row>
    <row r="2175">
      <c r="A2175" t="inlineStr">
        <is>
          <t>storm</t>
        </is>
      </c>
      <c r="B2175" t="inlineStr">
        <is>
          <t>storm-client/src/jvm/org/apache/storm/serialization/types/ListDelegateSerializer.java</t>
        </is>
      </c>
      <c r="C2175">
        <f>HYPERLINK("https://github.com/apache/storm/blob/master/storm-client/src/jvm/org/apache/storm/serialization/types/ListDelegateSerializer.java")</f>
        <v/>
      </c>
      <c r="D2175" t="inlineStr">
        <is>
          <t>This code is licensed under the Apache Software Foundation (ASF)'s license version 2.0 and it's distributed on an "AS IS" BASIS without any warranties or conditions of any kind either expressed or implied. The specific language governing permissions and limitations under this License can be found at http://www.apache.org/licenses/LICENSE-2</t>
        </is>
      </c>
      <c r="E2175" t="n">
        <v>0.0045</v>
      </c>
      <c r="F2175" t="n">
        <v>0.09229999999999999</v>
      </c>
      <c r="G2175" t="n">
        <v>0.125</v>
      </c>
      <c r="H2175" t="inlineStr">
        <is>
          <t>This repository contains backend software components that implement core algorithms. The complexity of the code is O(n), where n represents the number of elements in a collection or data structure being processed by the algorithm. Each line of this code does not perform any complex operations but rather processes and serializes collections using Kryo library for efficient Java object graph manipulation. It's licensed under Apache 2.</t>
        </is>
      </c>
      <c r="I2175" t="n">
        <v>0.0039</v>
      </c>
      <c r="J2175" t="n">
        <v>0.1316</v>
      </c>
      <c r="K2175" t="n">
        <v>0.309</v>
      </c>
      <c r="L2175" t="inlineStr">
        <is>
          <t>This code is part of Apache Storm's serialization package and it provides a custom Kryo Serializer for handling collections. The main purpose of this class seems to be the definition of how collection objects should be deserialized from their binary form into Java objects.
It uses Kryo library which allows efficient (de-)serialization of Java Object graphs by traversing them</t>
        </is>
      </c>
      <c r="M2175" t="n">
        <v>0.0037</v>
      </c>
      <c r="N2175" t="n">
        <v>0.058</v>
      </c>
      <c r="O2175" t="n">
        <v>0.1145</v>
      </c>
    </row>
    <row r="2176">
      <c r="A2176" t="inlineStr">
        <is>
          <t>storm</t>
        </is>
      </c>
      <c r="B2176" t="inlineStr">
        <is>
          <t>storm-client/src/jvm/org/apache/storm/serialization/types/ArrayListSerializer.java</t>
        </is>
      </c>
      <c r="C2176">
        <f>HYPERLINK("https://github.com/apache/storm/blob/master/storm-client/src/jvm/org/apache/storm/serialization/types/ArrayListSerializer.java")</f>
        <v/>
      </c>
      <c r="D2176" t="inlineStr">
        <is>
          <t>```plaintext
// This code is licensed under the Apache Software Foundation (ASF) license version 2.0. It can be found at http://www.apache.org/licenses/LICENSE-2.0. The ASF licenses this file to you under the same license. You may not use this file except in compliance with the License. Unless required</t>
        </is>
      </c>
      <c r="E2176" t="n">
        <v>0.004</v>
      </c>
      <c r="F2176" t="n">
        <v>0.06560000000000001</v>
      </c>
      <c r="G2176" t="n">
        <v>0.1271</v>
      </c>
      <c r="H2176" t="inlineStr">
        <is>
          <t>This repository contains backend software components that implement core algorithms. The complexity of the code is O(n), where n represents the number of elements in a collection or data structure being processed by the algorithm.
Please note that this summary does not include any specific details about the add function you provided as it was removed for brevity and clarity. However, generally speaking, an addition operation has</t>
        </is>
      </c>
      <c r="I2176" t="n">
        <v>0.0038</v>
      </c>
      <c r="J2176" t="n">
        <v>0.1579</v>
      </c>
      <c r="K2176" t="n">
        <v>0.3068</v>
      </c>
      <c r="L2176" t="inlineStr">
        <is>
          <t>This code is part of Apache Storm's serialization package and it handles the process of converting Java objects into a compact binary format known as Kryo Serialization. The main purpose of this class seems to be registering custom classes with Kryo for efficient serialization.
It takes an Input object which wraps around a byte array (which could represent data from network or file</t>
        </is>
      </c>
      <c r="M2176" t="n">
        <v>0.0034</v>
      </c>
      <c r="N2176" t="n">
        <v>0.0556</v>
      </c>
      <c r="O2176" t="n">
        <v>0.1111</v>
      </c>
    </row>
    <row r="2177">
      <c r="A2177" t="inlineStr">
        <is>
          <t>storm</t>
        </is>
      </c>
      <c r="B2177" t="inlineStr">
        <is>
          <t>storm-client/src/jvm/org/apache/storm/serialization/types/HashMapSerializer.java</t>
        </is>
      </c>
      <c r="C2177">
        <f>HYPERLINK("https://github.com/apache/storm/blob/master/storm-client/src/jvm/org/apache/storm/serialization/types/HashMapSerializer.java")</f>
        <v/>
      </c>
      <c r="D2177"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77" t="n">
        <v>0</v>
      </c>
      <c r="F2177" t="n">
        <v>0.0308</v>
      </c>
      <c r="G2177" t="n">
        <v>0.1163</v>
      </c>
      <c r="H2177" t="inlineStr">
        <is>
          <t>/*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t>
        </is>
      </c>
      <c r="I2177" t="n">
        <v>0</v>
      </c>
      <c r="J2177" t="n">
        <v>0.0294</v>
      </c>
      <c r="K2177" t="n">
        <v>0.1128</v>
      </c>
      <c r="L2177" t="inlineStr">
        <is>
          <t>This code is a part of Apache Storm's serialization package and it defines a custom Kryo Serializer for HashMaps. The purpose of this class is to enhance the efficiency in terms of memory usage when dealing with large amounts of data by storing them as byte arrays rather than creating new objects each time they are accessed. 
 It uses the Kryo library</t>
        </is>
      </c>
      <c r="M2177" t="n">
        <v>0.0035</v>
      </c>
      <c r="N2177" t="n">
        <v>0.0563</v>
      </c>
      <c r="O2177" t="n">
        <v>0.1119</v>
      </c>
    </row>
    <row r="2178">
      <c r="A2178" t="inlineStr">
        <is>
          <t>storm</t>
        </is>
      </c>
      <c r="B2178" t="inlineStr">
        <is>
          <t>storm-client/src/jvm/org/apache/storm/utils/ShellUtils.java</t>
        </is>
      </c>
      <c r="C2178">
        <f>HYPERLINK("https://github.com/apache/storm/blob/master/storm-client/src/jvm/org/apache/storm/utils/ShellUtils.java")</f>
        <v/>
      </c>
      <c r="D2178" t="inlineStr">
        <is>
          <t>```python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t>
        </is>
      </c>
      <c r="E2178" t="n">
        <v>0</v>
      </c>
      <c r="F2178" t="n">
        <v>0.0308</v>
      </c>
      <c r="G2178" t="n">
        <v>0.1163</v>
      </c>
      <c r="H2178" t="inlineStr">
        <is>
          <t>The provided code is a simple function that adds two numbers together and returns the result. It's written in Java and it takes two parameters (numbers), performs addition operation on them and then return the sum. This function has time complexity of O(1).
Here are some details about this piece of code:
```Java
public class MathUtils {
    public static</t>
        </is>
      </c>
      <c r="I2178" t="n">
        <v>0.0037</v>
      </c>
      <c r="J2178" t="n">
        <v>0.0588</v>
      </c>
      <c r="K2178" t="n">
        <v>0.1145</v>
      </c>
      <c r="L2178" t="inlineStr">
        <is>
          <t>&lt;!-- This is a code summary of the provided source file --&gt;
```Java
//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t>
        </is>
      </c>
      <c r="M2178" t="n">
        <v>0.0032</v>
      </c>
      <c r="N2178" t="n">
        <v>0.0635</v>
      </c>
      <c r="O2178" t="n">
        <v>0.1163</v>
      </c>
    </row>
    <row r="2179">
      <c r="A2179" t="inlineStr">
        <is>
          <t>storm</t>
        </is>
      </c>
      <c r="B2179" t="inlineStr">
        <is>
          <t>storm-client/src/jvm/org/apache/storm/utils/NimbusClient.java</t>
        </is>
      </c>
      <c r="C2179">
        <f>HYPERLINK("https://github.com/apache/storm/blob/master/storm-client/src/jvm/org/apache/storm/utils/NimbusClient.java")</f>
        <v/>
      </c>
      <c r="D2179" t="inlineStr">
        <is>
          <t>This code is licensed under the Apache Software Foundation (ASF), version 2.0 of which can be found at http://www.apache.org/licenses/LICENSE-2.0. It's distributed on an "AS IS" BASIS without any warranties or conditions of any kind either expressed or implied. The specific language governing permissions and limitations under</t>
        </is>
      </c>
      <c r="E2179" t="n">
        <v>0.0048</v>
      </c>
      <c r="F2179" t="n">
        <v>0.09520000000000001</v>
      </c>
      <c r="G2179" t="n">
        <v>0.1271</v>
      </c>
      <c r="H2179" t="inlineStr">
        <is>
          <t>The provided code is a Java class that contains the definition of an `add` method for two numbers (integers or floats). This function takes in two parameters and returns their sum. The time complexity of this operation is O(1), meaning it always executes in constant time regardless of input size.
Here's the summary: 
```java
public static float</t>
        </is>
      </c>
      <c r="I2179" t="n">
        <v>0.0038</v>
      </c>
      <c r="J2179" t="n">
        <v>0.0896</v>
      </c>
      <c r="K2179" t="n">
        <v>0.1163</v>
      </c>
      <c r="L2179" t="inlineStr">
        <is>
          <t>The provided code is part of Apache Storm's utility package and it contains classes for managing user authentication in a distributed system context. It uses Java security principles to manage users and their permissions within the Nimbus (master) component of an Apache Storm cluster. 
 This class has two main functions - `prepare` which prepares the environment by setting up necessary configurations related to</t>
        </is>
      </c>
      <c r="M2179" t="n">
        <v>0.0034</v>
      </c>
      <c r="N2179" t="n">
        <v>0.0563</v>
      </c>
      <c r="O2179" t="n">
        <v>0.1111</v>
      </c>
    </row>
    <row r="2180">
      <c r="A2180" t="inlineStr">
        <is>
          <t>springboot</t>
        </is>
      </c>
      <c r="B2180" t="inlineStr">
        <is>
          <t>integration-test/spring-boot-integration-tests/src/test/java/org/springframework/boot/web/servlet/support/ErrorPageFilterIntegrationTests.java</t>
        </is>
      </c>
      <c r="C2180">
        <f>HYPERLINK("https://github.com/spring-projects/spring-boot/blob/master/integration-test/spring-boot-integration-tests/src/test/java/org/springframework/boot/web/servlet/support/ErrorPageFilterIntegrationTests.java")</f>
        <v/>
      </c>
      <c r="D2180" t="inlineStr">
        <is>
          <t>The code provided is a Java class that extends the Spring Boot support for servlets and filters. It includes several annotations to configure Junit 5 tests with extensions. The copyright notice at the top indicates it's licensed under Apache License Version 2.0.
There are three main classes defined in this package - `AbstractAnnotationConfigDispatcherServletInitializer`, `Spr</t>
        </is>
      </c>
      <c r="E2180" t="n">
        <v>0.0034</v>
      </c>
      <c r="F2180" t="n">
        <v>0.0317</v>
      </c>
      <c r="G2180" t="n">
        <v>0.0794</v>
      </c>
      <c r="H2180" t="inlineStr">
        <is>
          <t>The provided code is a Java package named `org.springframework.boot.web.servlet.support` that contains backend software components for servlets and related functionality. The main component in the package appears to be an implementation of core algorithms or utility functions used by other parts of the application. It's not clear what specific functionality this package provides without seeing more context around it.</t>
        </is>
      </c>
      <c r="I2180" t="n">
        <v>0.0045</v>
      </c>
      <c r="J2180" t="n">
        <v>0.1111</v>
      </c>
      <c r="K2180" t="n">
        <v>0.2308</v>
      </c>
      <c r="L2180" t="inlineStr">
        <is>
          <t>The provided code is a part of the Spring Boot application that uses Junit 5 for testing web applications. The main purpose of this code seems to be setting up and tearing down an embedded servlet container in order to test HTTP requests against it.
Here's how it works:
1) It starts by importing necessary classes from various packages such as `java.</t>
        </is>
      </c>
      <c r="M2180" t="n">
        <v>0.0029</v>
      </c>
      <c r="N2180" t="n">
        <v>0.0563</v>
      </c>
      <c r="O2180" t="n">
        <v>0.1119</v>
      </c>
    </row>
    <row r="2181">
      <c r="A2181" t="inlineStr">
        <is>
          <t>springboot</t>
        </is>
      </c>
      <c r="B2181" t="inlineStr">
        <is>
          <t>integration-test/spring-boot-loader-integration-tests/spring-boot-loader-tests-signed-jar/src/main/java/org/springframework/boot/loaderapp/LoaderSignedJarTestApplication.java</t>
        </is>
      </c>
      <c r="C2181">
        <f>HYPERLINK("https://github.com/spring-projects/spring-boot/blob/master/integration-test/spring-boot-loader-integration-tests/spring-boot-loader-tests-signed-jar/src/main/java/org/springframework/boot/loaderapp/LoaderSignedJarTestApplication.java")</f>
        <v/>
      </c>
      <c r="D2181" t="inlineStr">
        <is>
          <t>```plaintext
The provided code is a Spring Boot application that contains backend software components for loading signed JAR files and implementing core algorithms. It uses the Bouncy Castle provider from Apache to provide cryptographic functionalities. The complexity of this program appears to be O(n), where n represents some linear operation or data size but without specific details it's hard to determine exactly</t>
        </is>
      </c>
      <c r="E2181" t="n">
        <v>0.0039</v>
      </c>
      <c r="F2181" t="n">
        <v>0.1111</v>
      </c>
      <c r="G2181" t="n">
        <v>0.3182</v>
      </c>
      <c r="H2181" t="inlineStr">
        <is>
          <t>The provided code is a Spring Boot application that contains an algorithm implementation for core algorithms of the software package. The main class `LoaderSignedJarTestApplication` has been annotated with @SpringBootApplication which enables auto configuration and component scanning. This program uses Bouncy Castle as its cryptographic provider to perform encryption using Cipher in Java Security API.
The function add</t>
        </is>
      </c>
      <c r="I2181" t="n">
        <v>0.0045</v>
      </c>
      <c r="J2181" t="n">
        <v>0.09229999999999999</v>
      </c>
      <c r="K2181" t="n">
        <v>0.2326</v>
      </c>
      <c r="L2181" t="inlineStr">
        <is>
          <t>The provided code is a Spring Boot application that imports necessary libraries for cryptography and security purposes. The main class `LoaderSignedJarTestApplication` contains the main method which runs the Spring Application. 
It uses Bouncy Castle as an encryption provider in conjunction with Java's Cipher class to perform various cryptographic operations such as decryption or signature verification. This</t>
        </is>
      </c>
      <c r="M2181" t="n">
        <v>0.0039</v>
      </c>
      <c r="N2181" t="n">
        <v>0.0308</v>
      </c>
      <c r="O2181" t="n">
        <v>0.1172</v>
      </c>
    </row>
    <row r="2182">
      <c r="A2182" t="inlineStr">
        <is>
          <t>springboot</t>
        </is>
      </c>
      <c r="B2182" t="inlineStr">
        <is>
          <t>integration-test/spring-boot-loader-integration-tests/spring-boot-loader-tests-app/src/main/java/org/springframework/boot/loaderapp/LoaderTestApplication.java</t>
        </is>
      </c>
      <c r="C2182">
        <f>HYPERLINK("https://github.com/spring-projects/spring-boot/blob/master/integration-test/spring-boot-loader-integration-tests/spring-boot-loader-tests-app/src/main/java/org/springframework/boot/loaderapp/LoaderTestApplication.java")</f>
        <v/>
      </c>
      <c r="D2182" t="inlineStr">
        <is>
          <t>```text
The code is a Java application that serves as the entry point for Spring Boot applications and provides an embedded web server with support for JSP pages. It's licensed under Apache License 2.0. The license allows anyone to use this software in compliance with its terms or obtain a copy of it from https://www.apache.org/licenses/LICENSE</t>
        </is>
      </c>
      <c r="E2182" t="n">
        <v>0.004</v>
      </c>
      <c r="F2182" t="n">
        <v>0.0571</v>
      </c>
      <c r="G2182" t="n">
        <v>0.2485</v>
      </c>
      <c r="H2182" t="inlineStr">
        <is>
          <t>The code provided is a Java Spring Boot application that loads an executable JAR file from the classpath and runs it as if it were a standalone program. The complexity of this function appears to be O(N), where N represents the number of files in the directory or URL connection. This is because the method `loadExecutable` reads all entries (files) from the specified location using `</t>
        </is>
      </c>
      <c r="I2182" t="n">
        <v>0.0033</v>
      </c>
      <c r="J2182" t="n">
        <v>0.0541</v>
      </c>
      <c r="K2182" t="n">
        <v>0.1087</v>
      </c>
      <c r="L2182" t="inlineStr">
        <is>
          <t>The code provided is a Spring Boot application loader for creating executable JAR files from Java applications. It's designed to load and execute the main class of an application contained in a JAR file or directory structure. The purpose of this component is to simplify deployment by providing a single standalone executable that includes all necessary dependencies and resources.
It takes as input either a URL pointing to a</t>
        </is>
      </c>
      <c r="M2182" t="n">
        <v>0.0026</v>
      </c>
      <c r="N2182" t="n">
        <v>0.0513</v>
      </c>
      <c r="O2182" t="n">
        <v>0.0709</v>
      </c>
    </row>
    <row r="2183">
      <c r="A2183" t="inlineStr">
        <is>
          <t>springboot</t>
        </is>
      </c>
      <c r="B2183" t="inlineStr">
        <is>
          <t>integration-test/spring-boot-loader-integration-tests/src/dockerTest/java/org/springframework/boot/loader/LoaderIntegrationTests.java</t>
        </is>
      </c>
      <c r="C2183">
        <f>HYPERLINK("https://github.com/spring-projects/spring-boot/blob/master/integration-test/spring-boot-loader-integration-tests/src/dockerTest/java/org/springframework/boot/loader/LoaderIntegrationTests.java")</f>
        <v/>
      </c>
      <c r="D2183" t="inlineStr">
        <is>
          <t>The provided code is a Java program that uses TestContainers to run tests with Docker containers. It's licensed under the Apache License 2.0 and contains comments explaining its implementation of core algorithms. The repository also includes backend software components.
The main function or entry point for this application does not appear in the given code snippet but it would be expected to set</t>
        </is>
      </c>
      <c r="E2183" t="n">
        <v>0.0038</v>
      </c>
      <c r="F2183" t="n">
        <v>0.0822</v>
      </c>
      <c r="G2183" t="n">
        <v>0.2222</v>
      </c>
      <c r="H2183" t="inlineStr">
        <is>
          <t>The provided code is a Java package that contains backend software components related to loading Spring Boot applications and running tests with TestContainers for containerization of unit testing frameworks like JUnit 5. The copyright notice at the beginning indicates this code is licensed under Apache License Version 2.0.
The main functionality includes creating containers using GenericContainer class from TestContainers library</t>
        </is>
      </c>
      <c r="I2183" t="n">
        <v>0.004</v>
      </c>
      <c r="J2183" t="n">
        <v>0.058</v>
      </c>
      <c r="K2183" t="n">
        <v>0.1515</v>
      </c>
      <c r="L2183" t="inlineStr">
        <is>
          <t>The code provided is a Java Spring Boot loader package that utilizes TestContainers to manage and test Docker containers in unit tests. It provides an abstraction over the underlying containerization technology by providing a higher level API for starting, stopping, and interacting with containers programmatically.
It uses JUnit 5's parameterized testing feature (@ParameterizedTest) along with</t>
        </is>
      </c>
      <c r="M2183" t="n">
        <v>0.0033</v>
      </c>
      <c r="N2183" t="n">
        <v>0.0312</v>
      </c>
      <c r="O2183" t="n">
        <v>0.07870000000000001</v>
      </c>
    </row>
    <row r="2184">
      <c r="A2184" t="inlineStr">
        <is>
          <t>springboot</t>
        </is>
      </c>
      <c r="B2184" t="inlineStr">
        <is>
          <t>integration-test/spring-boot-server-integration-tests/spring-boot-server-tests-app/src/main/java/com/example/JettyServerCustomizerConfig.java</t>
        </is>
      </c>
      <c r="C2184">
        <f>HYPERLINK("https://github.com/spring-projects/spring-boot/blob/master/integration-test/spring-boot-server-integration-tests/spring-boot-server-tests-app/src/main/java/com/example/JettyServerCustomizerConfig.java")</f>
        <v/>
      </c>
      <c r="D2184" t="inlineStr">
        <is>
          <t>The provided code is a Java application that uses Spring Boot and Jetty to set up an HTTP server with specific configurations. It's licensed under the Apache License 2.0. The license requires compliance in any use of this file. This includes distribution but does not require modification or redistribution of source files. If you modify it, please include your changes as well.</t>
        </is>
      </c>
      <c r="E2184" t="n">
        <v>0.0035</v>
      </c>
      <c r="F2184" t="n">
        <v>0.0278</v>
      </c>
      <c r="G2184" t="n">
        <v>0.1119</v>
      </c>
      <c r="H2184" t="inlineStr">
        <is>
          <t>The provided code is a Java class that contains several import statements and package declaration for an Eclipse Jetty server setup related to HTTP connections and aliases checking in Spring Boot application context configuration. The license at the top of this file states it's licensed under Apache License 2.0 which means you can use or modify the code as per your needs but must include the original author information and</t>
        </is>
      </c>
      <c r="I2184" t="n">
        <v>0.0026</v>
      </c>
      <c r="J2184" t="n">
        <v>0.05</v>
      </c>
      <c r="K2184" t="n">
        <v>0.1056</v>
      </c>
      <c r="L2184" t="inlineStr">
        <is>
          <t>The provided code is a Java application that uses Jetty, an open source web server library written in Java. The main purpose of the code seems to be setting up and configuring a Jetty server for use with Spring Boot applications. 
It sets up a ContextHandler which acts as a request router, handling HTTP requests based on their URIs. It also includes configurations</t>
        </is>
      </c>
      <c r="M2184" t="n">
        <v>0.0029</v>
      </c>
      <c r="N2184" t="n">
        <v>0.0282</v>
      </c>
      <c r="O2184" t="n">
        <v>0.0741</v>
      </c>
    </row>
    <row r="2185">
      <c r="A2185" t="inlineStr">
        <is>
          <t>springboot</t>
        </is>
      </c>
      <c r="B2185" t="inlineStr">
        <is>
          <t>integration-test/spring-boot-server-integration-tests/spring-boot-server-tests-app/src/main/java/com/example/ResourceHandlingApplication.java</t>
        </is>
      </c>
      <c r="C2185">
        <f>HYPERLINK("https://github.com/spring-projects/spring-boot/blob/master/integration-test/spring-boot-server-integration-tests/spring-boot-server-tests-app/src/main/java/com/example/ResourceHandlingApplication.java")</f>
        <v/>
      </c>
      <c r="D2185" t="inlineStr">
        <is>
          <t>The code provided is a Java servlet that extends the HttpServlet class from Jakarta Servlets package and annotated with @SpringBootApplication to indicate it's part of a Spring Boot application. It also includes Apache License 2.0 information at the top for software distribution rights. The repository contains backend components implementing core algorithms.
It handles HTTP requests via doGet</t>
        </is>
      </c>
      <c r="E2185" t="n">
        <v>0.0042</v>
      </c>
      <c r="F2185" t="n">
        <v>0.0896</v>
      </c>
      <c r="G2185" t="n">
        <v>0.2884</v>
      </c>
      <c r="H2185" t="inlineStr">
        <is>
          <t>The provided code is a simple addition function in Python named `add` that takes two parameters and returns their sum. The time complexity of this operation is O(1), meaning it always executes the same number of steps regardless of input size.
The README file explains what the repository contains along with its complexities and comments about implementation details. It also mentions licensing information at the</t>
        </is>
      </c>
      <c r="I2185" t="n">
        <v>0.0028</v>
      </c>
      <c r="J2185" t="n">
        <v>0.0541</v>
      </c>
      <c r="K2185" t="n">
        <v>0.146</v>
      </c>
      <c r="L2185" t="inlineStr">
        <is>
          <t>ThegivenJavawebapplicationusesJavaservletsframeworktogeneratesHTTPresponsesbasedonrequestsincomingfromclients.ItcontainsservicesforfetchingdataaboutusersincludingtheirnameandsocialmediaprofilesusingSocialMediaAPIs.TheapplicationhasbeencontainerizedusingDockeranddeployedinascloudenvironment. Thesourcecodebaseincludescommentsregardingalgorithmimplment</t>
        </is>
      </c>
      <c r="M2185" t="n">
        <v>0</v>
      </c>
      <c r="N2185" t="n">
        <v>0</v>
      </c>
      <c r="O2185" t="n">
        <v>0</v>
      </c>
    </row>
    <row r="2186">
      <c r="A2186" t="inlineStr">
        <is>
          <t>springboot</t>
        </is>
      </c>
      <c r="B2186" t="inlineStr">
        <is>
          <t>integration-test/spring-boot-server-integration-tests/spring-boot-server-tests-app/src/main/java/com/autoconfig/ExampleAutoConfiguration.java</t>
        </is>
      </c>
      <c r="C2186">
        <f>HYPERLINK("https://github.com/spring-projects/spring-boot/blob/master/integration-test/spring-boot-server-integration-tests/spring-boot-server-tests-app/src/main/java/com/autoconfig/ExampleAutoConfiguration.java")</f>
        <v/>
      </c>
      <c r="D2186" t="inlineStr">
        <is>
          <t>The code provided is a Java servlet class that extends the HttpServlet class from Jakarta Servlets package and it's annotated with @AutoConfiguration to enable auto configuration of Spring Boot framework. The license at the top states Apache License Version 2.0 which means this software can be used freely under certain conditions specified in the license. It also contains some basic conditional configurations for enabling</t>
        </is>
      </c>
      <c r="E2186" t="n">
        <v>0.0034</v>
      </c>
      <c r="F2186" t="n">
        <v>0.0541</v>
      </c>
      <c r="G2186" t="n">
        <v>0.2321</v>
      </c>
      <c r="H2186" t="inlineStr">
        <is>
          <t>The provided code is a Java servlet that extends the HttpServlet class from Jakarta Servlets API and it's part of an auto configuration for Spring Boot application. The purpose of this code seems to be implementing core algorithms related to web services or any other kind of server operations. It contains comments explaining what each section does but without further context about its functionality, I can only provide a</t>
        </is>
      </c>
      <c r="I2186" t="n">
        <v>0.0031</v>
      </c>
      <c r="J2186" t="n">
        <v>0.1026</v>
      </c>
      <c r="K2186" t="n">
        <v>0.2638</v>
      </c>
      <c r="L2186" t="inlineStr">
        <is>
          <t>The code provided is a Spring Boot auto configuration for an HTTP servlet that handles requests and responses. It's designed to be highly configurable and maintainable due to its modular design and clear structure. The main purpose of this component appears to be the handling of incoming HTTP requests by processing them through various business logic layers before sending back appropriate response data.
It takes in HttpServletRequest</t>
        </is>
      </c>
      <c r="M2186" t="n">
        <v>0.0027</v>
      </c>
      <c r="N2186" t="n">
        <v>0.0526</v>
      </c>
      <c r="O2186" t="n">
        <v>0.07190000000000001</v>
      </c>
    </row>
    <row r="2187">
      <c r="A2187" t="inlineStr">
        <is>
          <t>springboot</t>
        </is>
      </c>
      <c r="B2187" t="inlineStr">
        <is>
          <t>integration-test/spring-boot-server-integration-tests/src/intTest/java/org/springframework/boot/context/embedded/EmbeddedServerContainerInvocationContextProvider.java</t>
        </is>
      </c>
      <c r="C2187">
        <f>HYPERLINK("https://github.com/spring-projects/spring-boot/blob/master/integration-test/spring-boot-server-integration-tests/src/intTest/java/org/springframework/boot/context/embedded/EmbeddedServerContainerInvocationContextProvider.java")</f>
        <v/>
      </c>
      <c r="D2187" t="inlineStr">
        <is>
          <t>&lt;!-- This is a summary of the provided code --&gt;
The given Java code appears to be part of Spring Boot's embedded server functionality implementation. It includes Apache License 2.0 details at the top indicating its open source nature and usage restrictions. The code seems to handle file operations related to the application context setup for different environments (development, production etc.). There are various classes</t>
        </is>
      </c>
      <c r="E2187" t="n">
        <v>0.0037</v>
      </c>
      <c r="F2187" t="n">
        <v>0.0822</v>
      </c>
      <c r="G2187" t="n">
        <v>0.1095</v>
      </c>
      <c r="H2187" t="inlineStr">
        <is>
          <t>The provided code is a Java class that contains methods for various mathematical operations such as addition and subtraction. The add method takes two integers as input parameters and returns their sum. This operation has a time complexity of O(1), meaning it performs the same number of steps regardless of the size of the inputs.
In this case, we have an `add` function which adds two numbers</t>
        </is>
      </c>
      <c r="I2187" t="n">
        <v>0.0032</v>
      </c>
      <c r="J2187" t="n">
        <v>0.0526</v>
      </c>
      <c r="K2187" t="n">
        <v>0.1079</v>
      </c>
      <c r="L2187" t="inlineStr">
        <is>
          <t>The provided code is a Spring Boot embedded application context configuration module. It's designed to handle the creation and management of an embedded server within a Spring Boot Application. The main purpose of this code is to configure and start up an embedded Tomcat or Jetty webserver based on the given properties.
It takes in inputs such as port number, protocol type (HTTP or HTT</t>
        </is>
      </c>
      <c r="M2187" t="n">
        <v>0.0028</v>
      </c>
      <c r="N2187" t="n">
        <v>0.0541</v>
      </c>
      <c r="O2187" t="n">
        <v>0.073</v>
      </c>
    </row>
    <row r="2188">
      <c r="A2188" t="inlineStr">
        <is>
          <t>springboot</t>
        </is>
      </c>
      <c r="B2188" t="inlineStr">
        <is>
          <t>integration-test/spring-boot-server-integration-tests/src/intTest/java/org/springframework/boot/context/embedded/EmbeddedServletContainerWarDevelopmentIntegrationTests.java</t>
        </is>
      </c>
      <c r="C2188">
        <f>HYPERLINK("https://github.com/spring-projects/spring-boot/blob/master/integration-test/spring-boot-server-integration-tests/src/intTest/java/org/springframework/boot/context/embedded/EmbeddedServletContainerWarDevelopmentIntegrationTests.java")</f>
        <v/>
      </c>
      <c r="D2188" t="inlineStr">
        <is>
          <t>The code provided appears to be a license header for an Apache License 2.0 and it's not related to any specific functionality or algorithm implementation in Spring Boot context embedded package. It is likely just documentation about the repository content which states that this repository contains backend software components with implementations of core algorithms.
It also mentions some conditions like operating system based on which tests should be disabled</t>
        </is>
      </c>
      <c r="E2188" t="n">
        <v>0.0037</v>
      </c>
      <c r="F2188" t="n">
        <v>0.1013</v>
      </c>
      <c r="G2188" t="n">
        <v>0.2128</v>
      </c>
      <c r="H2188" t="inlineStr">
        <is>
          <t>The provided code is a Java class that contains an implementation of the "add" function for two integers. The complexity of this operation in Big O notation is constant and denoted as O(1). This means it takes a fixed amount of time to execute regardless of the size of input data (n), which makes it very efficient.
In addition, there are comments explaining what each part of</t>
        </is>
      </c>
      <c r="I2188" t="n">
        <v>0.0032</v>
      </c>
      <c r="J2188" t="n">
        <v>0.0789</v>
      </c>
      <c r="K2188" t="n">
        <v>0.1439</v>
      </c>
      <c r="L2188" t="inlineStr">
        <is>
          <t>The provided code is a Java class named `HttpStatus` that resides in the package `org.springframework.boot.context.embedded`. This class appears to be part of Spring Boot's embedded web server functionality and it seems to handle HTTP status codes related to responses from servers.
Here are some key details about its functionality: 
1. The main purpose</t>
        </is>
      </c>
      <c r="M2188" t="n">
        <v>0.0081</v>
      </c>
      <c r="N2188" t="n">
        <v>0.09089999999999999</v>
      </c>
      <c r="O2188" t="n">
        <v>0.2044</v>
      </c>
    </row>
    <row r="2189">
      <c r="A2189" t="inlineStr">
        <is>
          <t>springboot</t>
        </is>
      </c>
      <c r="B2189" t="inlineStr">
        <is>
          <t>integration-test/spring-boot-server-integration-tests/src/intTest/java/org/springframework/boot/context/embedded/PackagedApplicationLauncher.java</t>
        </is>
      </c>
      <c r="C2189">
        <f>HYPERLINK("https://github.com/spring-projects/spring-boot/blob/master/integration-test/spring-boot-server-integration-tests/src/intTest/java/org/springframework/boot/context/embedded/PackagedApplicationLauncher.java")</f>
        <v/>
      </c>
      <c r="D2189" t="inlineStr">
        <is>
          <t>The provided code is a Java class called PackagedApplicationLauncher that extends AbstractApplicationLauncher from the Spring Boot context embedded package. It's designed to launch a packaged Spring Boot application using java -jar command. The README file in this repository contains backend software components and complexity of O(N). Implementations of core algorithms are also present. This class has been committed multiple times</t>
        </is>
      </c>
      <c r="E2189" t="n">
        <v>0.0043</v>
      </c>
      <c r="F2189" t="n">
        <v>0.1143</v>
      </c>
      <c r="G2189" t="n">
        <v>0.2273</v>
      </c>
      <c r="H2189" t="inlineStr">
        <is>
          <t>The provided code is a Java class named PackagedApplicationLauncher that extends an abstract class AbstractApplicationLauncher and it launches a packaged Spring Boot application using java -jar command. The copyright notice at the top of this file states that it's licensed under Apache License 2.0 which means you can use or modify this software in any way as long as you comply with its terms</t>
        </is>
      </c>
      <c r="I2189" t="n">
        <v>0.0034</v>
      </c>
      <c r="J2189" t="n">
        <v>0.0541</v>
      </c>
      <c r="K2189" t="n">
        <v>0.2321</v>
      </c>
      <c r="L2189" t="inlineStr">
        <is>
          <t>The provided code is a Java class named PackagedApplicationLauncher that extends the AbstractApplicationLauncher and launches a packaged Spring Boot application using java -jar command. The main purpose of this class seems to be launching an already built jar file as if it were a standalone application from the command line.
It takes in inputs (commandline arguments) which are then processed by</t>
        </is>
      </c>
      <c r="M2189" t="n">
        <v>0.003</v>
      </c>
      <c r="N2189" t="n">
        <v>0.029</v>
      </c>
      <c r="O2189" t="n">
        <v>0.1128</v>
      </c>
    </row>
    <row r="2190">
      <c r="A2190" t="inlineStr">
        <is>
          <t>springboot</t>
        </is>
      </c>
      <c r="B2190" t="inlineStr">
        <is>
          <t>integration-test/spring-boot-server-integration-tests/src/intTest/java/org/springframework/boot/context/embedded/EmbeddedServletContainerJarPackagingIntegrationTests.java</t>
        </is>
      </c>
      <c r="C2190">
        <f>HYPERLINK("https://github.com/spring-projects/spring-boot/blob/master/integration-test/spring-boot-server-integration-tests/src/intTest/java/org/springframework/boot/context/embedded/EmbeddedServletContainerJarPackagingIntegrationTests.java")</f>
        <v/>
      </c>
      <c r="D2190" t="inlineStr">
        <is>
          <t>The code provided is a Java class that contains an embedded server configuration for Spring Boot applications. It uses JUnit 5 to test the application and has conditions based on operating system (Windows or Mac). The main functionality of this class seems to be related with testing HTTP requests using RestTemplate in Spring Framework. This class also includes Apache License information at the top which states it's open source under</t>
        </is>
      </c>
      <c r="E2190" t="n">
        <v>0.0034</v>
      </c>
      <c r="F2190" t="n">
        <v>0.0253</v>
      </c>
      <c r="G2190" t="n">
        <v>0.1056</v>
      </c>
      <c r="H2190" t="inlineStr">
        <is>
          <t>The provided code is a Java function that performs addition of two numbers using the '+' operator. The functionality of this code can be summarized as follows:
```plaintext
Function Name: add
Inputs: Two numerical values (a and b).
Output: Returns the sum of input parameters a and b.
Time Complexity: O(1), meaning it</t>
        </is>
      </c>
      <c r="I2190" t="n">
        <v>0.0041</v>
      </c>
      <c r="J2190" t="n">
        <v>0.0984</v>
      </c>
      <c r="K2190" t="n">
        <v>0.16</v>
      </c>
      <c r="L2190" t="inlineStr">
        <is>
          <t>The code provided is a Spring Boot application that uses the RestTemplate class to make HTTP requests and handle responses from an external API. The main purpose of this code is to test the functionality of the core algorithms implemented in other parts of the system by sending mock requests and comparing the received response with expected results.
The input for the program are URL endpoints which it sends GET request to using</t>
        </is>
      </c>
      <c r="M2190" t="n">
        <v>0.0033</v>
      </c>
      <c r="N2190" t="n">
        <v>0.0741</v>
      </c>
      <c r="O2190" t="n">
        <v>0.1724</v>
      </c>
    </row>
    <row r="2191">
      <c r="A2191" t="inlineStr">
        <is>
          <t>springboot</t>
        </is>
      </c>
      <c r="B2191" t="inlineStr">
        <is>
          <t>integration-test/spring-boot-server-integration-tests/src/intTest/java/org/springframework/boot/context/embedded/EmbeddedServletContainerWarPackagingIntegrationTests.java</t>
        </is>
      </c>
      <c r="C2191">
        <f>HYPERLINK("https://github.com/spring-projects/spring-boot/blob/master/integration-test/spring-boot-server-integration-tests/src/intTest/java/org/springframework/boot/context/embedded/EmbeddedServletContainerWarPackagingIntegrationTests.java")</f>
        <v/>
      </c>
      <c r="D2191" t="inlineStr">
        <is>
          <t>The code provided is a Java class that contains the definition for an embedded server in Spring Boot framework. The Apache License 2.0 has been applied to this project which means it's open source and can be used by anyone under certain conditions as specified in the license. This particular file doesn't seem to have any functionalities or tests defined yet but may contain core algorithms related to embedding servers</t>
        </is>
      </c>
      <c r="E2191" t="n">
        <v>0.0034</v>
      </c>
      <c r="F2191" t="n">
        <v>0.0494</v>
      </c>
      <c r="G2191" t="n">
        <v>0.1408</v>
      </c>
      <c r="H2191" t="inlineStr">
        <is>
          <t>The provided code is a Java package that contains Spring Boot embedded components for handling HTTP requests and responses. It includes classes such as `EmbeddedServletContainerFactory`, `TomcatEmbeddedServletContainerFactory`, etc., which are used to create an embedded servlet container in the application context of a web server like Apache Tomcat or Jetty. The implementation also involves</t>
        </is>
      </c>
      <c r="I2191" t="n">
        <v>0.0035</v>
      </c>
      <c r="J2191" t="n">
        <v>0.0328</v>
      </c>
      <c r="K2191" t="n">
        <v>0.12</v>
      </c>
      <c r="L2191" t="inlineStr">
        <is>
          <t>The code provided is part of a Spring Boot application and it deals with the embedded configuration for an HTTP server in Java. 
It imports necessary classes from various packages including `java.io` (for handling input/output operations) and `java.util` (for using collections). The main class being defined here extends the `EmbeddedServletContainerFactory` interface which</t>
        </is>
      </c>
      <c r="M2191" t="n">
        <v>0.0035</v>
      </c>
      <c r="N2191" t="n">
        <v>0.0317</v>
      </c>
      <c r="O2191" t="n">
        <v>0.0806</v>
      </c>
    </row>
    <row r="2192">
      <c r="A2192" t="inlineStr">
        <is>
          <t>springboot</t>
        </is>
      </c>
      <c r="B2192" t="inlineStr">
        <is>
          <t>integration-test/spring-boot-server-integration-tests/src/intTest/java/org/springframework/boot/context/embedded/EmbeddedServletContainerTest.java</t>
        </is>
      </c>
      <c r="C2192">
        <f>HYPERLINK("https://github.com/spring-projects/spring-boot/blob/master/integration-test/spring-boot-server-integration-tests/src/intTest/java/org/springframework/boot/context/embedded/EmbeddedServletContainerTest.java")</f>
        <v/>
      </c>
      <c r="D2192" t="inlineStr">
        <is>
          <t>The code is a Java annotation used to configure servlet container tests in Spring Boot applications. It has been designed with the aim of testing web application functionality by providing an embedded server environment for unit and integration tests without requiring a full HTTP server setup. The license under which this software can be redistributed is Apache 2.0.
# This repository contains backend software components written in Python</t>
        </is>
      </c>
      <c r="E2192" t="n">
        <v>0.0038</v>
      </c>
      <c r="F2192" t="n">
        <v>0.0526</v>
      </c>
      <c r="G2192" t="n">
        <v>0.1429</v>
      </c>
      <c r="H2192" t="inlineStr">
        <is>
          <t>The code provided is a Java package that contains an annotation for configuring servlet container tests. The @Retention policy of this annotation is set to RetentionPolicy.RUNTIME which means the annotated element and its metadata will be available at runtime. This allows tools like reflection or bytecode manipulation libraries to access them.
The @Target specifies where this annotation can be applied</t>
        </is>
      </c>
      <c r="I2192" t="n">
        <v>0.0036</v>
      </c>
      <c r="J2192" t="n">
        <v>0.058</v>
      </c>
      <c r="K2192" t="n">
        <v>0.07580000000000001</v>
      </c>
      <c r="L2192" t="inlineStr">
        <is>
          <t>The code provided is a Java annotation named `@EmbeddedWebApplicationContext` used to configure servlet container tests in Spring Boot framework.
It's annotated with @Retention policy of RUNTIME which means the annotations are retained by JVM at runtime and can be accessed via reflection. The target type for this annotation is ElementType.TYPE meaning it can</t>
        </is>
      </c>
      <c r="M2192" t="n">
        <v>0.0035</v>
      </c>
      <c r="N2192" t="n">
        <v>0.0317</v>
      </c>
      <c r="O2192" t="n">
        <v>0.12</v>
      </c>
    </row>
    <row r="2193">
      <c r="A2193" t="inlineStr">
        <is>
          <t>springboot</t>
        </is>
      </c>
      <c r="B2193" t="inlineStr">
        <is>
          <t>integration-test/spring-boot-server-integration-tests/src/intTest/java/org/springframework/boot/context/embedded/IdeApplicationLauncher.java</t>
        </is>
      </c>
      <c r="C2193">
        <f>HYPERLINK("https://github.com/spring-projects/spring-boot/blob/master/integration-test/spring-boot-server-integration-tests/src/intTest/java/org/springframework/boot/context/embedded/IdeApplicationLauncher.java")</f>
        <v/>
      </c>
      <c r="D2193" t="inlineStr">
        <is>
          <t>```
The code provided is a Java class for embedding Tomcat server in Spring Boot application. It's licensed under Apache License 2.0 and contains comments explaining the functionality of various parts of the code. The main purpose seems to be implementing core algorithms related to file handling and manipulation within an embedded Tomcat server context. This repository appears to contain backend software components that could</t>
        </is>
      </c>
      <c r="E2193" t="n">
        <v>0.0042</v>
      </c>
      <c r="F2193" t="n">
        <v>0.08110000000000001</v>
      </c>
      <c r="G2193" t="n">
        <v>0.3112</v>
      </c>
      <c r="H2193" t="inlineStr">
        <is>
          <t>The provided code is a Java Spring Boot application that contains backend software components for implementing core algorithms. The complexity of this implementation can be considered as O(n), where n represents the number of entries in the jar file being processed by the `readEntries` method. This function reads all Jar files and returns their content as an array list with each entry representing one line from the input file.</t>
        </is>
      </c>
      <c r="I2193" t="n">
        <v>0.0037</v>
      </c>
      <c r="J2193" t="n">
        <v>0.1282</v>
      </c>
      <c r="K2193" t="n">
        <v>0.2128</v>
      </c>
      <c r="L2193" t="inlineStr">
        <is>
          <t>The provided code is a part of the Spring Boot application which serves as an embedded server for running applications in various environments (like Tomcat or Jetty). The main purpose of this class seems to be creating and managing multiple instances of servers based on different configurations.
It does so by utilizing Java's JarFile API to read from jar files containing dependencies needed for each instance of the</t>
        </is>
      </c>
      <c r="M2193" t="n">
        <v>0.0027</v>
      </c>
      <c r="N2193" t="n">
        <v>0.0519</v>
      </c>
      <c r="O2193" t="n">
        <v>0.1071</v>
      </c>
    </row>
    <row r="2194">
      <c r="A2194" t="inlineStr">
        <is>
          <t>springboot</t>
        </is>
      </c>
      <c r="B2194" t="inlineStr">
        <is>
          <t>integration-test/spring-boot-server-integration-tests/src/intTest/java/org/springframework/boot/context/embedded/BootRunApplicationLauncher.java</t>
        </is>
      </c>
      <c r="C2194">
        <f>HYPERLINK("https://github.com/spring-projects/spring-boot/blob/master/integration-test/spring-boot-server-integration-tests/src/intTest/java/org/springframework/boot/context/embedded/BootRunApplicationLauncher.java")</f>
        <v/>
      </c>
      <c r="D2194" t="inlineStr">
        <is>
          <t>```plaintext
The code provided is a Java class that deals with the embedded context of Spring Boot applications. It's licensed under Apache License 2.0 and can be used in compliance with the license terms. The copyright notice indicates it was created by or authors are listed as well. This repository contains backend software components implementing core algorithms. The complexity of this implementation appears to be</t>
        </is>
      </c>
      <c r="E2194" t="n">
        <v>0.004</v>
      </c>
      <c r="F2194" t="n">
        <v>0.1067</v>
      </c>
      <c r="G2194" t="n">
        <v>0.219</v>
      </c>
      <c r="H2194" t="inlineStr">
        <is>
          <t>The provided code is a simple function for addition of two numbers in Java language. It takes two parameters 'a' and 'b', adds them together and returns the result. The time complexity of this operation is O(1), which means it always executes in constant time regardless of input size.
Here is the summary without repeating any part of the original code: 
```</t>
        </is>
      </c>
      <c r="I2194" t="n">
        <v>0.0029</v>
      </c>
      <c r="J2194" t="n">
        <v>0.0571</v>
      </c>
      <c r="K2194" t="n">
        <v>0.1119</v>
      </c>
      <c r="L2194" t="inlineStr">
        <is>
          <t>The provided code is a part of the Spring Boot framework's embedded server implementation and it provides functionalities to start an embedded Tomcat server with customizable configuration options.
It does so by creating instances of `EmbeddedServletContainerFactory` which are responsible for starting up servlet containers like Tomcat or Jetty. The main purpose of this class is to provide flexibility</t>
        </is>
      </c>
      <c r="M2194" t="n">
        <v>0.0031</v>
      </c>
      <c r="N2194" t="n">
        <v>0.0597</v>
      </c>
      <c r="O2194" t="n">
        <v>0.1538</v>
      </c>
    </row>
    <row r="2195">
      <c r="A2195" t="inlineStr">
        <is>
          <t>springboot</t>
        </is>
      </c>
      <c r="B2195" t="inlineStr">
        <is>
          <t>integration-test/spring-boot-server-integration-tests/src/intTest/java/org/springframework/boot/context/embedded/Application.java</t>
        </is>
      </c>
      <c r="C2195">
        <f>HYPERLINK("https://github.com/spring-projects/spring-boot/blob/master/integration-test/spring-boot-server-integration-tests/src/intTest/java/org/springframework/boot/context/embedded/Application.java")</f>
        <v/>
      </c>
      <c r="D2195" t="inlineStr">
        <is>
          <t>```plaintext
The code provided is a Java class named 'Application' that represents an application to be launched using Spring Boot framework. 
It has two private final String variables - packaging and container which are used for storing the configuration details of the application like its type (jar or war), and whether it will run in a specific container (like Tomcat). The constructor takes these</t>
        </is>
      </c>
      <c r="E2195" t="n">
        <v>0.0028</v>
      </c>
      <c r="F2195" t="n">
        <v>0.0282</v>
      </c>
      <c r="G2195" t="n">
        <v>0.0735</v>
      </c>
      <c r="H2195" t="inlineStr">
        <is>
          <t>The code provided is a Java class named `Application` which has two private fields (i.e., properties), `packaging` and `container`. The constructor of this class initializes these two fields with the values passed as arguments when an instance of the class is created. 
There are no methods in the given code snippet but it seems to be part of a</t>
        </is>
      </c>
      <c r="I2195" t="n">
        <v>0.0031</v>
      </c>
      <c r="J2195" t="n">
        <v>0.0294</v>
      </c>
      <c r="K2195" t="n">
        <v>0.1145</v>
      </c>
      <c r="L2195" t="inlineStr">
        <is>
          <t>The provided code is a Java class named "Application". This class represents an application that can be launched and pre-configured with specific packaging and container settings. The main purpose of this class seems to be the initialization of these properties during object creation. 
Here's how it works in detail:
When creating an instance of Application (i.e., new Application("some</t>
        </is>
      </c>
      <c r="M2195" t="n">
        <v>0.0037</v>
      </c>
      <c r="N2195" t="n">
        <v>0.0571</v>
      </c>
      <c r="O2195" t="n">
        <v>0.1154</v>
      </c>
    </row>
    <row r="2196">
      <c r="A2196" t="inlineStr">
        <is>
          <t>springboot</t>
        </is>
      </c>
      <c r="B2196" t="inlineStr">
        <is>
          <t>integration-test/spring-boot-server-integration-tests/src/intTest/java/org/springframework/boot/context/embedded/ExplodedApplicationLauncher.java</t>
        </is>
      </c>
      <c r="C2196">
        <f>HYPERLINK("https://github.com/spring-projects/spring-boot/blob/master/integration-test/spring-boot-server-integration-tests/src/intTest/java/org/springframework/boot/context/embedded/ExplodedApplicationLauncher.java")</f>
        <v/>
      </c>
      <c r="D2196" t="inlineStr">
        <is>
          <t>The code provided is a Java class that deals with embedded context in Spring Boot framework. It's licensed under Apache License 2.0 and contains comments explaining the purpose of some parts of the code. The main functionality seems to be related to file handling or manipulation within an application context for Spring Boot. However, without more specific details about what it does exactly, this summary may not provide enough</t>
        </is>
      </c>
      <c r="E2196" t="n">
        <v>0.0031</v>
      </c>
      <c r="F2196" t="n">
        <v>0.0253</v>
      </c>
      <c r="G2196" t="n">
        <v>0.1064</v>
      </c>
      <c r="H2196" t="inlineStr">
        <is>
          <t>The provided code is a Java class that contains the definition of an "add" method for adding two numbers together. The time complexity of this function is O(1), meaning it performs a constant number of operations regardless of the size of the input data.
Here's the summary: 
```java
public static int add(int a, int b){
    return</t>
        </is>
      </c>
      <c r="I2196" t="n">
        <v>0</v>
      </c>
      <c r="J2196" t="n">
        <v>0.0597</v>
      </c>
      <c r="K2196" t="n">
        <v>0.0781</v>
      </c>
      <c r="L2196" t="inlineStr">
        <is>
          <t>```python
# This is a Java code snippet for creating an embedded server in Spring Boot framework. 
# It's used to serve static content from a specified directory or classpath locations and it also supports JAR files as well.
# The main purpose of this code is to start the application on a specific port with customizable properties.
from org</t>
        </is>
      </c>
      <c r="M2196" t="n">
        <v>0.0036</v>
      </c>
      <c r="N2196" t="n">
        <v>0.0606</v>
      </c>
      <c r="O2196" t="n">
        <v>0.1136</v>
      </c>
    </row>
    <row r="2197">
      <c r="A2197" t="inlineStr">
        <is>
          <t>springboot</t>
        </is>
      </c>
      <c r="B2197" t="inlineStr">
        <is>
          <t>integration-test/spring-boot-server-integration-tests/src/intTest/java/org/springframework/boot/context/embedded/EmbeddedServletContainerJarDevelopmentIntegrationTests.java</t>
        </is>
      </c>
      <c r="C2197">
        <f>HYPERLINK("https://github.com/spring-projects/spring-boot/blob/master/integration-test/spring-boot-server-integration-tests/src/intTest/java/org/springframework/boot/context/embedded/EmbeddedServletContainerJarDevelopmentIntegrationTests.java")</f>
        <v/>
      </c>
      <c r="D2197" t="inlineStr">
        <is>
          <t>The code provided is a part of the Spring Boot application which contains embedded server functionality for testing purposes. It uses JUnit 5 (Junit Jupiter API), specifically @TestTemplate and @Condition annotations to test different scenarios based on operating system conditions. The RestTemplate class from spring framework is used to make HTTP requests. This repository has O(N) complexity due to usage of loops in</t>
        </is>
      </c>
      <c r="E2197" t="n">
        <v>0.0038</v>
      </c>
      <c r="F2197" t="n">
        <v>0.0556</v>
      </c>
      <c r="G2197" t="n">
        <v>0.1111</v>
      </c>
      <c r="H2197" t="inlineStr">
        <is>
          <t>The code provided is a simple addition function in Java named `add` that takes two parameters and returns their sum. The complexity of this operation is O(1), meaning it always executes the same number of operations regardless of input size.
In terms of licensing, the code is licensed under Apache License 2.0 which allows for free use, modification, distribution etc., as</t>
        </is>
      </c>
      <c r="I2197" t="n">
        <v>0.003</v>
      </c>
      <c r="J2197" t="n">
        <v>0.0563</v>
      </c>
      <c r="K2197" t="n">
        <v>0.1128</v>
      </c>
      <c r="L2197" t="inlineStr">
        <is>
          <t>The code provided is a part of the Spring Boot application which includes an embedded server configuration and some tests for it using JUnit 5 framework. The main purpose of this code seems to be testing if the server can handle requests correctly by sending GET request to "/hello" endpoint and checking whether response status is OK (HTTP Status Code 200).
However, without seeing the actual</t>
        </is>
      </c>
      <c r="M2197" t="n">
        <v>0.0028</v>
      </c>
      <c r="N2197" t="n">
        <v>0.0541</v>
      </c>
      <c r="O2197" t="n">
        <v>0.1087</v>
      </c>
    </row>
    <row r="2198">
      <c r="A2198" t="inlineStr">
        <is>
          <t>springboot</t>
        </is>
      </c>
      <c r="B2198" t="inlineStr">
        <is>
          <t>integration-test/spring-boot-server-integration-tests/src/intTest/java/org/springframework/boot/context/embedded/AbstractApplicationLauncher.java</t>
        </is>
      </c>
      <c r="C2198">
        <f>HYPERLINK("https://github.com/spring-projects/spring-boot/blob/master/integration-test/spring-boot-server-integration-tests/src/intTest/java/org/springframework/boot/context/embedded/AbstractApplicationLauncher.java")</f>
        <v/>
      </c>
      <c r="D2198" t="inlineStr">
        <is>
          <t>The code provided is a Java class that implements the `BeforeEachCallback` interface from JUnit 5 for setting up and cleaning up before each test in Spring Boot application tests. It also includes Apache License information at the top of the file which specifies conditions under which users may use this software. The license can be found on https://www.apache.org/licenses/LICENSE-2</t>
        </is>
      </c>
      <c r="E2198" t="n">
        <v>0.0037</v>
      </c>
      <c r="F2198" t="n">
        <v>0.0556</v>
      </c>
      <c r="G2198" t="n">
        <v>0.1538</v>
      </c>
      <c r="H2198" t="inlineStr">
        <is>
          <t>The provided code is a Java package that contains backend software components related to embedded contexts for Spring Boot applications. It also includes implementations of core algorithms and utilities used in testing JUnit extensions. The copyright notice at the top indicates this code is licensed under Apache License 2.0.
The function `add` defined within the package appears to be performing addition operation on two numbers (</t>
        </is>
      </c>
      <c r="I2198" t="n">
        <v>0.0036</v>
      </c>
      <c r="J2198" t="n">
        <v>0.1081</v>
      </c>
      <c r="K2198" t="n">
        <v>0.2174</v>
      </c>
      <c r="L2198" t="inlineStr">
        <is>
          <t>The provided code is a part of the Spring Boot application context embedded module. It contains several import statements for various Java libraries and packages including java.io (for handling file operations), java.time (for time duration calculations), org.awaitility (for asynchronous testing) and org.junit.jupiter.api.extension (for JUnit 5 extension development). The main purpose of</t>
        </is>
      </c>
      <c r="M2198" t="n">
        <v>0.0036</v>
      </c>
      <c r="N2198" t="n">
        <v>0.0606</v>
      </c>
      <c r="O2198" t="n">
        <v>0.0813</v>
      </c>
    </row>
    <row r="2199">
      <c r="A2199" t="inlineStr">
        <is>
          <t>springboot</t>
        </is>
      </c>
      <c r="B2199" t="inlineStr">
        <is>
          <t>integration-test/spring-boot-sni-integration-tests/spring-boot-sni-reactive-app/src/main/java/org/springframework/boot/sni/server/SniServerApplication.java</t>
        </is>
      </c>
      <c r="C2199">
        <f>HYPERLINK("https://github.com/spring-projects/spring-boot/blob/master/integration-test/spring-boot-sni-integration-tests/spring-boot-sni-reactive-app/src/main/java/org/springframework/boot/sni/server/SniServerApplication.java")</f>
        <v/>
      </c>
      <c r="D2199" t="inlineStr">
        <is>
          <t>The code provided is a simple Spring Boot application that starts the server for backend software components. It uses Apache License 2.0 which allows users to use and modify it freely as long as they comply with the terms of license. The complexity of this code seems to be O(N), but without more context or specific details about its functionality, we cannot provide an accurate assessment.
```</t>
        </is>
      </c>
      <c r="E2199" t="n">
        <v>0.0032</v>
      </c>
      <c r="F2199" t="n">
        <v>0.0526</v>
      </c>
      <c r="G2199" t="n">
        <v>0.2271</v>
      </c>
      <c r="H2199" t="inlineStr">
        <is>
          <t>The provided code is a Java program that reads and processes files from the package org.springframework.boot.sni.server in Spring Boot framework. It contains classes for handling URL connections related to JAR files (JarURLConnection). The main class of this application is 'SniServerApplication' which starts the Spring Boot Application with the main method.
This repository also includes backend</t>
        </is>
      </c>
      <c r="I2199" t="n">
        <v>0.004</v>
      </c>
      <c r="J2199" t="n">
        <v>0.0299</v>
      </c>
      <c r="K2199" t="n">
        <v>0.07870000000000001</v>
      </c>
      <c r="L2199" t="inlineStr">
        <is>
          <t>The provided code is a Spring Boot application that serves as an SNI (Server Name Indication) server. It's designed to handle SSL connections and provide the necessary services for secure communication between clients and servers.
It starts by importing various packages including `java.io`, `java.net`, `java.nio.file`, and `org.</t>
        </is>
      </c>
      <c r="M2199" t="n">
        <v>0.0039</v>
      </c>
      <c r="N2199" t="n">
        <v>0.0333</v>
      </c>
      <c r="O2199" t="n">
        <v>0.042</v>
      </c>
    </row>
    <row r="2200">
      <c r="A2200" t="inlineStr">
        <is>
          <t>springboot</t>
        </is>
      </c>
      <c r="B2200" t="inlineStr">
        <is>
          <t>integration-test/spring-boot-sni-integration-tests/spring-boot-sni-reactive-app/src/main/java/org/springframework/boot/sni/server/HelloController.java</t>
        </is>
      </c>
      <c r="C2200">
        <f>HYPERLINK("https://github.com/spring-projects/spring-boot/blob/master/integration-test/spring-boot-sni-integration-tests/spring-boot-sni-reactive-app/src/main/java/org/springframework/boot/sni/server/HelloController.java")</f>
        <v/>
      </c>
      <c r="D2200" t="inlineStr">
        <is>
          <t>The code provided is a Spring Boot application with a REST controller named `HelloController`. This controller has one endpoint (method), the GET method "hello", which takes in a ServerHttpRequest as an argument and returns a string message saying 'Hello from'. The response of this request will be sent back to the client making the HTTP request.
Please note that it's important</t>
        </is>
      </c>
      <c r="E2200" t="n">
        <v>0.0036</v>
      </c>
      <c r="F2200" t="n">
        <v>0.0571</v>
      </c>
      <c r="G2200" t="n">
        <v>0.0752</v>
      </c>
      <c r="H2200" t="inlineStr">
        <is>
          <t>The provided code is a Spring Boot application with a REST controller named HelloController that responds to HTTP GET requests at the "/hello" endpoint by returning "Hello from {remote address}". The remote IP address of incoming request is extracted using ServerHttpRequest object and appended in response message.
The Apache License header comments outlines the terms under which this software can be used</t>
        </is>
      </c>
      <c r="I2200" t="n">
        <v>0.0035</v>
      </c>
      <c r="J2200" t="n">
        <v>0.0571</v>
      </c>
      <c r="K2200" t="n">
        <v>0.2355</v>
      </c>
      <c r="L2200" t="inlineStr">
        <is>
          <t>The provided code is a Spring Boot application that exposes an endpoint at "/hello". This endpoint responds with "Hello from {client's IP}", where the client's IP address is extracted from the incoming request object.
Here are some key points about this code:
1. The main purpose of the class `HelloController` is to handle HTTP GET requests and</t>
        </is>
      </c>
      <c r="M2200" t="n">
        <v>0.0038</v>
      </c>
      <c r="N2200" t="n">
        <v>0.0597</v>
      </c>
      <c r="O2200" t="n">
        <v>0.0775</v>
      </c>
    </row>
    <row r="2201">
      <c r="A2201" t="inlineStr">
        <is>
          <t>springboot</t>
        </is>
      </c>
      <c r="B2201" t="inlineStr">
        <is>
          <t>integration-test/spring-boot-sni-integration-tests/spring-boot-sni-servlet-app/src/main/java/org/springframework/boot/sni/server/SniServerApplication.java</t>
        </is>
      </c>
      <c r="C2201">
        <f>HYPERLINK("https://github.com/spring-projects/spring-boot/blob/master/integration-test/spring-boot-sni-integration-tests/spring-boot-sni-servlet-app/src/main/java/org/springframework/boot/sni/server/SniServerApplication.java")</f>
        <v/>
      </c>
      <c r="D2201" t="inlineStr">
        <is>
          <t>The code provided is a Java Spring Boot application that contains backend software components for implementing core algorithms. It uses Apache License 2.0 to ensure compliance with the license. The repository also includes comments explaining implementation of certain algorithms and provides an initial commit as part of its commits history. Code size indicates it has been written in approximately 1000 lines of code.
Please note</t>
        </is>
      </c>
      <c r="E2201" t="n">
        <v>0.0037</v>
      </c>
      <c r="F2201" t="n">
        <v>0.1081</v>
      </c>
      <c r="G2201" t="n">
        <v>0.1825</v>
      </c>
      <c r="H2201" t="inlineStr">
        <is>
          <t>The function provided is a simple addition operation that takes two numbers as input and returns their sum. The functionality of this code can be summarized in the following way: "It performs an arithmetic operation to add together two given numbers." Now summarize it again: Code: /** This function adds two numbers together and returns the result. */
package org.springframework.boot.sni.server</t>
        </is>
      </c>
      <c r="I2201" t="n">
        <v>0.004</v>
      </c>
      <c r="J2201" t="n">
        <v>0.0857</v>
      </c>
      <c r="K2201" t="n">
        <v>0.1136</v>
      </c>
      <c r="L2201" t="inlineStr">
        <is>
          <t>The provided code is a Spring Boot application that serves as an SNI (Server Name Indication) server for handling SSL connections securely. It's written in Java and uses the Spring framework to manage its operations. The main purpose of this software component appears to be to serve as an intermediary between clients and servers during SSL handshakes, ensuring encrypted communication over network protocols.</t>
        </is>
      </c>
      <c r="M2201" t="n">
        <v>0.0034</v>
      </c>
      <c r="N2201" t="n">
        <v>0.0833</v>
      </c>
      <c r="O2201" t="n">
        <v>0.2338</v>
      </c>
    </row>
    <row r="2202">
      <c r="A2202" t="inlineStr">
        <is>
          <t>springboot</t>
        </is>
      </c>
      <c r="B2202" t="inlineStr">
        <is>
          <t>integration-test/spring-boot-sni-integration-tests/spring-boot-sni-servlet-app/src/main/java/org/springframework/boot/sni/server/HelloController.java</t>
        </is>
      </c>
      <c r="C2202">
        <f>HYPERLINK("https://github.com/spring-projects/spring-boot/blob/master/integration-test/spring-boot-sni-integration-tests/spring-boot-sni-servlet-app/src/main/java/org/springframework/boot/sni/server/HelloController.java")</f>
        <v/>
      </c>
      <c r="D2202" t="inlineStr">
        <is>
          <t>The provided code is a Spring Boot application that contains a RESTful controller for handling HTTP GET requests at the "/hello" endpoint. The function `hello` takes an HttpServletRequest as input and returns a String "Hello from ". It appends to this string the request URI of the incoming request before returning it. This functionality allows you to see which specific URL has been requested in your server logs</t>
        </is>
      </c>
      <c r="E2202" t="n">
        <v>0.0035</v>
      </c>
      <c r="F2202" t="n">
        <v>0.0533</v>
      </c>
      <c r="G2202" t="n">
        <v>0.1071</v>
      </c>
      <c r="H2202" t="inlineStr">
        <is>
          <t>The provided code is a Spring Boot REST controller that returns "Hello from {client's IP address}" when GET request to the "/hello" endpoint is made. The client's IP address is obtained using HttpServletRequest object which contains information about the HTTP request sent by the client.
However, it seems like you are asking for an explanation of some other piece of code rather</t>
        </is>
      </c>
      <c r="I2202" t="n">
        <v>0</v>
      </c>
      <c r="J2202" t="n">
        <v>0</v>
      </c>
      <c r="K2202" t="n">
        <v>0.0373</v>
      </c>
      <c r="L2202" t="inlineStr">
        <is>
          <t>The provided code is a Spring Boot application that contains a REST controller named `HelloController` with a single endpoint (method) called `hello()`. This method maps to the HTTP GET request and returns a String "Hello from + Request USUMMARY". The purpose of this class seems to be to provide a simple greeting based on incoming requests' information. 
However,</t>
        </is>
      </c>
      <c r="M2202" t="n">
        <v>0.0037</v>
      </c>
      <c r="N2202" t="n">
        <v>0.0615</v>
      </c>
      <c r="O2202" t="n">
        <v>0.1154</v>
      </c>
    </row>
    <row r="2203">
      <c r="A2203" t="inlineStr">
        <is>
          <t>springboot</t>
        </is>
      </c>
      <c r="B2203" t="inlineStr">
        <is>
          <t>integration-test/spring-boot-sni-integration-tests/spring-boot-sni-client-app/src/main/java/org/springframework/boot/sni/client/SniClientApplication.java</t>
        </is>
      </c>
      <c r="C2203">
        <f>HYPERLINK("https://github.com/spring-projects/spring-boot/blob/master/integration-test/spring-boot-sni-integration-tests/spring-boot-sni-client-app/src/main/java/org/springframework/boot/sni/client/SniClientApplication.java")</f>
        <v/>
      </c>
      <c r="D2203" t="inlineStr">
        <is>
          <t>The code provided is a Spring Boot application that contains the main class for running an SNI (Server Name Indication) server. The server listens to incoming requests and processes them accordingly based on its configuration. It's licensed under Apache License 2.0 which means it can be used freely but with conditions as specified in the license. This software uses core algorithms from Java Utilities package</t>
        </is>
      </c>
      <c r="E2203" t="n">
        <v>0.007</v>
      </c>
      <c r="F2203" t="n">
        <v>0.08</v>
      </c>
      <c r="G2203" t="n">
        <v>0.2715</v>
      </c>
      <c r="H2203" t="inlineStr">
        <is>
          <t>The provided code is a Java Spring Boot application that contains backend software components for implementing core algorithms. The copyright information at the top of each file indicates it's licensed under Apache License 2.0 and can be found at https://www.apache.org/licenses/LICENSE-2.0. This license requires compliance with any modifications made to this code or portions used from it.</t>
        </is>
      </c>
      <c r="I2203" t="n">
        <v>0.0046</v>
      </c>
      <c r="J2203" t="n">
        <v>0.1096</v>
      </c>
      <c r="K2203" t="n">
        <v>0.3331</v>
      </c>
      <c r="L2203" t="inlineStr">
        <is>
          <t>The code provided is a Spring Boot application that sets up and runs an SNI (Server Name Indication) server using the `@SpringBootApplication` annotation to enable auto configuration of the application context. The main purpose of this program seems to be handling HTTPS requests by utilizing SSL certificates for secure communication over HTTP/HTTPS protocols.
It takes in inputs</t>
        </is>
      </c>
      <c r="M2203" t="n">
        <v>0.0032</v>
      </c>
      <c r="N2203" t="n">
        <v>0.0303</v>
      </c>
      <c r="O2203" t="n">
        <v>0.1163</v>
      </c>
    </row>
    <row r="2204">
      <c r="A2204" t="inlineStr">
        <is>
          <t>springboot</t>
        </is>
      </c>
      <c r="B2204" t="inlineStr">
        <is>
          <t>integration-test/spring-boot-sni-integration-tests/src/intTest/java/org/springframework/boot/sni/SniIntegrationTests.java</t>
        </is>
      </c>
      <c r="C2204">
        <f>HYPERLINK("https://github.com/spring-projects/spring-boot/blob/master/integration-test/spring-boot-sni-integration-tests/src/intTest/java/org/springframework/boot/sni/SniIntegrationTests.java")</f>
        <v/>
      </c>
      <c r="D2204" t="inlineStr">
        <is>
          <t>```plaintext
The provided code is a Java program that utilizes Spring Boot and TestContainers to manage Docker containers for integration testing. 
It provides parameterized tests with CSV source data which are used to test different configurations of the application. The main functionality revolves around starting up a generic container in a Docker environment using TestContainers, running an</t>
        </is>
      </c>
      <c r="E2204" t="n">
        <v>0.0038</v>
      </c>
      <c r="F2204" t="n">
        <v>0.0308</v>
      </c>
      <c r="G2204" t="n">
        <v>0.0775</v>
      </c>
      <c r="H2204" t="inlineStr">
        <is>
          <t>The code provided is a Java function for addition of two numbers named `add`. It takes in two parameters (numbers), adds them together and returns the result. The time complexity of this operation is O(1).
In summary, it's a simple mathematical function that performs an arithmetic operation on two inputs to return their sum. This kind of problem can be found in</t>
        </is>
      </c>
      <c r="I2204" t="n">
        <v>0.0035</v>
      </c>
      <c r="J2204" t="n">
        <v>0.0556</v>
      </c>
      <c r="K2204" t="n">
        <v>0.1119</v>
      </c>
      <c r="L2204" t="inlineStr">
        <is>
          <t>The provided code is a Java Spring Boot application that uses TestContainers to manage Docker containers for integration tests in an automated testing environment. It also leverages Awaitility library for asynchronous operations and JUnit 5 for parameterized testing.
Here's the summary of its functionality:
1. The main purpose of this code is to set up and configure test</t>
        </is>
      </c>
      <c r="M2204" t="n">
        <v>0.0031</v>
      </c>
      <c r="N2204" t="n">
        <v>0.0597</v>
      </c>
      <c r="O2204" t="n">
        <v>0.1154</v>
      </c>
    </row>
    <row r="2205">
      <c r="A2205" t="inlineStr">
        <is>
          <t>springboot</t>
        </is>
      </c>
      <c r="B2205" t="inlineStr">
        <is>
          <t>integration-test/spring-boot-actuator-integration-tests/src/test/java/org/springframework/boot/actuate/context/properties/ConfigurationPropertiesReportEndpointWebIntegrationTests.java</t>
        </is>
      </c>
      <c r="C2205">
        <f>HYPERLINK("https://github.com/spring-projects/spring-boot/blob/master/integration-test/spring-boot-actuator-integration-tests/src/test/java/org/springframework/boot/actuate/context/properties/ConfigurationPropertiesReportEndpointWebIntegrationTests.java")</f>
        <v/>
      </c>
      <c r="D2205" t="inlineStr">
        <is>
          <t>The provided code is a Java class that defines the configuration properties for Spring Boot's Actuator context and implements an endpoint to show these configurations in JSON format. The license of this software is Apache License 2.0 which states it can be used without any restrictions under certain conditions as mentioned at https://www.apache.org/licenses/LICENSE-2.0. This repository</t>
        </is>
      </c>
      <c r="E2205" t="n">
        <v>0.0047</v>
      </c>
      <c r="F2205" t="n">
        <v>0.0556</v>
      </c>
      <c r="G2205" t="n">
        <v>0.1969</v>
      </c>
      <c r="H2205" t="inlineStr">
        <is>
          <t>The provided code is a Java function named "add". It takes two parameters (numbers), adds them together and returns the result. The functionality of this function can be summarized as follows: This function performs addition operation on two numbers 'a' and 'b', returning their sum.
It has a time complexity of O(1). 
Here are some details about its</t>
        </is>
      </c>
      <c r="I2205" t="n">
        <v>0.0041</v>
      </c>
      <c r="J2205" t="n">
        <v>0.0896</v>
      </c>
      <c r="K2205" t="n">
        <v>0.1154</v>
      </c>
      <c r="L2205" t="inlineStr">
        <is>
          <t>The given code is a Spring Boot application that defines an endpoint for showing configuration properties related to the context of web applications. The purpose of this module seems to be providing some form of monitoring and management functionality through HTTP endpoints. 
It uses JUnit 5 for testing purposes with `@SpringBootTest` annotation which enables loading full configuration including profiles. It also has integration tests</t>
        </is>
      </c>
      <c r="M2205" t="n">
        <v>0.0037</v>
      </c>
      <c r="N2205" t="n">
        <v>0.0833</v>
      </c>
      <c r="O2205" t="n">
        <v>0.1471</v>
      </c>
    </row>
    <row r="2206">
      <c r="A2206" t="inlineStr">
        <is>
          <t>springboot</t>
        </is>
      </c>
      <c r="B2206" t="inlineStr">
        <is>
          <t>integration-test/spring-boot-actuator-integration-tests/src/test/java/org/springframework/boot/actuate/env/EnvironmentEndpointWebIntegrationTests.java</t>
        </is>
      </c>
      <c r="C2206">
        <f>HYPERLINK("https://github.com/spring-projects/spring-boot/blob/master/integration-test/spring-boot-actuator-integration-tests/src/test/java/org/springframework/boot/actuate/env/EnvironmentEndpointWebIntegrationTests.java")</f>
        <v/>
      </c>
      <c r="D2206" t="inlineStr">
        <is>
          <t>The code provided is a part of the Spring Boot framework for creating standalone, production-grade Spring based Applications that you can "run". It includes an environment endpoint which shows all properties related to current application context and its sources (like system properties or configuration files). The license information at the top indicates it's licensed under Apache 2.0 License. This repository contains backend software components implementing core</t>
        </is>
      </c>
      <c r="E2206" t="n">
        <v>0.0039</v>
      </c>
      <c r="F2206" t="n">
        <v>0.1039</v>
      </c>
      <c r="G2206" t="n">
        <v>0.309</v>
      </c>
      <c r="H2206" t="inlineStr">
        <is>
          <t>The code provided is a simple function for addition of two numbers in Python. The functionality is straightforward and the complexity is O(1), meaning it only performs one operation regardless of input size. It takes two parameters 'a' and 'b', adds them together and returns the result.
Here are some details about this piece of software:
- Copyright 2012-</t>
        </is>
      </c>
      <c r="I2206" t="n">
        <v>0.0037</v>
      </c>
      <c r="J2206" t="n">
        <v>0.0597</v>
      </c>
      <c r="K2206" t="n">
        <v>0.1145</v>
      </c>
      <c r="L2206" t="inlineStr">
        <is>
          <t>The code provided is a Spring Boot application that exposes an endpoint for showing the current environment properties. It uses JUnit 5 (Junit Jupiter) for testing and has Apache License version 2.0.
Here's a concise summary of its functionality: This module provides an HTTP endpoint to show all currently set environment variables in a Spring Boot application. The main purpose</t>
        </is>
      </c>
      <c r="M2206" t="n">
        <v>0.004</v>
      </c>
      <c r="N2206" t="n">
        <v>0.0571</v>
      </c>
      <c r="O2206" t="n">
        <v>0.1515</v>
      </c>
    </row>
    <row r="2207">
      <c r="A2207" t="inlineStr">
        <is>
          <t>springboot</t>
        </is>
      </c>
      <c r="B2207" t="inlineStr">
        <is>
          <t>integration-test/spring-boot-actuator-integration-tests/src/test/java/org/springframework/boot/actuate/autoconfigure/endpoint/web/WebEndpointsAutoConfigurationIntegrationTests.java</t>
        </is>
      </c>
      <c r="C2207">
        <f>HYPERLINK("https://github.com/spring-projects/spring-boot/blob/master/integration-test/spring-boot-actuator-integration-tests/src/test/java/org/springframework/boot/actuate/autoconfigure/endpoint/web/WebEndpointsAutoConfigurationIntegrationTests.java")</f>
        <v/>
      </c>
      <c r="D2207" t="inlineStr">
        <is>
          <t>The code provided is a configuration for an endpoint in Spring Boot's actuator module that provides health information about the application. It includes Apache License 2.0 details and conditions under which it can be used or distributed. The license allows users to obtain a copy of the license at https://www.apache.org/licenses/LICENSE-2.0 without any restrictions unless otherwise agreed</t>
        </is>
      </c>
      <c r="E2207" t="n">
        <v>0.0039</v>
      </c>
      <c r="F2207" t="n">
        <v>0.0548</v>
      </c>
      <c r="G2207" t="n">
        <v>0.1172</v>
      </c>
      <c r="H2207" t="inlineStr">
        <is>
          <t>The provided code is a simple function for addition of two numbers in Java language. It's named `add` and takes two parameters 'a' and 'b'. The complexity of this operation is O(1), meaning it performs the same number of operations regardless of input size. This function returns the sum of 'a' and 'b'.
In terms of copyright information, there</t>
        </is>
      </c>
      <c r="I2207" t="n">
        <v>0.0037</v>
      </c>
      <c r="J2207" t="n">
        <v>0.08699999999999999</v>
      </c>
      <c r="K2207" t="n">
        <v>0.1527</v>
      </c>
      <c r="L2207" t="inlineStr">
        <is>
          <t>The code provided is a Spring Boot application that configures and auto-configures an endpoint for health checks in the system. The main purpose of this configuration is to enable or disable certain features based on whether they are healthy or not.
It takes no inputs but outputs information about the state of various components within the system. It uses JUnit 5 as its testing framework and has been</t>
        </is>
      </c>
      <c r="M2207" t="n">
        <v>0.0027</v>
      </c>
      <c r="N2207" t="n">
        <v>0.0519</v>
      </c>
      <c r="O2207" t="n">
        <v>0.1071</v>
      </c>
    </row>
    <row r="2208">
      <c r="A2208" t="inlineStr">
        <is>
          <t>springboot</t>
        </is>
      </c>
      <c r="B2208" t="inlineStr">
        <is>
          <t>integration-test/spring-boot-actuator-integration-tests/src/test/java/org/springframework/boot/actuate/autoconfigure/endpoint/jmx/JmxEndpointAccessIntegrationTests.java</t>
        </is>
      </c>
      <c r="C2208">
        <f>HYPERLINK("https://github.com/spring-projects/spring-boot/blob/master/integration-test/spring-boot-actuator-integration-tests/src/test/java/org/springframework/boot/actuate/autoconfigure/endpoint/jmx/JmxEndpointAccessIntegrationTests.java")</f>
        <v/>
      </c>
      <c r="D2208" t="inlineStr">
        <is>
          <t>```java
// This is a JUnit 5 test class for the Spring Boot Actuator project's BeansEndpointAutoConfiguration class.
// The purpose of this code is to provide tests for beans endpoint auto configuration in Spring Boot applications.
// It uses JUnit 5 annotations like @Test and imports from org.junit.jupiter.api package</t>
        </is>
      </c>
      <c r="E2208" t="n">
        <v>0.0045</v>
      </c>
      <c r="F2208" t="n">
        <v>0.06900000000000001</v>
      </c>
      <c r="G2208" t="n">
        <v>0.124</v>
      </c>
      <c r="H2208" t="inlineStr">
        <is>
          <t>The provided code is a Java function that adds two numbers together using the + operator. The functionality of this code can be summarized as follows: "It takes in two parameters (numbers), performs an addition operation on them and returns the result." 
The complexity of this function is O(1). This means it has constant time complexity because no matter how large the input data set</t>
        </is>
      </c>
      <c r="I2208" t="n">
        <v>0.0037</v>
      </c>
      <c r="J2208" t="n">
        <v>0.0548</v>
      </c>
      <c r="K2208" t="n">
        <v>0.1095</v>
      </c>
      <c r="L2208" t="inlineStr">
        <is>
          <t>The provided code is a part of the Spring Boot project's JMX (Java Management Extensions) endpoint auto configuration module. It provides an MBean server with various beans registered to it for monitoring and management purposes. The main purpose of this component is to expose endpoints through JMX so that they can be monitored by tools like JConsole or any other JMX compl</t>
        </is>
      </c>
      <c r="M2208" t="n">
        <v>0.0029</v>
      </c>
      <c r="N2208" t="n">
        <v>0.0563</v>
      </c>
      <c r="O2208" t="n">
        <v>0.1119</v>
      </c>
    </row>
    <row r="2209">
      <c r="A2209" t="inlineStr">
        <is>
          <t>springboot</t>
        </is>
      </c>
      <c r="B2209" t="inlineStr">
        <is>
          <t>integration-test/spring-boot-actuator-integration-tests/src/test/java/org/springframework/boot/actuate/autoconfigure/endpoint/jmx/JmxEndpointIntegrationTests.java</t>
        </is>
      </c>
      <c r="C2209">
        <f>HYPERLINK("https://github.com/spring-projects/spring-boot/blob/master/integration-test/spring-boot-actuator-integration-tests/src/test/java/org/springframework/boot/actuate/autoconfigure/endpoint/jmx/JmxEndpointIntegrationTests.java")</f>
        <v/>
      </c>
      <c r="D2209" t="inlineStr">
        <is>
          <t>The code provided appears to be a license header for an Apache License 2.0 and it seems like the author is using Spring Boot's JMX endpoint auto configuration feature. The summary of this functionality would be that it automatically configures endpoints in the application context via Java Management Extensions (JMX). It provides information about these configured endpoints through MBeans which can then</t>
        </is>
      </c>
      <c r="E2209" t="n">
        <v>0.0035</v>
      </c>
      <c r="F2209" t="n">
        <v>0.0556</v>
      </c>
      <c r="G2209" t="n">
        <v>0.1119</v>
      </c>
      <c r="H2209" t="inlineStr">
        <is>
          <t>The provided code is a Java implementation of the addition operation between two numbers using JMX (Java Management Extensions). The function `add` takes in two integers and returns their sum.
It's important to note that this piece of code doesn't seem to be part of any larger project or application as it lacks context such as import statements for external libraries used.</t>
        </is>
      </c>
      <c r="I2209" t="n">
        <v>0.0029</v>
      </c>
      <c r="J2209" t="n">
        <v>0.0833</v>
      </c>
      <c r="K2209" t="n">
        <v>0.1493</v>
      </c>
      <c r="L2209" t="inlineStr">
        <is>
          <t>The provided code is a part of the Spring Boot actuator module which provides JMX (Java Management Extensions) integration for exposing application management information over HTTP and other protocols.
Here's a concise summary of its functionality: 
This piece of software exposes various aspects of an application through Java Management Extensions (JMX). It does this by register</t>
        </is>
      </c>
      <c r="M2209" t="n">
        <v>0.0046</v>
      </c>
      <c r="N2209" t="n">
        <v>0.0615</v>
      </c>
      <c r="O2209" t="n">
        <v>0.1953</v>
      </c>
    </row>
    <row r="2210">
      <c r="A2210" t="inlineStr">
        <is>
          <t>springboot</t>
        </is>
      </c>
      <c r="B2210" t="inlineStr">
        <is>
          <t>integration-test/spring-boot-actuator-integration-tests/src/test/java/org/springframework/boot/actuate/sbom/SbomEndpointSyftWebIntegrationTests.java</t>
        </is>
      </c>
      <c r="C2210">
        <f>HYPERLINK("https://github.com/spring-projects/spring-boot/blob/master/integration-test/spring-boot-actuator-integration-tests/src/test/java/org/springframework/boot/actuate/sbom/SbomEndpointSyftWebIntegrationTests.java")</f>
        <v/>
      </c>
      <c r="D2210" t="inlineStr">
        <is>
          <t>The code provided is a Spring Boot application that includes configuration for an endpoint to generate Software Bill of Materials (SBOM). The SBOM provides information about the software components used in the project and their respective licenses. It's licensed under Apache License 2.0 which means it can be freely distributed and modified but requires attribution and disclosure of any changes made. This repository contains</t>
        </is>
      </c>
      <c r="E2210" t="n">
        <v>0.0037</v>
      </c>
      <c r="F2210" t="n">
        <v>0.0541</v>
      </c>
      <c r="G2210" t="n">
        <v>0.1471</v>
      </c>
      <c r="H2210" t="inlineStr">
        <is>
          <t>The provided code is a Java function named "add". It takes two parameters (numbers), adds them together and returns the result. The time complexity of this operation is O(1).
In terms of functionality, it performs simple addition between two numbers. 
Here's an example usage: `int sum = add(5, 7); // Output will be</t>
        </is>
      </c>
      <c r="I2210" t="n">
        <v>0.0035</v>
      </c>
      <c r="J2210" t="n">
        <v>0.0645</v>
      </c>
      <c r="K2210" t="n">
        <v>0.16</v>
      </c>
      <c r="L2210" t="inlineStr">
        <is>
          <t>The code provided is a Spring Boot application that generates Software Bill of Materials (SBOM) for an application using the SBOM endpoint in Spring Actuator module. The main purpose of this code seems to be generating and providing SBOM data about different components used by your application when requested through HTTP GET request.
Here's what it does step by step:</t>
        </is>
      </c>
      <c r="M2210" t="n">
        <v>0.003</v>
      </c>
      <c r="N2210" t="n">
        <v>0.08699999999999999</v>
      </c>
      <c r="O2210" t="n">
        <v>0.1515</v>
      </c>
    </row>
    <row r="2211">
      <c r="A2211" t="inlineStr">
        <is>
          <t>springboot</t>
        </is>
      </c>
      <c r="B2211" t="inlineStr">
        <is>
          <t>integration-test/spring-boot-actuator-integration-tests/src/test/java/org/springframework/boot/actuate/sbom/SbomEndpointSpdxWebIntegrationTests.java</t>
        </is>
      </c>
      <c r="C2211">
        <f>HYPERLINK("https://github.com/spring-projects/spring-boot/blob/master/integration-test/spring-boot-actuator-integration-tests/src/test/java/org/springframework/boot/actuate/sbom/SbomEndpointSpdxWebIntegrationTests.java")</f>
        <v/>
      </c>
      <c r="D2211" t="inlineStr">
        <is>
          <t>The code provided is a Spring Boot application configuration for an endpoint that generates Software Bill of Materials (SBOM). The SBOM provides information about the components used in building software and their respective versions. This includes details such as licensing information, authors, etc., which are typically part of any open source project. It's designed to be distributed under Apache License 2.0.</t>
        </is>
      </c>
      <c r="E2211" t="n">
        <v>0.0039</v>
      </c>
      <c r="F2211" t="n">
        <v>0.0563</v>
      </c>
      <c r="G2211" t="n">
        <v>0.1504</v>
      </c>
      <c r="H2211" t="inlineStr">
        <is>
          <t>The provided code is a simple function for addition of two numbers in Python. The functionality of the code can be summarized as follows:
It takes two parameters (numbers), adds them together and returns the result. This operation has a time complexity of O(1). 
Here's how it works:
```python
def add(a, b):</t>
        </is>
      </c>
      <c r="I2211" t="n">
        <v>0.0046</v>
      </c>
      <c r="J2211" t="n">
        <v>0.0635</v>
      </c>
      <c r="K2211" t="n">
        <v>0.121</v>
      </c>
      <c r="L2211" t="inlineStr">
        <is>
          <t>The code provided is a Spring Boot application that generates Software Bill of Materials (SBOM) for an application using the `Spring Actuator` module's Sbom endpoint. The purpose of this code seems to be providing information about the dependencies and libraries used in the project at runtime.
It does so by creating a configuration class annotated with @Configuration which includes beans</t>
        </is>
      </c>
      <c r="M2211" t="n">
        <v>0.003</v>
      </c>
      <c r="N2211" t="n">
        <v>0.08699999999999999</v>
      </c>
      <c r="O2211" t="n">
        <v>0.1515</v>
      </c>
    </row>
    <row r="2212">
      <c r="A2212" t="inlineStr">
        <is>
          <t>springboot</t>
        </is>
      </c>
      <c r="B2212" t="inlineStr">
        <is>
          <t>integration-test/spring-boot-actuator-integration-tests/src/test/java/org/springframework/boot/actuate/sbom/SbomEndpointWebIntegrationTests.java</t>
        </is>
      </c>
      <c r="C2212">
        <f>HYPERLINK("https://github.com/spring-projects/spring-boot/blob/master/integration-test/spring-boot-actuator-integration-tests/src/test/java/org/springframework/boot/actuate/sbom/SbomEndpointWebIntegrationTests.java")</f>
        <v/>
      </c>
      <c r="D2212" t="inlineStr">
        <is>
          <t>The code provided is a configuration class for Spring Boot application that sets up an endpoint to generate Software Bill of Materials (SBOM). The SBOM provides information about the components used in building and running the software system. It includes details like version numbers, licensing info etc., which helps ensure compliance with license terms and requirements. This implementation uses JSON processing library 'Minidev' for handling</t>
        </is>
      </c>
      <c r="E2212" t="n">
        <v>0.0037</v>
      </c>
      <c r="F2212" t="n">
        <v>0.0548</v>
      </c>
      <c r="G2212" t="n">
        <v>0.1825</v>
      </c>
      <c r="H2212" t="inlineStr">
        <is>
          <t>The provided code is a Java function that performs addition of two numbers using the '+' operator. It takes in two parameters - `a` and `b` which are to be added together. The complexity of this operation is O(1), meaning it always executes in constant time regardless of input size.
In terms of functionality, this simple math function does not do much but</t>
        </is>
      </c>
      <c r="I2212" t="n">
        <v>0.0029</v>
      </c>
      <c r="J2212" t="n">
        <v>0.0571</v>
      </c>
      <c r="K2212" t="n">
        <v>0.1111</v>
      </c>
      <c r="L2212" t="inlineStr">
        <is>
          <t>The provided code is a Spring Boot application that generates Software Bill of Materials (SBOM) for an application using the SBOM endpoint in Spring Boot Actuator module. The purpose of this code is to generate SBOM data from the dependencies and plugins used by the application.
It does so by creating a custom configuration class with a bean definition for `SbomEndpoint</t>
        </is>
      </c>
      <c r="M2212" t="n">
        <v>0.003</v>
      </c>
      <c r="N2212" t="n">
        <v>0.08699999999999999</v>
      </c>
      <c r="O2212" t="n">
        <v>0.1504</v>
      </c>
    </row>
    <row r="2213">
      <c r="A2213" t="inlineStr">
        <is>
          <t>springboot</t>
        </is>
      </c>
      <c r="B2213" t="inlineStr">
        <is>
          <t>integration-test/spring-boot-actuator-integration-tests/src/test/java/org/springframework/boot/actuate/sbom/SbomEndpointCycloneDxWebIntegrationTests.java</t>
        </is>
      </c>
      <c r="C2213">
        <f>HYPERLINK("https://github.com/spring-projects/spring-boot/blob/master/integration-test/spring-boot-actuator-integration-tests/src/test/java/org/springframework/boot/actuate/sbom/SbomEndpointCycloneDxWebIntegrationTests.java")</f>
        <v/>
      </c>
      <c r="D2213" t="inlineStr">
        <is>
          <t>The code provided is a Spring Boot application configuration for an endpoint that generates Software Bill of Materials (SBOM). SBOM provides information about the components used in software development and their respective versions. It's licensed under Apache License 2.0 and distributed on an "AS IS" basis without warranties or conditions. The implementation uses core algorithms to generate the SBOM from resources obtained</t>
        </is>
      </c>
      <c r="E2213" t="n">
        <v>0.0039</v>
      </c>
      <c r="F2213" t="n">
        <v>0.0833</v>
      </c>
      <c r="G2213" t="n">
        <v>0.1866</v>
      </c>
      <c r="H2213" t="inlineStr">
        <is>
          <t>The provided code is a simple function for addition of two numbers in Python. It takes two parameters 'a' and 'b', adds them together and returns the result. The time complexity of this operation is O(1), meaning it performs a constant number of operations regardless of input size.
In terms of comments, they provide an explanation about what the purpose of the add method is -</t>
        </is>
      </c>
      <c r="I2213" t="n">
        <v>0.0028</v>
      </c>
      <c r="J2213" t="n">
        <v>0.0541</v>
      </c>
      <c r="K2213" t="n">
        <v>0.1087</v>
      </c>
      <c r="L2213" t="inlineStr">
        <is>
          <t>The provided code is a Spring Boot application that generates Software Bill of Materials (SBOM) for an application using the SBOM endpoint in Spring Actuator. The main purpose of this code is to provide information about the dependencies and libraries used by the application.
The input to the program are resources such as files or URLs containing dependency data which it processes into structured output representing</t>
        </is>
      </c>
      <c r="M2213" t="n">
        <v>0.0028</v>
      </c>
      <c r="N2213" t="n">
        <v>0.0541</v>
      </c>
      <c r="O2213" t="n">
        <v>0.1449</v>
      </c>
    </row>
    <row r="2214">
      <c r="A2214" t="inlineStr">
        <is>
          <t>springboot</t>
        </is>
      </c>
      <c r="B2214" t="inlineStr">
        <is>
          <t>integration-test/spring-boot-actuator-integration-tests/src/test/java/org/springframework/boot/actuate/web/mappings/MappingsEndpointIntegrationTests.java</t>
        </is>
      </c>
      <c r="C2214">
        <f>HYPERLINK("https://github.com/spring-projects/spring-boot/blob/master/integration-test/spring-boot-actuator-integration-tests/src/test/java/org/springframework/boot/actuate/web/mappings/MappingsEndpointIntegrationTests.java")</f>
        <v/>
      </c>
      <c r="D2214" t="inlineStr">
        <is>
          <t>The code provided is a part of the Spring Boot framework's web mapping functionality. It provides information about servlets and filters registered in the application context. The summary includes Apache License details which states that any use of this file must comply with it. This code does not perform complex algorithms but rather manages mappings between different components (like Servlets or Filters).
It uses Java</t>
        </is>
      </c>
      <c r="E2214" t="n">
        <v>0.0033</v>
      </c>
      <c r="F2214" t="n">
        <v>0.0541</v>
      </c>
      <c r="G2214" t="n">
        <v>0.1095</v>
      </c>
      <c r="H2214" t="inlineStr">
        <is>
          <t>The code you provided is a simple function for addition of two numbers in Python. The functionality can be summarized as follows:
```plaintext
Function Name : add 
Inputs        : Two numerical values (a and b).
Output        : Returns the sum of input parameters 'a' and 'b'.  
Complexity    : O(1), meaning it</t>
        </is>
      </c>
      <c r="I2214" t="n">
        <v>0.0043</v>
      </c>
      <c r="J2214" t="n">
        <v>0.07140000000000001</v>
      </c>
      <c r="K2214" t="n">
        <v>0.122</v>
      </c>
      <c r="L2214" t="inlineStr">
        <is>
          <t>ThegivenJavaSpringBootapplicationusesMVCframeworktogenerateservletsbasedondifferentrequestsmappingthemtotoprocessedefaultfiltersinthemapsfromtheconfigurationfiles.Italsohandlesfilterregistrationsforcustomizedprocessing.PurposeofthisclassissimplificationsofhowdifferentURLpathsareprocessedyourserver.
Inputs:</t>
        </is>
      </c>
      <c r="M2214" t="n">
        <v>0</v>
      </c>
      <c r="N2214" t="n">
        <v>0</v>
      </c>
      <c r="O2214" t="n">
        <v>0</v>
      </c>
    </row>
    <row r="2215">
      <c r="A2215" t="inlineStr">
        <is>
          <t>springboot</t>
        </is>
      </c>
      <c r="B2215" t="inlineStr">
        <is>
          <t>integration-test/spring-boot-actuator-integration-tests/src/test/java/org/springframework/boot/actuate/logging/LoggersEndpointWebIntegrationTests.java</t>
        </is>
      </c>
      <c r="C2215">
        <f>HYPERLINK("https://github.com/spring-projects/spring-boot/blob/master/integration-test/spring-boot-actuator-integration-tests/src/test/java/org/springframework/boot/actuate/logging/LoggersEndpointWebIntegrationTests.java")</f>
        <v/>
      </c>
      <c r="D2215" t="inlineStr">
        <is>
          <t>The provided code is a part of Spring Boot's logging module which provides functionalities for managing and configuring log levels in an application. It includes unit tests using JUnit 5 framework with Mockito library to mock dependencies. The Apache License version 2.0 applies to this software.
The main class `LoggingProperties` contains properties related to the configuration of logs such as</t>
        </is>
      </c>
      <c r="E2215" t="n">
        <v>0.0036</v>
      </c>
      <c r="F2215" t="n">
        <v>0.0857</v>
      </c>
      <c r="G2215" t="n">
        <v>0.1515</v>
      </c>
      <c r="H2215" t="inlineStr">
        <is>
          <t>The function provided is a simple addition operation that takes two numbers as input and returns their sum. The functionality of this code can be summarized in the following way: "It performs basic arithmetic operations to add two given numbers." Its complexity is O(1), meaning it has constant time complexity because no matter how large the inputs are, the computation will always take the same amount of time.</t>
        </is>
      </c>
      <c r="I2215" t="n">
        <v>0.0032</v>
      </c>
      <c r="J2215" t="n">
        <v>0.0519</v>
      </c>
      <c r="K2215" t="n">
        <v>0.1071</v>
      </c>
      <c r="L2215" t="inlineStr">
        <is>
          <t>The provided code is a part of the Spring Boot Actuator module which provides production ready features for monitoring and managing applications. The main purpose of this code seems to be related to logging level management. It includes import statements for various Java libraries such as `java.util` (for collections classes) and `net.minidev.json` (a JSON library). There are also some J</t>
        </is>
      </c>
      <c r="M2215" t="n">
        <v>0.0036</v>
      </c>
      <c r="N2215" t="n">
        <v>0.0563</v>
      </c>
      <c r="O2215" t="n">
        <v>0.1515</v>
      </c>
    </row>
    <row r="2216">
      <c r="A2216" t="inlineStr">
        <is>
          <t>springboot</t>
        </is>
      </c>
      <c r="B2216" t="inlineStr">
        <is>
          <t>integration-test/spring-boot-actuator-integration-tests/src/test/java/org/springframework/boot/actuate/logging/LogFileWebEndpointWebIntegrationTests.java</t>
        </is>
      </c>
      <c r="C2216">
        <f>HYPERLINK("https://github.com/spring-projects/spring-boot/blob/master/integration-test/spring-boot-actuator-integration-tests/src/test/java/org/springframework/boot/actuate/logging/LogFileWebEndpointWebIntegrationTests.java")</f>
        <v/>
      </c>
      <c r="D2216" t="inlineStr">
        <is>
          <t>The code provided is a part of the Spring Boot framework for logging management and testing web endpoints. It includes Apache License 2.0 in its header which means it's open source software licensed under this license. The code defines an endpoint to manage log files (`logfiles`), provides functionalities like rotating logs or changing log levels based on HTTP requests from clients. This repository contains backend</t>
        </is>
      </c>
      <c r="E2216" t="n">
        <v>0.0037</v>
      </c>
      <c r="F2216" t="n">
        <v>0.0533</v>
      </c>
      <c r="G2216" t="n">
        <v>0.146</v>
      </c>
      <c r="H2216" t="inlineStr">
        <is>
          <t>The provided code is a simple function named "add". It takes two parameters (numbers), adds them together and returns the result. The functionality of this code can be summarized as follows: This function performs addition operation on two numbers and return their sum.
The complexity of this function is O(1). Complexity refers to how much computational resources are required in terms of time</t>
        </is>
      </c>
      <c r="I2216" t="n">
        <v>0.0038</v>
      </c>
      <c r="J2216" t="n">
        <v>0.0833</v>
      </c>
      <c r="K2216" t="n">
        <v>0.1111</v>
      </c>
      <c r="L2216" t="inlineStr">
        <is>
          <t>The provided code is a part of the Spring Boot framework's logging module. It contains two classes that are used for testing web endpoints related to log file management in the application.
Here's an overview of what each class does:
`ChunkingLogReaderTests` and `LogFileControllerIntegrationTests` test different aspects of log file handling such as chunk</t>
        </is>
      </c>
      <c r="M2216" t="n">
        <v>0.0035</v>
      </c>
      <c r="N2216" t="n">
        <v>0.0635</v>
      </c>
      <c r="O2216" t="n">
        <v>0.08</v>
      </c>
    </row>
    <row r="2217">
      <c r="A2217" t="inlineStr">
        <is>
          <t>springboot</t>
        </is>
      </c>
      <c r="B2217" t="inlineStr">
        <is>
          <t>integration-test/spring-boot-actuator-integration-tests/src/test/java/org/springframework/boot/actuate/info/InfoEndpointWebIntegrationTests.java</t>
        </is>
      </c>
      <c r="C2217">
        <f>HYPERLINK("https://github.com/spring-projects/spring-boot/blob/master/integration-test/spring-boot-actuator-integration-tests/src/test/java/org/springframework/boot/actuate/info/InfoEndpointWebIntegrationTests.java")</f>
        <v/>
      </c>
      <c r="D2217" t="inlineStr">
        <is>
          <t>The code provided is a configuration class for Spring Boot Actuator's Info endpoint. The Info endpoint provides arbitrary application info which can be retrieved via HTTP GET requests at the /actuator/info URL path. It does not have any functionality related to core algorithms or complex data structures as indicated by its complexity O(N). This repository contains backend software components implementing various features and functionalities</t>
        </is>
      </c>
      <c r="E2217" t="n">
        <v>0.0043</v>
      </c>
      <c r="F2217" t="n">
        <v>0.1067</v>
      </c>
      <c r="G2217" t="n">
        <v>0.2206</v>
      </c>
      <c r="H2217" t="inlineStr">
        <is>
          <t>The code provided is a simple function for addition of two numbers in Python named add(). It takes two arguments and returns their sum. The time complexity of this operation is O(1), which means it performs the same number of operations regardless of the size of the input data.
In Java, you would have something similar with a method that also has a time complexity of O(1).</t>
        </is>
      </c>
      <c r="I2217" t="n">
        <v>0.0027</v>
      </c>
      <c r="J2217" t="n">
        <v>0.0519</v>
      </c>
      <c r="K2217" t="n">
        <v>0.1079</v>
      </c>
      <c r="L2217" t="inlineStr">
        <is>
          <t>The code provided is a Spring Boot application configuration for an actuator endpoint that provides information about the running application's environment and details of its dependencies.
It does not contain any logic to process inputs or generate outputs as it doesn't have methods with @RequestMapping annotation which would typically be used in controllers handling HTTP requests. Instead, this class configures beans related to the management</t>
        </is>
      </c>
      <c r="M2217" t="n">
        <v>0.0028</v>
      </c>
      <c r="N2217" t="n">
        <v>0.0533</v>
      </c>
      <c r="O2217" t="n">
        <v>0.1095</v>
      </c>
    </row>
    <row r="2218">
      <c r="A2218" t="inlineStr">
        <is>
          <t>springboot</t>
        </is>
      </c>
      <c r="B2218" t="inlineStr">
        <is>
          <t>integration-test/spring-boot-actuator-integration-tests/src/test/java/org/springframework/boot/actuate/metrics/MetricsEndpointWebIntegrationTests.java</t>
        </is>
      </c>
      <c r="C2218">
        <f>HYPERLINK("https://github.com/spring-projects/spring-boot/blob/master/integration-test/spring-boot-actuator-integration-tests/src/test/java/org/springframework/boot/actuate/metrics/MetricsEndpointWebIntegrationTests.java")</f>
        <v/>
      </c>
      <c r="D2218" t="inlineStr">
        <is>
          <t>The code provided is a Java class that uses Micrometer to bind JVM memory metrics to a MeterRegistry object. It's licensed under the Apache License 2.0 and it provides an AS IS basis for distribution of software without any warranties or conditions. The specific language governing permissions and limitations are governed by the license.
# Instructions: Provide a concise</t>
        </is>
      </c>
      <c r="E2218" t="n">
        <v>0.0037</v>
      </c>
      <c r="F2218" t="n">
        <v>0.0588</v>
      </c>
      <c r="G2218" t="n">
        <v>0.1145</v>
      </c>
      <c r="H2218" t="inlineStr">
        <is>
          <t>The provided code is a Java package that contains backend software components related to metrics and monitoring using Micrometer library. It includes classes for configuring the simple meter registry, binding JVM memory metrics, mock clock etc. The main function of this package seems not be defined in the given snippet but it has multiple methods which are used to configure and bind various types of metrics on demand.</t>
        </is>
      </c>
      <c r="I2218" t="n">
        <v>0.0032</v>
      </c>
      <c r="J2218" t="n">
        <v>0.0789</v>
      </c>
      <c r="K2218" t="n">
        <v>0.1429</v>
      </c>
      <c r="L2218" t="inlineStr">
        <is>
          <t>The code provided is a part of Spring Boot's actuator metrics module. It binds JVM memory usage to Micrometer meters and provides utilities for gathering common JVM metrics such as heap size, non-heap size etc.
Main functionality involves the binding of JVM memory related metrics (like used memory, committed memory etc.) using an instance of `Meter</t>
        </is>
      </c>
      <c r="M2218" t="n">
        <v>0.0039</v>
      </c>
      <c r="N2218" t="n">
        <v>0.0606</v>
      </c>
      <c r="O2218" t="n">
        <v>0.0781</v>
      </c>
    </row>
    <row r="2219">
      <c r="A2219" t="inlineStr">
        <is>
          <t>springboot</t>
        </is>
      </c>
      <c r="B2219" t="inlineStr">
        <is>
          <t>integration-test/spring-boot-actuator-integration-tests/src/test/java/org/springframework/boot/actuate/metrics/export/prometheus/PrometheusScrapeEndpointIntegrationTests.java</t>
        </is>
      </c>
      <c r="C2219">
        <f>HYPERLINK("https://github.com/spring-projects/spring-boot/blob/master/integration-test/spring-boot-actuator-integration-tests/src/test/java/org/springframework/boot/actuate/metrics/export/prometheus/PrometheusScrapeEndpointIntegrationTests.java")</f>
        <v/>
      </c>
      <c r="D2219" t="inlineStr">
        <is>
          <t>The code provided is a part of the Spring Boot application that exports metrics in Prometheus format using Micrometer and Prometheus Metrics libraries. The functionality includes setting up properties for configuration and creating instances of Meter Registry which are used to record measurements and counts. It also contains licensing information about Apache License 2.0.
It uses micrometer's</t>
        </is>
      </c>
      <c r="E2219" t="n">
        <v>0.0038</v>
      </c>
      <c r="F2219" t="n">
        <v>0.0597</v>
      </c>
      <c r="G2219" t="n">
        <v>0.0775</v>
      </c>
      <c r="H2219" t="inlineStr">
        <is>
          <t>The provided code is a Java function for adding two numbers using the + operator. The functionality of this code can be summarized as follows: This function takes in two parameters 'a' and 'b', performs an addition operation on them and returns the result. It has a time complexity of O(1), meaning it executes in constant time regardless of input size.
In terms of</t>
        </is>
      </c>
      <c r="I2219" t="n">
        <v>0.0037</v>
      </c>
      <c r="J2219" t="n">
        <v>0.0833</v>
      </c>
      <c r="K2219" t="n">
        <v>0.1103</v>
      </c>
      <c r="L2219" t="inlineStr">
        <is>
          <t>The code provided is a part of the Spring Boot Actuator module that provides metrics export functionality for Prometheus monitoring system. The main purpose of this class seems to be managing and exposing various application metrics through a HTTP endpoint at "/actuator/prometheus". It uses Micrometer library which acts as an instrumentation framework for tracking metrics in applications. This includes counters,</t>
        </is>
      </c>
      <c r="M2219" t="n">
        <v>0.0043</v>
      </c>
      <c r="N2219" t="n">
        <v>0.08699999999999999</v>
      </c>
      <c r="O2219" t="n">
        <v>0.1515</v>
      </c>
    </row>
    <row r="2220">
      <c r="A2220" t="inlineStr">
        <is>
          <t>springboot</t>
        </is>
      </c>
      <c r="B2220" t="inlineStr">
        <is>
          <t>integration-test/spring-boot-actuator-integration-tests/src/test/java/org/springframework/boot/actuate/endpoint/web/annotation/BaseConfiguration.java</t>
        </is>
      </c>
      <c r="C2220">
        <f>HYPERLINK("https://github.com/spring-projects/spring-boot/blob/master/integration-test/spring-boot-actuator-integration-tests/src/test/java/org/springframework/boot/actuate/endpoint/web/annotation/BaseConfiguration.java")</f>
        <v/>
      </c>
      <c r="D2220" t="inlineStr">
        <is>
          <t>```plaintext
The code provided is a Java class that defines an annotation for Spring Boot endpoints. The purpose of this annotation is to enable the creation and configuration of HTTP endpoints in a Spring application without needing to write any controller or request mapping code. 
It uses various features from Spring such as ObjectProvider (for dependency injection), ParameterValueMapper (for parameter</t>
        </is>
      </c>
      <c r="E2220" t="n">
        <v>0.003</v>
      </c>
      <c r="F2220" t="n">
        <v>0.0588</v>
      </c>
      <c r="G2220" t="n">
        <v>0.1136</v>
      </c>
      <c r="H2220" t="inlineStr">
        <is>
          <t>The provided code is a Java package that contains backend software components related to Spring Boot's actuator endpoints and web annotations. The implementation of core algorithms are present in the repository but not visible due to complexity. This repository also includes Apache License 2.0 information at the top for copyright protection.
Please provide a concise, clear, and direct summary of the functionality of</t>
        </is>
      </c>
      <c r="I2220" t="n">
        <v>0.0043</v>
      </c>
      <c r="J2220" t="n">
        <v>0.1096</v>
      </c>
      <c r="K2220" t="n">
        <v>0.2222</v>
      </c>
      <c r="L2220" t="inlineStr">
        <is>
          <t>The provided code is part of a Spring Boot application and it's related to the configuration for an endpoint in that application. The purpose of this code seems to be defining how HTTP requests should be mapped to specific beans within the application context.
It does so by creating a custom annotation `@EndpointWebExtension` which extends from `ServletComponentScanBeanRegistrarSupport`. This</t>
        </is>
      </c>
      <c r="M2220" t="n">
        <v>0.0037</v>
      </c>
      <c r="N2220" t="n">
        <v>0.0299</v>
      </c>
      <c r="O2220" t="n">
        <v>0.1154</v>
      </c>
    </row>
    <row r="2221">
      <c r="A2221" t="inlineStr">
        <is>
          <t>springboot</t>
        </is>
      </c>
      <c r="B2221" t="inlineStr">
        <is>
          <t>integration-test/spring-boot-actuator-integration-tests/src/test/java/org/springframework/boot/actuate/endpoint/web/annotation/AbstractWebEndpointIntegrationTests.java</t>
        </is>
      </c>
      <c r="C2221">
        <f>HYPERLINK("https://github.com/spring-projects/spring-boot/blob/master/integration-test/spring-boot-actuator-integration-tests/src/test/java/org/springframework/boot/actuate/endpoint/web/annotation/AbstractWebEndpointIntegrationTests.java")</f>
        <v/>
      </c>
      <c r="D2221" t="inlineStr">
        <is>
          <t>The code provided is a Java class that defines an endpoint for Spring Boot's Actuator module to expose web endpoints. This can be useful in monitoring and management of the application where you have control over HTTP requests made by users or other components within your system. The license at the top indicates it is licensed under Apache 2.0 License which means anyone can use this software as long as</t>
        </is>
      </c>
      <c r="E2221" t="n">
        <v>0.0037</v>
      </c>
      <c r="F2221" t="n">
        <v>0.05</v>
      </c>
      <c r="G2221" t="n">
        <v>0.262</v>
      </c>
      <c r="H2221" t="inlineStr">
        <is>
          <t>The provided code is a Java package that contains backend software components for implementing core algorithms. The complexity of the implementation appears to be O(n), where n represents some form of iteration over data structures or arrays. However, without further context or specifics about what's being implemented in this package, it's hard to provide an exact summary. 
The copyright notice at the top</t>
        </is>
      </c>
      <c r="I2221" t="n">
        <v>0.0034</v>
      </c>
      <c r="J2221" t="n">
        <v>0.08110000000000001</v>
      </c>
      <c r="K2221" t="n">
        <v>0.1481</v>
      </c>
      <c r="L2221" t="inlineStr">
        <is>
          <t>ThegivenJavaSpringBootcodehasbeenanalyzedforgeneratingaConcise,ClearandDirectSummary.ItappearsstoimplementWebEndpointAnnotationswhichallowaccessmanagementbasedonroles.KeyfeaturesincludeCustomizableHTTPMethods,AuthenticationSupportviaSecurityContextHolder,andRequestMappingConfigurationthroughPathVariables.InputparametersincludesHttpServletRequestandPrincipalobjects.Theoutput</t>
        </is>
      </c>
      <c r="M2221" t="n">
        <v>0</v>
      </c>
      <c r="N2221" t="n">
        <v>0</v>
      </c>
      <c r="O2221" t="n">
        <v>0</v>
      </c>
    </row>
    <row r="2222">
      <c r="A2222" t="inlineStr">
        <is>
          <t>springboot</t>
        </is>
      </c>
      <c r="B2222" t="inlineStr">
        <is>
          <t>integration-test/spring-boot-actuator-integration-tests/src/test/java/org/springframework/boot/actuate/endpoint/web/jersey/JerseyWebEndpointIntegrationTests.java</t>
        </is>
      </c>
      <c r="C2222">
        <f>HYPERLINK("https://github.com/spring-projects/spring-boot/blob/master/integration-test/spring-boot-actuator-integration-tests/src/test/java/org/springframework/boot/actuate/endpoint/web/jersey/JerseyWebEndpointIntegrationTests.java")</f>
        <v/>
      </c>
      <c r="D2222" t="inlineStr">
        <is>
          <t>The code provided is a Java class that implements the Jersey filter for Spring Boot Actuator's web endpoint monitoring. It handles HTTP requests and responses to monitor their statuses and details. The copyright information at the top of the file specifies Apache License 2.0 as the open source license which allows reuse with attribution. This implementation uses Jackson library (`com.fasterxml.</t>
        </is>
      </c>
      <c r="E2222" t="n">
        <v>0.004</v>
      </c>
      <c r="F2222" t="n">
        <v>0.0563</v>
      </c>
      <c r="G2222" t="n">
        <v>0.1515</v>
      </c>
      <c r="H2222" t="inlineStr">
        <is>
          <t>The provided code is a Java implementation of the add function which adds two numbers together using the + operator. The time complexity of this operation is O(1), meaning it takes constant time to perform regardless of input size.
Here's an example of how you can use this function in your program:
```java
public class Main {
    public static void main(String[]</t>
        </is>
      </c>
      <c r="I2222" t="n">
        <v>0</v>
      </c>
      <c r="J2222" t="n">
        <v>0.0571</v>
      </c>
      <c r="K2222" t="n">
        <v>0.1128</v>
      </c>
      <c r="L2222" t="inlineStr">
        <is>
          <t>The code provided is a Jersey filter that implements Spring Boot's Actuator feature for web endpoints. It filters HTTP requests and responses to add additional information about the request or response such as headers, status codes etc. The main purpose of this class seems to be enhancing monitoring capabilities by providing more detailed insights into incoming requests and outgoing responses.
It uses Jackson library (`</t>
        </is>
      </c>
      <c r="M2222" t="n">
        <v>0.0033</v>
      </c>
      <c r="N2222" t="n">
        <v>0.0548</v>
      </c>
      <c r="O2222" t="n">
        <v>0.146</v>
      </c>
    </row>
    <row r="2223">
      <c r="A2223" t="inlineStr">
        <is>
          <t>springboot</t>
        </is>
      </c>
      <c r="B2223" t="inlineStr">
        <is>
          <t>integration-test/spring-boot-actuator-integration-tests/src/test/java/org/springframework/boot/actuate/endpoint/web/servlet/ControllerEndpointHandlerMappingIntegrationTests.java</t>
        </is>
      </c>
      <c r="C2223">
        <f>HYPERLINK("https://github.com/spring-projects/spring-boot/blob/master/integration-test/spring-boot-actuator-integration-tests/src/test/java/org/springframework/boot/actuate/endpoint/web/servlet/ControllerEndpointHandlerMappingIntegrationTests.java")</f>
        <v/>
      </c>
      <c r="D2223" t="inlineStr">
        <is>
          <t>The code provided is a Java class that represents an endpoint for monitoring and management in Spring Boot applications. It's licensed under the Apache License 2.0. The license permits anyone to use this file except as specified by the terms of the license which can be found at https://www.apache.org/licenses/LICENSE-2.0. If you don't agree with</t>
        </is>
      </c>
      <c r="E2223" t="n">
        <v>0.0034</v>
      </c>
      <c r="F2223" t="n">
        <v>0.0278</v>
      </c>
      <c r="G2223" t="n">
        <v>0.119</v>
      </c>
      <c r="H2223" t="inlineStr">
        <is>
          <t>The provided code is a simple function for addition of two numbers in Java named `add` which takes two parameters and returns their sum. The time complexity of this operation is O(1), meaning it performs constant amount of work regardless of the size of input data.
In terms of file structure, there are comments at the top describing licensing information followed by package declaration and imports.</t>
        </is>
      </c>
      <c r="I2223" t="n">
        <v>0.0028</v>
      </c>
      <c r="J2223" t="n">
        <v>0.0533</v>
      </c>
      <c r="K2223" t="n">
        <v>0.1087</v>
      </c>
      <c r="L2223" t="inlineStr">
        <is>
          <t>ThegivenJavaSpringBootcodeincludesaWebServletbasedcustomizedActuatorEndpoint.IthasamainclassnamedApplicationwhichcontainsthreeendpoints:/health,/info,/metrics.TheseendpointsallowaccessibilitythroughHTTPrequestsonport8080.Thereismultipleconfigurationforsecuritysettingsincludingauthenticationandauthorization.Moreover,thereisanadditional</t>
        </is>
      </c>
      <c r="M2223" t="n">
        <v>0</v>
      </c>
      <c r="N2223" t="n">
        <v>0</v>
      </c>
      <c r="O2223" t="n">
        <v>0</v>
      </c>
    </row>
    <row r="2224">
      <c r="A2224" t="inlineStr">
        <is>
          <t>springboot</t>
        </is>
      </c>
      <c r="B2224" t="inlineStr">
        <is>
          <t>integration-test/spring-boot-actuator-integration-tests/src/test/java/org/springframework/boot/actuate/endpoint/web/servlet/MvcWebEndpointIntegrationTests.java</t>
        </is>
      </c>
      <c r="C2224">
        <f>HYPERLINK("https://github.com/spring-projects/spring-boot/blob/master/integration-test/spring-boot-actuator-integration-tests/src/test/java/org/springframework/boot/actuate/endpoint/web/servlet/MvcWebEndpointIntegrationTests.java")</f>
        <v/>
      </c>
      <c r="D2224" t="inlineStr">
        <is>
          <t>The code provided is a filter implementation in Java that implements the Filter interface from Jakarta Servlets API to intercept HTTP requests and responses before they reach their intended destinations. The purpose of this class seems to be for Spring Boot Actuator's web servlet endpoint monitoring. This specific piece of functionality allows you to monitor incoming request details such as headers, parameters etc., along with</t>
        </is>
      </c>
      <c r="E2224" t="n">
        <v>0.004</v>
      </c>
      <c r="F2224" t="n">
        <v>0.0541</v>
      </c>
      <c r="G2224" t="n">
        <v>0.146</v>
      </c>
      <c r="H2224" t="inlineStr">
        <is>
          <t>The provided code is a filter that implements the servlet API for filtering incoming requests and outgoing responses in Spring Boot applications. It's designed to be used with JUnit 5 tests. The purpose of this class seems to be to intercept HTTP requests before they reach their intended destinations (preprocessing), or after they have been processed by the server but prior to being sent back as response</t>
        </is>
      </c>
      <c r="I2224" t="n">
        <v>0.0032</v>
      </c>
      <c r="J2224" t="n">
        <v>0.0526</v>
      </c>
      <c r="K2224" t="n">
        <v>0.1439</v>
      </c>
      <c r="L2224" t="inlineStr">
        <is>
          <t>The provided code is a Java class that implements the Filter interface from Jakarta Servlets API and it's used for web application monitoring purposes. The main purpose of this class seems to be filtering incoming HTTP requests based on whether they match certain criteria (possibly related to authorization or authentication). 
It has two methods - `init()` which initializes some internal state</t>
        </is>
      </c>
      <c r="M2224" t="n">
        <v>0.0036</v>
      </c>
      <c r="N2224" t="n">
        <v>0.058</v>
      </c>
      <c r="O2224" t="n">
        <v>0.1504</v>
      </c>
    </row>
    <row r="2225">
      <c r="A2225" t="inlineStr">
        <is>
          <t>springboot</t>
        </is>
      </c>
      <c r="B2225" t="inlineStr">
        <is>
          <t>integration-test/spring-boot-actuator-integration-tests/src/test/java/org/springframework/boot/actuate/endpoint/web/reactive/ControllerEndpointHandlerMappingIntegrationTests.java</t>
        </is>
      </c>
      <c r="C2225">
        <f>HYPERLINK("https://github.com/spring-projects/spring-boot/blob/master/integration-test/spring-boot-actuator-integration-tests/src/test/java/org/springframework/boot/actuate/endpoint/web/reactive/ControllerEndpointHandlerMappingIntegrationTests.java")</f>
        <v/>
      </c>
      <c r="D2225" t="inlineStr">
        <is>
          <t>The code provided is a part of the Spring Boot framework's actuator module for managing and monitoring web applications. It provides functionalities related to reactive endpoints in an application. The copyright information at the top indicates that this software is licensed under Apache License 2.0. This license allows users to use it without restrictions or obligations except as stated by applicable law.
The main</t>
        </is>
      </c>
      <c r="E2225" t="n">
        <v>0.004</v>
      </c>
      <c r="F2225" t="n">
        <v>0.0541</v>
      </c>
      <c r="G2225" t="n">
        <v>0.1838</v>
      </c>
      <c r="H2225" t="inlineStr">
        <is>
          <t>The provided code is a Java package that contains backend software components for Spring Boot applications. The main component of interest appears to be the `WebFluxUtils` class which implements core algorithms related to web flux utilities. This includes handling HTTP requests and responses as well as managing timeouts.
In this context, it seems like there's an addition function in place (named 'add</t>
        </is>
      </c>
      <c r="I2225" t="n">
        <v>0.0078</v>
      </c>
      <c r="J2225" t="n">
        <v>0.1127</v>
      </c>
      <c r="K2225" t="n">
        <v>0.3182</v>
      </c>
      <c r="L2225" t="inlineStr">
        <is>
          <t>ThegivenJavaSpringBootcodeincludesaReactorWebEndpointExtensionthatallowsforcustomizationofwebfluxapplicationserverrequesthandlingprocessesincludingadvancedmonitoringsupportandmore.ItusesvariousfeaturesfromSpringFrameworklike@Configuration&amp;@Beanannotationsthroughoutitsimplementation.
 The main purpose of the code is to provide customizable monitoring</t>
        </is>
      </c>
      <c r="M2225" t="n">
        <v>0</v>
      </c>
      <c r="N2225" t="n">
        <v>0</v>
      </c>
      <c r="O2225" t="n">
        <v>0</v>
      </c>
    </row>
    <row r="2226">
      <c r="A2226" t="inlineStr">
        <is>
          <t>springboot</t>
        </is>
      </c>
      <c r="B2226" t="inlineStr">
        <is>
          <t>integration-test/spring-boot-actuator-integration-tests/src/test/java/org/springframework/boot/actuate/endpoint/web/reactive/WebFluxEndpointIntegrationTests.java</t>
        </is>
      </c>
      <c r="C2226">
        <f>HYPERLINK("https://github.com/spring-projects/spring-boot/blob/master/integration-test/spring-boot-actuator-integration-tests/src/test/java/org/springframework/boot/actuate/endpoint/web/reactive/WebFluxEndpointIntegrationTests.java")</f>
        <v/>
      </c>
      <c r="D2226" t="inlineStr">
        <is>
          <t>The code provided is a Java class for managing web endpoints in Spring Boot framework with reactive programming model. It contains the definition of an endpoint and its associated links and media types. The copyright information at the top indicates that it's licensed under Apache License 2.0. This license requires any derivative works to also be open sourced under this same license.
There are two</t>
        </is>
      </c>
      <c r="E2226" t="n">
        <v>0.0033</v>
      </c>
      <c r="F2226" t="n">
        <v>0.0267</v>
      </c>
      <c r="G2226" t="n">
        <v>0.1095</v>
      </c>
      <c r="H2226" t="inlineStr">
        <is>
          <t>The code provided is a Java package for Spring Boot that contains backend software components related to web endpoints and their associated functionality. The main component of interest appears to be the `EndpointLinksResolver` class which seems to handle the creation of hyperlinks in response payloads based on endpoint mappings.
The function `getAllLinks()` within this class returns all links given an</t>
        </is>
      </c>
      <c r="I2226" t="n">
        <v>0.0036</v>
      </c>
      <c r="J2226" t="n">
        <v>0.0588</v>
      </c>
      <c r="K2226" t="n">
        <v>0.1515</v>
      </c>
      <c r="L2226" t="inlineStr">
        <is>
          <t>The provided code is a part of Spring Boot's actuator module that handles the creation and mapping of web endpoints for reactive programming model in Spring applications. It provides functionality to link related endpoints together, map endpoints to specific media types, and handle endpoint mappings.
Main Functionality: 
1. The class `WebFluxEndpointHandlerMapping` creates an</t>
        </is>
      </c>
      <c r="M2226" t="n">
        <v>0.0045</v>
      </c>
      <c r="N2226" t="n">
        <v>0.0968</v>
      </c>
      <c r="O2226" t="n">
        <v>0.12</v>
      </c>
    </row>
    <row r="2227">
      <c r="A2227" t="inlineStr">
        <is>
          <t>springboot</t>
        </is>
      </c>
      <c r="B2227" t="inlineStr">
        <is>
          <t>integration-test/spring-boot-actuator-integration-tests/src/test/java/org/springframework/boot/actuate/management/HeapDumpWebEndpointWebIntegrationTests.java</t>
        </is>
      </c>
      <c r="C2227">
        <f>HYPERLINK("https://github.com/spring-projects/spring-boot/blob/master/integration-test/spring-boot-actuator-integration-tests/src/test/java/org/springframework/boot/actuate/management/HeapDumpWebEndpointWebIntegrationTests.java")</f>
        <v/>
      </c>
      <c r="D2227" t="inlineStr">
        <is>
          <t>The code provided is a Java class that extends the WebEndpointTest from Spring Boot Actuator for testing web endpoints of an application. It also uses Awaitility to wait on asynchronous operations and Junit 5 for unit tests. The Apache License version 2.0 applies to this code.
It defines several methods including @BeforeEach (a lifecycle method in</t>
        </is>
      </c>
      <c r="E2227" t="n">
        <v>0.0033</v>
      </c>
      <c r="F2227" t="n">
        <v>0.0308</v>
      </c>
      <c r="G2227" t="n">
        <v>0.1172</v>
      </c>
      <c r="H2227" t="inlineStr">
        <is>
          <t>The provided code is a Java function for adding two numbers (`add()`). The functionality of this code is to add the parameters `a` and `b` together and return their sum. It has a time complexity of O(1), meaning it performs a fixed number of operations regardless of input size.
In terms of licensing, the code follows Apache License 2.</t>
        </is>
      </c>
      <c r="I2227" t="n">
        <v>0.0037</v>
      </c>
      <c r="J2227" t="n">
        <v>0.0588</v>
      </c>
      <c r="K2227" t="n">
        <v>0.1145</v>
      </c>
      <c r="L2227" t="inlineStr">
        <is>
          <t>The given code is a Spring Boot application that tests the functionality of web endpoints using Junit 5 and Awaitility for asynchronous operations. The main purpose of this code is to verify if certain management endpoints are accessible within a specific timeframe after starting an application context with embedded Tomcat server.
It takes in input from various sources including files located on disk or URLs</t>
        </is>
      </c>
      <c r="M2227" t="n">
        <v>0.0033</v>
      </c>
      <c r="N2227" t="n">
        <v>0.0548</v>
      </c>
      <c r="O2227" t="n">
        <v>0.1095</v>
      </c>
    </row>
    <row r="2228">
      <c r="A2228" t="inlineStr">
        <is>
          <t>springboot</t>
        </is>
      </c>
      <c r="B2228" t="inlineStr">
        <is>
          <t>integration-test/spring-boot-actuator-integration-tests/src/test/java/org/springframework/boot/actuate/management/ThreadDumpEndpointWebIntegrationTests.java</t>
        </is>
      </c>
      <c r="C2228">
        <f>HYPERLINK("https://github.com/spring-projects/spring-boot/blob/master/integration-test/spring-boot-actuator-integration-tests/src/test/java/org/springframework/boot/actuate/management/ThreadDumpEndpointWebIntegrationTests.java")</f>
        <v/>
      </c>
      <c r="D2228" t="inlineStr">
        <is>
          <t>The code provided is a configuration class for setting up endpoints in the Spring Boot framework using WebFlux (Reactor). It's licensed under Apache 2.0 and contains comments explaining its purpose and functionality. The main components are an endpoint test class `WebEndpointTest` and beans that define HTTP handlers to expose certain management information as web endpoints. This includes features like health checks</t>
        </is>
      </c>
      <c r="E2228" t="n">
        <v>0.0036</v>
      </c>
      <c r="F2228" t="n">
        <v>0.0563</v>
      </c>
      <c r="G2228" t="n">
        <v>0.1128</v>
      </c>
      <c r="H2228" t="inlineStr">
        <is>
          <t>The provided code is a simple function that adds two numbers together using the `+` operator in Java. The complexity of this operation is O(1), meaning it takes constant time regardless of input size. This function does not repeat any code and its functionality can be summarized as follows: "Accepts two parameters (numbers), performs an addition operation on them, and returns the result." Now</t>
        </is>
      </c>
      <c r="I2228" t="n">
        <v>0.0037</v>
      </c>
      <c r="J2228" t="n">
        <v>0.0833</v>
      </c>
      <c r="K2228" t="n">
        <v>0.1103</v>
      </c>
      <c r="L2228" t="inlineStr">
        <is>
          <t>The provided code is a Spring Boot application that configures and tests an endpoint for the management module of a web application using WebFlux (Reactor). The main purpose of this configuration class seems to be setting up beans related to testing HTTP endpoints in a reactive manner with WebTestClient from Spring's test library.
There are two methods defined here: 
`</t>
        </is>
      </c>
      <c r="M2228" t="n">
        <v>0.0036</v>
      </c>
      <c r="N2228" t="n">
        <v>0.0294</v>
      </c>
      <c r="O2228" t="n">
        <v>0.1515</v>
      </c>
    </row>
    <row r="2229">
      <c r="A2229" t="inlineStr">
        <is>
          <t>springboot</t>
        </is>
      </c>
      <c r="B2229" t="inlineStr">
        <is>
          <t>integration-test/spring-boot-actuator-integration-tests/src/test/java/org/springframework/boot/actuate/audit/AuditEventsEndpointWebIntegrationTests.java</t>
        </is>
      </c>
      <c r="C2229">
        <f>HYPERLINK("https://github.com/spring-projects/spring-boot/blob/master/integration-test/spring-boot-actuator-integration-tests/src/test/java/org/springframework/boot/actuate/audit/AuditEventsEndpointWebIntegrationTests.java")</f>
        <v/>
      </c>
      <c r="D2229" t="inlineStr">
        <is>
          <t>The code provided is a configuration class for setting up auditing in Spring Boot application using the minidev JSON library to handle JSON data. The license at the top of the file specifies that it's licensed under Apache License 2.0 and any modifications or usage must comply with this license agreement. There are also limitations specified on what can be done without explicit permission from authors. Summary provides an</t>
        </is>
      </c>
      <c r="E2229" t="n">
        <v>0.0026</v>
      </c>
      <c r="F2229" t="n">
        <v>0.0253</v>
      </c>
      <c r="G2229" t="n">
        <v>0.1064</v>
      </c>
      <c r="H2229" t="inlineStr">
        <is>
          <t>The provided code is a simple function for addition of two numbers in Java language. It takes two parameters 'a' and 'b', adds them together and returns the result. The time complexity of this operation is O(1), meaning it performs a fixed number of operations regardless of input size.
Here are some details about the code:
- Function Name: add()</t>
        </is>
      </c>
      <c r="I2229" t="n">
        <v>0.003</v>
      </c>
      <c r="J2229" t="n">
        <v>0.0588</v>
      </c>
      <c r="K2229" t="n">
        <v>0.1136</v>
      </c>
      <c r="L2229" t="inlineStr">
        <is>
          <t>The provided code is a Spring Boot application that configures an audit functionality for the web endpoints of a Spring Application. It uses JSON arrays to store and retrieve data about each request made to the server's endpoints. The main purpose of this configuration class seems to be managing access control by storing information about requests (including timestamps) in a secure location.
It does not</t>
        </is>
      </c>
      <c r="M2229" t="n">
        <v>0.0033</v>
      </c>
      <c r="N2229" t="n">
        <v>0.0541</v>
      </c>
      <c r="O2229" t="n">
        <v>0.1095</v>
      </c>
    </row>
    <row r="2230">
      <c r="A2230" t="inlineStr">
        <is>
          <t>springboot</t>
        </is>
      </c>
      <c r="B2230" t="inlineStr">
        <is>
          <t>integration-test/spring-boot-actuator-integration-tests/src/test/java/org/springframework/boot/actuate/health/TestHealthEndpointGroup.java</t>
        </is>
      </c>
      <c r="C2230">
        <f>HYPERLINK("https://github.com/spring-projects/spring-boot/blob/master/integration-test/spring-boot-actuator-integration-tests/src/test/java/org/springframework/boot/actuate/health/TestHealthEndpointGroup.java")</f>
        <v/>
      </c>
      <c r="D2230" t="inlineStr">
        <is>
          <t>The provided code is a part of the Spring Boot framework's health actuator module which provides functionalities for monitoring and managing application health statuses. It includes various classes related to endpoint security contexts, additional health endpoint paths, health endpoint groups etc., but does not seem to contain any core algorithm implementations or complex data structures. The complexity seems to be O(n), where n represents number of</t>
        </is>
      </c>
      <c r="E2230" t="n">
        <v>0.0036</v>
      </c>
      <c r="F2230" t="n">
        <v>0.0789</v>
      </c>
      <c r="G2230" t="n">
        <v>0.1812</v>
      </c>
      <c r="H2230" t="inlineStr">
        <is>
          <t>The provided code is a Java package that contains backend software components related to Spring Boot's health actuator endpoints. The main class in this package seems to be `AdditionalHealthEndpointPath` which extends the functionality of Spring BootâĢĻs built-in HealthIndicators by allowing you to define your own custom checks and groups them under specific categories for easy navigation via an endpoint (for example,</t>
        </is>
      </c>
      <c r="I2230" t="n">
        <v>0.0039</v>
      </c>
      <c r="J2230" t="n">
        <v>0.0833</v>
      </c>
      <c r="K2230" t="n">
        <v>0.1504</v>
      </c>
      <c r="L2230" t="inlineStr">
        <is>
          <t>The code provided is a part of the Spring Boot framework's health actuator module. It provides various endpoints for monitoring and managing application health statuses. The main purpose of this code is to provide an endpoint that can be used by external systems or services to check the health of your applications.
It defines several classes related to health checks such as `HSummary` (a</t>
        </is>
      </c>
      <c r="M2230" t="n">
        <v>0.0028</v>
      </c>
      <c r="N2230" t="n">
        <v>0.0548</v>
      </c>
      <c r="O2230" t="n">
        <v>0.1103</v>
      </c>
    </row>
    <row r="2231">
      <c r="A2231" t="inlineStr">
        <is>
          <t>springboot</t>
        </is>
      </c>
      <c r="B2231" t="inlineStr">
        <is>
          <t>integration-test/spring-boot-actuator-integration-tests/src/test/java/org/springframework/boot/actuate/health/HealthEndpointWebIntegrationTests.java</t>
        </is>
      </c>
      <c r="C2231">
        <f>HYPERLINK("https://github.com/spring-projects/spring-boot/blob/master/integration-test/spring-boot-actuator-integration-tests/src/test/java/org/springframework/boot/actuate/health/HealthEndpointWebIntegrationTests.java")</f>
        <v/>
      </c>
      <c r="D2231" t="inlineStr">
        <is>
          <t>The provided code is a part of the Spring Boot framework's health monitoring module. It defines an interface for customizing application health checks and provides implementations that can be used to define your own health indicators. The complexity of this implementation appears to be O(N), but without more specific details about how it works or what data structures are being utilized, we cannot confirm with absolute certainty.</t>
        </is>
      </c>
      <c r="E2231" t="n">
        <v>0.0027</v>
      </c>
      <c r="F2231" t="n">
        <v>0.0519</v>
      </c>
      <c r="G2231" t="n">
        <v>0.1439</v>
      </c>
      <c r="H2231" t="inlineStr">
        <is>
          <t>The provided code is a Java package that contains backend software components for Spring Boot actuator health checks. It includes implementation of core algorithms and utilizes reactive programming with the Reactor library. The copyright information at the beginning indicates it's licensed under Apache License 2.0. This repository appears to contain initial code base commit.
However, without further context or specific requirements, I</t>
        </is>
      </c>
      <c r="I2231" t="n">
        <v>0.0042</v>
      </c>
      <c r="J2231" t="n">
        <v>0.1111</v>
      </c>
      <c r="K2231" t="n">
        <v>0.1866</v>
      </c>
      <c r="L2231" t="inlineStr">
        <is>
          <t>The code provided is a part of the Spring Boot's actuator module which provides health information about various components in an application. It defines a custom HealthIndicator interface and several implementations for different types of checks (like disk space, database connection etc.). The main purpose of this code seems to be creating a new type of health indicator by extending AbstractHealthIndicator class and implementing its</t>
        </is>
      </c>
      <c r="M2231" t="n">
        <v>0.0033</v>
      </c>
      <c r="N2231" t="n">
        <v>0.08110000000000001</v>
      </c>
      <c r="O2231" t="n">
        <v>0.1825</v>
      </c>
    </row>
    <row r="2232">
      <c r="A2232" t="inlineStr">
        <is>
          <t>springboot</t>
        </is>
      </c>
      <c r="B2232" t="inlineStr">
        <is>
          <t>integration-test/spring-boot-test-integration-tests/src/test/java/org/springframework/boot/web/server/test/SpringBootTestReactiveWebEnvironmentRandomPortTests.java</t>
        </is>
      </c>
      <c r="C2232">
        <f>HYPERLINK("https://github.com/spring-projects/spring-boot/blob/master/integration-test/spring-boot-test-integration-tests/src/test/java/org/springframework/boot/web/server/test/SpringBootTestReactiveWebEnvironmentRandomPortTests.java")</f>
        <v/>
      </c>
      <c r="D2232" t="inlineStr">
        <is>
          <t>The provided code is a Java Spring Boot application that sets up and tests the backend of an application. It includes various configurations for testing purposes such as `@SpringBootTest` with specified web environment (default or mock), context configuration using `@Configuration`, dirtiness handling via `@DirtiesContext` etc. The complexity seems to be O(N).
The main</t>
        </is>
      </c>
      <c r="E2232" t="n">
        <v>0.0035</v>
      </c>
      <c r="F2232" t="n">
        <v>0.0323</v>
      </c>
      <c r="G2232" t="n">
        <v>0.08</v>
      </c>
      <c r="H2232" t="inlineStr">
        <is>
          <t>The provided code is a simple function for addition of two numbers in Python. The functionality it provides includes taking two parameters (numbers), adding them together and returning the result. This operation has a time complexity of O(1).
Here's an example of how you can use this function:
```python
result = add(5, 7) # returns 12</t>
        </is>
      </c>
      <c r="I2232" t="n">
        <v>0.0043</v>
      </c>
      <c r="J2232" t="n">
        <v>0.0615</v>
      </c>
      <c r="K2232" t="n">
        <v>0.1172</v>
      </c>
      <c r="L2232" t="inlineStr">
        <is>
          <t>ThegivencodefiledesignatesaRESTcontrollerformanaginguseraccountsinfostoredinthedatabase. ItusesSpringBoot'stestframeworktosetupabackendenvironmentfortestsuites. Thecontrollerhasbeenconfiguredonlyoncebypassingcleanupsbetweentestsusing@DirtiesContext. Thisallowsforquickiterationandsuite</t>
        </is>
      </c>
      <c r="M2232" t="n">
        <v>0</v>
      </c>
      <c r="N2232" t="n">
        <v>0</v>
      </c>
      <c r="O2232" t="n">
        <v>0</v>
      </c>
    </row>
    <row r="2233">
      <c r="A2233" t="inlineStr">
        <is>
          <t>springboot</t>
        </is>
      </c>
      <c r="B2233" t="inlineStr">
        <is>
          <t>integration-test/spring-boot-test-integration-tests/src/test/java/org/springframework/boot/web/server/test/AbstractSpringBootTestWebServerWebEnvironmentTests.java</t>
        </is>
      </c>
      <c r="C2233">
        <f>HYPERLINK("https://github.com/spring-projects/spring-boot/blob/master/integration-test/spring-boot-test-integration-tests/src/test/java/org/springframework/boot/web/server/test/AbstractSpringBootTestWebServerWebEnvironmentTests.java")</f>
        <v/>
      </c>
      <c r="D2233" t="inlineStr">
        <is>
          <t>The code is a Java program that tests the functionality of Spring Boot web server components using JUnit 5 and TestRestClient for testing HTTP requests. It's licensed under Apache License Version 2.0. The test checks if certain endpoints are accessible by sending GET or POST requests to them with expected responses.
It uses annotations like @Test, @Autowired,</t>
        </is>
      </c>
      <c r="E2233" t="n">
        <v>0.0038</v>
      </c>
      <c r="F2233" t="n">
        <v>0.0597</v>
      </c>
      <c r="G2233" t="n">
        <v>0.0775</v>
      </c>
      <c r="H2233" t="inlineStr">
        <is>
          <t>The provided code is a Java function named `add` that takes two numbers as parameters and returns their sum. The complexity of this operation is O(1), meaning it always performs the same number of operations regardless of input size. This function follows Apache License 2.0 which requires you to include copyright notices and license information in any derivative works or distributions.
Please provide more context</t>
        </is>
      </c>
      <c r="I2233" t="n">
        <v>0.0033</v>
      </c>
      <c r="J2233" t="n">
        <v>0.08</v>
      </c>
      <c r="K2233" t="n">
        <v>0.1095</v>
      </c>
      <c r="L2233" t="inlineStr">
        <is>
          <t>The provided code is a JUnit test for an application that uses Spring Boot's REST Test Client to make HTTP requests and assert the responses. The main purpose of this code is to verify if the server responds correctly when making specific requests.
Here are some key operations performed by the code: 
1. It sets up a web application context with @SpringBoot</t>
        </is>
      </c>
      <c r="M2233" t="n">
        <v>0.0029</v>
      </c>
      <c r="N2233" t="n">
        <v>0.0282</v>
      </c>
      <c r="O2233" t="n">
        <v>0.1119</v>
      </c>
    </row>
    <row r="2234">
      <c r="A2234" t="inlineStr">
        <is>
          <t>springboot</t>
        </is>
      </c>
      <c r="B2234" t="inlineStr">
        <is>
          <t>integration-test/spring-boot-test-integration-tests/src/test/java/org/springframework/boot/web/server/test/AbstractSpringBootTestEmbeddedReactiveWebEnvironmentTests.java</t>
        </is>
      </c>
      <c r="C2234">
        <f>HYPERLINK("https://github.com/spring-projects/spring-boot/blob/master/integration-test/spring-boot-test-integration-tests/src/test/java/org/springframework/boot/web/server/test/AbstractSpringBootTestEmbeddedReactiveWebEnvironmentTests.java")</f>
        <v/>
      </c>
      <c r="D2234" t="inlineStr">
        <is>
          <t>The provided code is a Java Spring Boot application that tests the web server functionality of an application using JUnit 5 and Reactor for asynchronous testing. It's licensed under Apache License Version 2.0. The test checks if the server responds within a specified duration (default set to 3 seconds).
It uses `@SpringBootTest` annotation which allows it</t>
        </is>
      </c>
      <c r="E2234" t="n">
        <v>0.0039</v>
      </c>
      <c r="F2234" t="n">
        <v>0.0606</v>
      </c>
      <c r="G2234" t="n">
        <v>0.0781</v>
      </c>
      <c r="H2234" t="inlineStr">
        <is>
          <t>The provided code is a Java Spring Boot application that contains backend software components for implementing core algorithms. It uses the Reactive Programming model with `Mono` and `Flux` publishers to handle asynchronous operations in a non-blocking way. The test cases are written using JUnit 5 framework.
The copyright notice at the beginning of the file states that it'</t>
        </is>
      </c>
      <c r="I2234" t="n">
        <v>0.0041</v>
      </c>
      <c r="J2234" t="n">
        <v>0.1194</v>
      </c>
      <c r="K2234" t="n">
        <v>0.2862</v>
      </c>
      <c r="L2234" t="inlineStr">
        <is>
          <t>The code provided is a JUnit test for testing the Spring Boot web server application using TestRestClient and Reactor libraries in Java. The main purpose of this code is to verify if the HTTP GET request from client side (TestRestTemplate) returns expected response within given timeout period.
It takes an instance variable `testRestTemplate` which has been autowired by Spring Boot framework</t>
        </is>
      </c>
      <c r="M2234" t="n">
        <v>0.003</v>
      </c>
      <c r="N2234" t="n">
        <v>0.029</v>
      </c>
      <c r="O2234" t="n">
        <v>0.1128</v>
      </c>
    </row>
    <row r="2235">
      <c r="A2235" t="inlineStr">
        <is>
          <t>springboot</t>
        </is>
      </c>
      <c r="B2235" t="inlineStr">
        <is>
          <t>integration-test/spring-boot-test-integration-tests/src/test/java/org/springframework/boot/web/server/test/AutoConfigureWebServerWebMvcIntegrationTests.java</t>
        </is>
      </c>
      <c r="C2235">
        <f>HYPERLINK("https://github.com/spring-projects/spring-boot/blob/master/integration-test/spring-boot-test-integration-tests/src/test/java/org/springframework/boot/web/server/test/AutoConfigureWebServerWebMvcIntegrationTests.java")</f>
        <v/>
      </c>
      <c r="D2235" t="inlineStr">
        <is>
          <t>The provided code is a part of the Spring Boot application which includes JUnit tests for RESTful APIs. It uses annotations like @SpringBootTest and @AutoConfigureRestTestClient to set up test environment in integration style without starting whole spring boot server. The complexity of this code seems O(N), but it's hard to determine exactly because there are no loops or</t>
        </is>
      </c>
      <c r="E2235" t="n">
        <v>0.0031</v>
      </c>
      <c r="F2235" t="n">
        <v>0.0294</v>
      </c>
      <c r="G2235" t="n">
        <v>0.1154</v>
      </c>
      <c r="H2235" t="inlineStr">
        <is>
          <t>The provided code is a simple function for addition of two numbers in Java language. It takes two parameters 'a' and 'b', adds them together and returns the result. The time complexity of this operation is O(1), meaning it performs constant amount of operations regardless of input size.
In terms of license information, it appears to be Apache License 2.0 which means you</t>
        </is>
      </c>
      <c r="I2235" t="n">
        <v>0.0029</v>
      </c>
      <c r="J2235" t="n">
        <v>0.0548</v>
      </c>
      <c r="K2235" t="n">
        <v>0.1111</v>
      </c>
      <c r="L2235" t="inlineStr">
        <is>
          <t>The provided code is a JUnit test for a Spring Boot application that tests the functionality of an HTTP server component. The main purpose of this code is to verify if certain endpoints in the system are functioning correctly by making requests and checking their responses. 
It uses Spring's `@SpringBootTest` annotation which loads the whole context including all beans needed for testing. It</t>
        </is>
      </c>
      <c r="M2235" t="n">
        <v>0.0034</v>
      </c>
      <c r="N2235" t="n">
        <v>0.0833</v>
      </c>
      <c r="O2235" t="n">
        <v>0.1111</v>
      </c>
    </row>
    <row r="2236">
      <c r="A2236" t="inlineStr">
        <is>
          <t>springboot</t>
        </is>
      </c>
      <c r="B2236" t="inlineStr">
        <is>
          <t>integration-test/spring-boot-test-integration-tests/src/test/java/org/springframework/boot/web/server/test/SpringBootTestWebEnvironmentRandomPortCustomPortTests.java</t>
        </is>
      </c>
      <c r="C2236">
        <f>HYPERLINK("https://github.com/spring-projects/spring-boot/blob/master/integration-test/spring-boot-test-integration-tests/src/test/java/org/springframework/boot/web/server/test/SpringBootTestWebEnvironmentRandomPortCustomPortTests.java")</f>
        <v/>
      </c>
      <c r="D2236" t="inlineStr">
        <is>
          <t>The code provided is a JUnit test case for Spring Boot application context testing with an in-memory web server environment (`@SpringBootTest(webEnvironment = WebEnvironment.RANDOM_PORT)`). The `@Autowired` annotation is used to inject dependencies into the fields of this class. This setup allows running tests without requiring a real HTTP server or even needing a</t>
        </is>
      </c>
      <c r="E2236" t="n">
        <v>0.0035</v>
      </c>
      <c r="F2236" t="n">
        <v>0.0317</v>
      </c>
      <c r="G2236" t="n">
        <v>0.0806</v>
      </c>
      <c r="H2236" t="inlineStr">
        <is>
          <t>The provided code is a simple addition function `add` that takes two parameters and returns their sum. It's written in Python language. The complexity of this operation is O(1), meaning it only performs one arithmetic operation regardless the size of input data.
The Apache License 2.0 applies to this piece of software which requires you not to use any part of this file</t>
        </is>
      </c>
      <c r="I2236" t="n">
        <v>0.0034</v>
      </c>
      <c r="J2236" t="n">
        <v>0.0541</v>
      </c>
      <c r="K2236" t="n">
        <v>0.1481</v>
      </c>
      <c r="L2236" t="inlineStr">
        <is>
          <t>The provided code is a JUnit test for an application using Spring Boot framework. The main purpose of this class seems to be testing the web server configuration and setup in conjunction with integration tests. 
It uses `@SpringBootTest` annotation which tells spring boot to go ahead and start up a whole application context that's suitable for running tests. It also specifies the environment where</t>
        </is>
      </c>
      <c r="M2236" t="n">
        <v>0.0028</v>
      </c>
      <c r="N2236" t="n">
        <v>0.0548</v>
      </c>
      <c r="O2236" t="n">
        <v>0.1103</v>
      </c>
    </row>
    <row r="2237">
      <c r="A2237" t="inlineStr">
        <is>
          <t>springboot</t>
        </is>
      </c>
      <c r="B2237" t="inlineStr">
        <is>
          <t>integration-test/spring-boot-test-integration-tests/src/test/java/org/springframework/boot/web/server/test/SpringBootTestUserDefinedTestRestTemplateTests.java</t>
        </is>
      </c>
      <c r="C2237">
        <f>HYPERLINK("https://github.com/spring-projects/spring-boot/blob/master/integration-test/spring-boot-test-integration-tests/src/test/java/org/springframework/boot/web/server/test/SpringBootTestUserDefinedTestRestTemplateTests.java")</f>
        <v/>
      </c>
      <c r="D2237" t="inlineStr">
        <is>
          <t>```java
// Copyright 2012-present the original author or authors.
// Licensed under the Apache License, Version 2.0 (the "License");
// you may not use this file except in compliance with the License.
// You can obtain a copy of the License at https://www.apache.org/licenses/LICENSE-</t>
        </is>
      </c>
      <c r="E2237" t="n">
        <v>0</v>
      </c>
      <c r="F2237" t="n">
        <v>0.037</v>
      </c>
      <c r="G2237" t="n">
        <v>0.08699999999999999</v>
      </c>
      <c r="H2237" t="inlineStr">
        <is>
          <t>The code provided is a simple addition function in Python named "add". It takes two parameters 'a' and 'b', adds them together and returns the result. The time complexity of this operation is O(1), meaning it performs constant amount of work regardless of input size.
The Apache License header at the top of the file states that any modifications or usage of this software must comply</t>
        </is>
      </c>
      <c r="I2237" t="n">
        <v>0.0033</v>
      </c>
      <c r="J2237" t="n">
        <v>0.0533</v>
      </c>
      <c r="K2237" t="n">
        <v>0.2287</v>
      </c>
      <c r="L2237" t="inlineStr">
        <is>
          <t>The provided code is a Spring Boot application with JUnit 5 tests for testing the context of an embedded Tomcat server. It's designed to test if the configuration and setup are correct by running the main class as a spring boot app in a web environment.
It uses two classes `Application` (which includes the main method) and `MyController` which has been annotated</t>
        </is>
      </c>
      <c r="M2237" t="n">
        <v>0.0029</v>
      </c>
      <c r="N2237" t="n">
        <v>0.0282</v>
      </c>
      <c r="O2237" t="n">
        <v>0.0746</v>
      </c>
    </row>
    <row r="2238">
      <c r="A2238" t="inlineStr">
        <is>
          <t>springboot</t>
        </is>
      </c>
      <c r="B2238" t="inlineStr">
        <is>
          <t>integration-test/spring-boot-test-integration-tests/src/test/java/org/springframework/boot/web/server/test/SpringBootTestWebEnvironmentDefinedPortTests.java</t>
        </is>
      </c>
      <c r="C2238">
        <f>HYPERLINK("https://github.com/spring-projects/spring-boot/blob/master/integration-test/spring-boot-test-integration-tests/src/test/java/org/springframework/boot/web/server/test/SpringBootTestWebEnvironmentDefinedPortTests.java")</f>
        <v/>
      </c>
      <c r="D2238" t="inlineStr">
        <is>
          <t>The code provided is a Java Spring Boot application with several annotations and configurations related to testing context setup for web applications. It includes the following components:
1. `@SpringBootTest` annotation which tells Spring Boot to look for a main configuration class (a class annotated with `@Configuration`), and use that to start up a Spring application context needed for testing. The</t>
        </is>
      </c>
      <c r="E2238" t="n">
        <v>0.003</v>
      </c>
      <c r="F2238" t="n">
        <v>0.0294</v>
      </c>
      <c r="G2238" t="n">
        <v>0.07580000000000001</v>
      </c>
      <c r="H2238" t="inlineStr">
        <is>
          <t>The provided code is a simple function for addition of two numbers in Python. The functionality of the code can be summarized as follows:
```python
# This function takes two parameters 'a' and 'b', adds them together 
# and returns their sum. Complexity is O(1), indicating that it performs 
# constant time operations regardless of input size.</t>
        </is>
      </c>
      <c r="I2238" t="n">
        <v>0.0042</v>
      </c>
      <c r="J2238" t="n">
        <v>0.09520000000000001</v>
      </c>
      <c r="K2238" t="n">
        <v>0.1163</v>
      </c>
      <c r="L2238" t="inlineStr">
        <is>
          <t>The provided code is a Spring Boot application that sets up and configures an embedded Tomcat server for testing purposes. It does this by using the @SpringBootTest annotation with WebEnvironment set to RANDOM_PORT which means it will start the server on a random free port each time. 
It also uses @Configuration to define beans in a configuration class, @</t>
        </is>
      </c>
      <c r="M2238" t="n">
        <v>0.0031</v>
      </c>
      <c r="N2238" t="n">
        <v>0.0299</v>
      </c>
      <c r="O2238" t="n">
        <v>0.1145</v>
      </c>
    </row>
    <row r="2239">
      <c r="A2239" t="inlineStr">
        <is>
          <t>springboot</t>
        </is>
      </c>
      <c r="B2239" t="inlineStr">
        <is>
          <t>integration-test/spring-boot-test-integration-tests/src/test/java/org/springframework/boot/web/server/test/SpringBootTestReactiveWebEnvironmentDefinedPortTests.java</t>
        </is>
      </c>
      <c r="C2239">
        <f>HYPERLINK("https://github.com/spring-projects/spring-boot/blob/master/integration-test/spring-boot-test-integration-tests/src/test/java/org/springframework/boot/web/server/test/SpringBootTestReactiveWebEnvironmentDefinedPortTests.java")</f>
        <v/>
      </c>
      <c r="D2239" t="inlineStr">
        <is>
          <t>The code provided is a Java Spring Boot application with several annotations and configurations used for testing purposes. It includes the @SpringBootTest annotation which sets up a test configuration to be used in unit tests. The WebEnvironment enum specifies how the web server should behave during testing (i.e., MOCK or NATIVE). There are also other annotations like @Configuration, @RestController</t>
        </is>
      </c>
      <c r="E2239" t="n">
        <v>0.0031</v>
      </c>
      <c r="F2239" t="n">
        <v>0.0294</v>
      </c>
      <c r="G2239" t="n">
        <v>0.07630000000000001</v>
      </c>
      <c r="H2239" t="inlineStr">
        <is>
          <t>The provided code is a simple function for addition of two numbers in Python language. The functionality of this code is to add two given numbers 'a' and 'b'. It returns the sum which is the result of adding these two numbers together. This operation has a time complexity of O(1), meaning it takes constant time regardless of the size of input data.
In terms of license</t>
        </is>
      </c>
      <c r="I2239" t="n">
        <v>0.0036</v>
      </c>
      <c r="J2239" t="n">
        <v>0.0526</v>
      </c>
      <c r="K2239" t="n">
        <v>0.1439</v>
      </c>
      <c r="L2239" t="inlineStr">
        <is>
          <t>ThegivenJavaSpringBootapplicationusesSpringFramework'sconfigurationframeworktogeneratesaRESTfulAPIbasedonuserrequestsinput.Itrunsindependentspringbootenvironmentforunittestsuiteswithoutneedinganyexternaldatabaseornetworkdependencies.
# Code Summary
## Overview
This Spring Boot application is designed to create a</t>
        </is>
      </c>
      <c r="M2239" t="n">
        <v>0.0132</v>
      </c>
      <c r="N2239" t="n">
        <v>0.08699999999999999</v>
      </c>
      <c r="O2239" t="n">
        <v>0.0575</v>
      </c>
    </row>
    <row r="2240">
      <c r="A2240" t="inlineStr">
        <is>
          <t>springboot</t>
        </is>
      </c>
      <c r="B2240" t="inlineStr">
        <is>
          <t>integration-test/spring-boot-test-integration-tests/src/test/java/org/springframework/boot/web/server/test/SpringBootTestWebEnvironmentRandomPortTests.java</t>
        </is>
      </c>
      <c r="C2240">
        <f>HYPERLINK("https://github.com/spring-projects/spring-boot/blob/master/integration-test/spring-boot-test-integration-tests/src/test/java/org/springframework/boot/web/server/test/SpringBootTestWebEnvironmentRandomPortTests.java")</f>
        <v/>
      </c>
      <c r="D2240" t="inlineStr">
        <is>
          <t>```java
// Copyright 2012-present the original author or authors.
// Licensed under the Apache License, Version 2.0 (the "License");
// you may not use this file except in compliance with the License.
// You can obtain a copy of the License at https://www.apache.org/licenses/LICENSE-</t>
        </is>
      </c>
      <c r="E2240" t="n">
        <v>0</v>
      </c>
      <c r="F2240" t="n">
        <v>0.037</v>
      </c>
      <c r="G2240" t="n">
        <v>0.08699999999999999</v>
      </c>
      <c r="H2240" t="inlineStr">
        <is>
          <t>The provided code is a simple function for addition of two numbers in Python. It's named 'add', takes two parameters 'a' and 'b'. The complexity of this operation is O(1), meaning it has constant time complexity as the number of operations does not change with input size. This function returns the sum of 'a' and 'b'.
In terms of comments</t>
        </is>
      </c>
      <c r="I2240" t="n">
        <v>0.0036</v>
      </c>
      <c r="J2240" t="n">
        <v>0.0857</v>
      </c>
      <c r="K2240" t="n">
        <v>0.1515</v>
      </c>
      <c r="L2240" t="inlineStr">
        <is>
          <t>The code provided is a JUnit test for Spring Boot application that tests the functionality of REST client and server communication. The main purpose of this code is to verify if the RestTemplate can correctly communicate with another web service by sending HTTP requests and receiving responses from it.
It takes an instance of RestTemplateBuilder as input which builds a new RestTemplate bean. This builder allows configuration of</t>
        </is>
      </c>
      <c r="M2240" t="n">
        <v>0.0035</v>
      </c>
      <c r="N2240" t="n">
        <v>0.0526</v>
      </c>
      <c r="O2240" t="n">
        <v>0.1071</v>
      </c>
    </row>
    <row r="2241">
      <c r="A2241" t="inlineStr">
        <is>
          <t>springboot</t>
        </is>
      </c>
      <c r="B2241" t="inlineStr">
        <is>
          <t>integration-test/spring-boot-test-integration-tests/src/test/java/org/springframework/boot/web/server/test/SpringBootTestReactiveWebEnvironmentUserDefinedTestRestTemplateTests.java</t>
        </is>
      </c>
      <c r="C2241">
        <f>HYPERLINK("https://github.com/spring-projects/spring-boot/blob/master/integration-test/spring-boot-test-integration-tests/src/test/java/org/springframework/boot/web/server/test/SpringBootTestReactiveWebEnvironmentUserDefinedTestRestTemplateTests.java")</f>
        <v/>
      </c>
      <c r="D2241" t="inlineStr">
        <is>
          <t>The provided code is a Java Spring Boot test case that uses JUnit 5 for testing purposes. It imports necessary packages and classes to set up integration tests with the application context of Spring Boot applications. The `@SpringBootTest` annotation allows you to perform integration tests on your Spring Boot Application by providing an alternative configuration if needed. This can be done through overriding bean definitions or setting</t>
        </is>
      </c>
      <c r="E2241" t="n">
        <v>0.0032</v>
      </c>
      <c r="F2241" t="n">
        <v>0.0267</v>
      </c>
      <c r="G2241" t="n">
        <v>0.1079</v>
      </c>
      <c r="H2241" t="inlineStr">
        <is>
          <t>The provided code is a simple function for addition of two numbers in Python language. The functionality of this code can be summarized as follows:
```python
# This function takes two parameters (numbers), adds them together and returns the result. 
# It has a time complexity of O(1).
def add(a, b):
    return a + b</t>
        </is>
      </c>
      <c r="I2241" t="n">
        <v>0.0044</v>
      </c>
      <c r="J2241" t="n">
        <v>0.0968</v>
      </c>
      <c r="K2241" t="n">
        <v>0.1181</v>
      </c>
      <c r="L2241" t="inlineStr">
        <is>
          <t>The provided code is a Spring Boot application with JUnit tests for testing the context of an embedded Tomcat server. It also includes configuration and setup for beans in a separate class named `AppConfig`.
Here's a concise summary of its functionality: 
This project uses Spring Boot to set up an embedded Tomcat web server for integration testing purposes. The test environment</t>
        </is>
      </c>
      <c r="M2241" t="n">
        <v>0.0036</v>
      </c>
      <c r="N2241" t="n">
        <v>0.0286</v>
      </c>
      <c r="O2241" t="n">
        <v>0.1128</v>
      </c>
    </row>
    <row r="2242">
      <c r="A2242" t="inlineStr">
        <is>
          <t>springboot</t>
        </is>
      </c>
      <c r="B2242" t="inlineStr">
        <is>
          <t>integration-test/spring-boot-test-integration-tests/src/test/java/org/springframework/boot/web/server/test/SpringBootTestWebEnvironmentContextHierarchyTests.java</t>
        </is>
      </c>
      <c r="C2242">
        <f>HYPERLINK("https://github.com/spring-projects/spring-boot/blob/master/integration-test/spring-boot-test-integration-tests/src/test/java/org/springframework/boot/web/server/test/SpringBootTestWebEnvironmentContextHierarchyTests.java")</f>
        <v/>
      </c>
      <c r="D2242" t="inlineStr">
        <is>
          <t>The code provided is a Java class that contains JUnit 5 tests for Spring Boot applications. It uses the `@SpringBootTest` annotation to load an application context and test beans in web server environments (like Tomcat or Netcat). The `@Autowired` annotation is used for dependency injection of services into fields. This means it's testing functionality related to core algorithms</t>
        </is>
      </c>
      <c r="E2242" t="n">
        <v>0.0045</v>
      </c>
      <c r="F2242" t="n">
        <v>0.0597</v>
      </c>
      <c r="G2242" t="n">
        <v>0.1538</v>
      </c>
      <c r="H2242" t="inlineStr">
        <is>
          <t>The provided code is a simple addition function `add` that takes two parameters and returns their sum. It has a time complexity of O(1), meaning it performs constant amount of work regardless of the size of input data. The Apache License 2.0 applies to this code, stating in detail what users can do with it (including using it for commercial purposes).
&lt;jupyter</t>
        </is>
      </c>
      <c r="I2242" t="n">
        <v>0.0029</v>
      </c>
      <c r="J2242" t="n">
        <v>0.0556</v>
      </c>
      <c r="K2242" t="n">
        <v>0.1119</v>
      </c>
      <c r="L2242" t="inlineStr">
        <is>
          <t>The provided code is a JUnit test case for Spring Boot application context testing. It's annotated with `@SpringBootTest` and specifies the web environment to be used during testing (default value). The test class imports necessary packages such as `org.junit.jupiter.api.Test`, `org.springframework.beans.factory.annotation.Autowired`</t>
        </is>
      </c>
      <c r="M2242" t="n">
        <v>0.0046</v>
      </c>
      <c r="N2242" t="n">
        <v>0.0345</v>
      </c>
      <c r="O2242" t="n">
        <v>0.0893</v>
      </c>
    </row>
    <row r="2243">
      <c r="A2243" t="inlineStr">
        <is>
          <t>springboot</t>
        </is>
      </c>
      <c r="B2243" t="inlineStr">
        <is>
          <t>integration-test/spring-boot-configuration-processor-integration-tests/src/main/java/sample/package-info.java</t>
        </is>
      </c>
      <c r="C2243">
        <f>HYPERLINK("https://github.com/spring-projects/spring-boot/blob/master/integration-test/spring-boot-configuration-processor-integration-tests/src/main/java/sample/package-info.java")</f>
        <v/>
      </c>
      <c r="D2243" t="inlineStr">
        <is>
          <t>The provided code appears to be a Java class marked with the Null Mark annotation from JSpecify library, which is used for nullness analysis in statically typed languages like Java. The license at the top of the file specifies that it's licensed under Apache License 2.0 and you may not use this file except in compliance with the License. This means any modifications or uses</t>
        </is>
      </c>
      <c r="E2243" t="n">
        <v>0.0033</v>
      </c>
      <c r="F2243" t="n">
        <v>0.0267</v>
      </c>
      <c r="G2243" t="n">
        <v>0.1095</v>
      </c>
      <c r="H2243" t="inlineStr">
        <is>
          <t>The function provided is a simple addition operation that takes two parameters (numbers), adds them together and returns the result. The time complexity of this function is O(1).
Here's an example usage in Java: 
```java
int sum = add(4, 6); // Returns 10
```
In Python:
```python
sum = add</t>
        </is>
      </c>
      <c r="I2243" t="n">
        <v>0.0037</v>
      </c>
      <c r="J2243" t="n">
        <v>0.0702</v>
      </c>
      <c r="K2243" t="n">
        <v>0.1639</v>
      </c>
      <c r="L2243" t="inlineStr">
        <is>
          <t>The code provided appears to be a Java class that implements the core algorithm for a specific application and is part of an open source project licensed under Apache License 2.0. The purpose of this class seems to be related to handling null values in certain data structures or arrays using JSpecify's @NullMarked annotation. This particular package has been used as a sample for testing purposes. It</t>
        </is>
      </c>
      <c r="M2243" t="n">
        <v>0.0038</v>
      </c>
      <c r="N2243" t="n">
        <v>0.0779</v>
      </c>
      <c r="O2243" t="n">
        <v>0.1799</v>
      </c>
    </row>
    <row r="2244">
      <c r="A2244" t="inlineStr">
        <is>
          <t>springboot</t>
        </is>
      </c>
      <c r="B2244" t="inlineStr">
        <is>
          <t>integration-test/spring-boot-configuration-processor-integration-tests/src/main/java/sample/AnnotatedSample.java</t>
        </is>
      </c>
      <c r="C2244">
        <f>HYPERLINK("https://github.com/spring-projects/spring-boot/blob/master/integration-test/spring-boot-configuration-processor-integration-tests/src/main/java/sample/AnnotatedSample.java")</f>
        <v/>
      </c>
      <c r="D2244" t="inlineStr">
        <is>
          <t>The provided code is a configuration properties class annotated with @ConfigurationProperties from Spring Boot framework and uses JSR 380 (@Valid) for validation of the fields. It also has an annotation to allow null values (from org.jspecify.annotations package). The purpose seems to be handling backend software components related configurations but it's not clear what kind of valid type will be</t>
        </is>
      </c>
      <c r="E2244" t="n">
        <v>0.0037</v>
      </c>
      <c r="F2244" t="n">
        <v>0.0286</v>
      </c>
      <c r="G2244" t="n">
        <v>0.1145</v>
      </c>
      <c r="H2244" t="inlineStr">
        <is>
          <t>The provided code is a Java class named AnnotatedSample that uses Spring Boot's @ConfigurationProperties annotation to bind properties from the application configuration file into an annotated object. The class also contains JSR 380 (Bean Validation), JSPECIFY and Jakarta validation import statements for validating its fields.
The function add() in this context</t>
        </is>
      </c>
      <c r="I2244" t="n">
        <v>0.0036</v>
      </c>
      <c r="J2244" t="n">
        <v>0.0333</v>
      </c>
      <c r="K2244" t="n">
        <v>0.122</v>
      </c>
      <c r="L2244" t="inlineStr">
        <is>
          <t>ThegivenJavaSourceCodeFile'sPurposeIsToConfigureApplicationPropertiesViaAnnotationAndValidation.ItContainsACustomClassWithConfigurationPropertiesAnnotationThatSetsUpDefaultValuesForVariablesIfTheyAreNullOrEmpty.ThereAreTwoMainMethodsDefinedHere:@getterMethodReturnsValueOfVariable,"setterMethodAllowsSettingNewValue".BothTheseMethodsUseJSR</t>
        </is>
      </c>
      <c r="M2244" t="n">
        <v>0</v>
      </c>
      <c r="N2244" t="n">
        <v>0</v>
      </c>
      <c r="O2244" t="n">
        <v>0</v>
      </c>
    </row>
    <row r="2245">
      <c r="A2245" t="inlineStr">
        <is>
          <t>springboot</t>
        </is>
      </c>
      <c r="B2245" t="inlineStr">
        <is>
          <t>integration-test/spring-boot-configuration-processor-integration-tests/src/test/java/org/springframework/boot/configurationprocessor/tests/ConfigurationProcessorIntegrationTests.java</t>
        </is>
      </c>
      <c r="C2245">
        <f>HYPERLINK("https://github.com/spring-projects/spring-boot/blob/master/integration-test/spring-boot-configuration-processor-integration-tests/src/test/java/org/springframework/boot/configurationprocessor/tests/ConfigurationProcessorIntegrationTests.java")</f>
        <v/>
      </c>
      <c r="D2245" t="inlineStr">
        <is>
          <t>The code is a part of the Spring Boot project that tests configuration metadata properties. The functionality includes reading and processing configuration metadata from an external source (like property files or JSON), then checking if certain attributes are present in these configurations. It also has some basic error handling for cases where it fails to read the URLs. This repository contains backend software components implementing core algorithms.
The complexity of</t>
        </is>
      </c>
      <c r="E2245" t="n">
        <v>0.0039</v>
      </c>
      <c r="F2245" t="n">
        <v>0.1026</v>
      </c>
      <c r="G2245" t="n">
        <v>0.3003</v>
      </c>
      <c r="H2245" t="inlineStr">
        <is>
          <t>The provided code is a Java implementation of the add function which performs addition operation on two numbers (a and b). The complexity of this function is O(1), meaning it takes constant time to execute regardless of input size. It does not contain any loops or recursive calls, hence its performance will remain consistent for all inputs.
In terms of comments, there are some explanations about what</t>
        </is>
      </c>
      <c r="I2245" t="n">
        <v>0.0027</v>
      </c>
      <c r="J2245" t="n">
        <v>0.0789</v>
      </c>
      <c r="K2245" t="n">
        <v>0.1439</v>
      </c>
      <c r="L2245" t="inlineStr">
        <is>
          <t>The provided code is a JUnit test for Spring Boot's configuration metadata processor. It tests the functionality of parsing and processing various types of properties in a YAML or JSON format to generate corresponding Java Beans.
It starts by importing necessary packages such as `java.io`, `java.net`, `java.util`, and `org.junit</t>
        </is>
      </c>
      <c r="M2245" t="n">
        <v>0.0045</v>
      </c>
      <c r="N2245" t="n">
        <v>0.0645</v>
      </c>
      <c r="O2245" t="n">
        <v>0.08260000000000001</v>
      </c>
    </row>
    <row r="2246">
      <c r="A2246" t="inlineStr">
        <is>
          <t>springboot</t>
        </is>
      </c>
      <c r="B2246" t="inlineStr">
        <is>
          <t>cli/spring-boot-cli/src/intTest/java/org/springframework/boot/cli/CommandLineIT.java</t>
        </is>
      </c>
      <c r="C2246">
        <f>HYPERLINK("https://github.com/spring-projects/spring-boot/blob/master/cli/spring-boot-cli/src/intTest/java/org/springframework/boot/cli/CommandLineIT.java")</f>
        <v/>
      </c>
      <c r="D2246" t="inlineStr">
        <is>
          <t>The code provided is a Java program that sets up and tests Spring Boot CLI commands. It's licensed under Apache License 2.0. The purpose of this software appears to be the implementation and testing of core algorithms used in backend software components.
It includes classes for command line invocations (`CommandLineInvoker`), which are set up before each test using `</t>
        </is>
      </c>
      <c r="E2246" t="n">
        <v>0.0041</v>
      </c>
      <c r="F2246" t="n">
        <v>0.1176</v>
      </c>
      <c r="G2246" t="n">
        <v>0.229</v>
      </c>
      <c r="H2246" t="inlineStr">
        <is>
          <t>The provided code is a Java class that contains the definition of an add method which takes two integers as input and returns their sum. The complexity of this function is O(1), meaning it performs a constant number of operations regardless of the size of the inputs.
&lt;jupyter_output&gt;
&lt;empty_output&gt;
&lt;jupyter_text&gt;
Chapter</t>
        </is>
      </c>
      <c r="I2246" t="n">
        <v>0.0036</v>
      </c>
      <c r="J2246" t="n">
        <v>0.0635</v>
      </c>
      <c r="K2246" t="n">
        <v>0.122</v>
      </c>
      <c r="L2246" t="inlineStr">
        <is>
          <t>The provided code is a part of the Spring Boot CLI (Command Line Interface) project. It includes several tests for validating the functionality of command line invocations in the application. The main purpose of these tests is to verify if the CommandLineInvoker class can properly execute commands and handle their results.
These tests are designed to test different scenarios such as running an executable J</t>
        </is>
      </c>
      <c r="M2246" t="n">
        <v>0.0033</v>
      </c>
      <c r="N2246" t="n">
        <v>0.0548</v>
      </c>
      <c r="O2246" t="n">
        <v>0.073</v>
      </c>
    </row>
    <row r="2247">
      <c r="A2247" t="inlineStr">
        <is>
          <t>springboot</t>
        </is>
      </c>
      <c r="B2247" t="inlineStr">
        <is>
          <t>cli/spring-boot-cli/src/intTest/java/org/springframework/boot/cli/infrastructure/Versions.java</t>
        </is>
      </c>
      <c r="C2247">
        <f>HYPERLINK("https://github.com/spring-projects/spring-boot/blob/master/cli/spring-boot-cli/src/intTest/java/org/springframework/boot/cli/infrastructure/Versions.java")</f>
        <v/>
      </c>
      <c r="D2247" t="inlineStr">
        <is>
          <t>The provided code is a Java class that provides access to the current Spring Boot version by referring to 'gradle.properties'. The file contains backend software components and complex algorithms are implemented in it. It reads from the gradle.properties file which should contain properties related to project versions. This function returns the value of property named "BOOT_VERSION".
However, there seems to be some</t>
        </is>
      </c>
      <c r="E2247" t="n">
        <v>0.0039</v>
      </c>
      <c r="F2247" t="n">
        <v>0.0822</v>
      </c>
      <c r="G2247" t="n">
        <v>0.1866</v>
      </c>
      <c r="H2247" t="inlineStr">
        <is>
          <t>The provided code is a Java class that retrieves the Spring Boot version from a gradle properties file located in your project's root directory. The complexity of this function is O(n), as it scans through each line of the properties file to find the boot version property.
The Apache License 2.0 applies to this code and can be found at https://www.</t>
        </is>
      </c>
      <c r="I2247" t="n">
        <v>0.003</v>
      </c>
      <c r="J2247" t="n">
        <v>0.0822</v>
      </c>
      <c r="K2247" t="n">
        <v>0.1128</v>
      </c>
      <c r="L2247" t="inlineStr">
        <is>
          <t>The provided code is a Java class named `Versions` that reads the version of Spring Boot from a file called "gradle.properties". The main purpose of this class is to provide access to the current boot version by referring to the gradle.properties file. This information can be useful for various purposes such as logging or displaying in user interfaces.
Here's how it works:</t>
        </is>
      </c>
      <c r="M2247" t="n">
        <v>0.0029</v>
      </c>
      <c r="N2247" t="n">
        <v>0.0274</v>
      </c>
      <c r="O2247" t="n">
        <v>0.0746</v>
      </c>
    </row>
    <row r="2248">
      <c r="A2248" t="inlineStr">
        <is>
          <t>springboot</t>
        </is>
      </c>
      <c r="B2248" t="inlineStr">
        <is>
          <t>cli/spring-boot-cli/src/intTest/java/org/springframework/boot/cli/infrastructure/CommandLineInvoker.java</t>
        </is>
      </c>
      <c r="C2248">
        <f>HYPERLINK("https://github.com/spring-projects/spring-boot/blob/master/cli/spring-boot-cli/src/intTest/java/org/springframework/boot/cli/infrastructure/CommandLineInvoker.java")</f>
        <v/>
      </c>
      <c r="D2248" t="inlineStr">
        <is>
          <t>```
The code provided is a Java class that handles file operations such as reading from and writing to files using various methods like BufferedReader, FileInputStream, PrintWriter etc., along with handling Apache License 2.0 details at the top of each java source file. The complexity of this implementation appears to be O(N), where N represents the number of lines in the file</t>
        </is>
      </c>
      <c r="E2248" t="n">
        <v>0.0029</v>
      </c>
      <c r="F2248" t="n">
        <v>0.0563</v>
      </c>
      <c r="G2248" t="n">
        <v>0.1493</v>
      </c>
      <c r="H2248" t="inlineStr">
        <is>
          <t>The provided code is a Java class that contains methods for adding two numbers together using Apache License 2.0. The function `add` takes in two integers as parameters and returns their sum. This operation has a time complexity of O(1), meaning it performs the same number of operations regardless of input size.
Here's the summary without repeating any code:
```java</t>
        </is>
      </c>
      <c r="I2248" t="n">
        <v>0.0036</v>
      </c>
      <c r="J2248" t="n">
        <v>0.0563</v>
      </c>
      <c r="K2248" t="n">
        <v>0.1136</v>
      </c>
      <c r="L2248" t="inlineStr">
        <is>
          <t>ThegivenJavacodehandlesI/OoperationsrelatedtospringframeworkCLItemplateprojectscreation. Itincludesclassesforreadingfromfilesystem,writingtopaths,bufferingcontentreadandsaved. Theprimaryclass'CliTemplateUtils'hasmethodslikecopyresourceswhichcopiesresourcefilesintoanotherdirectory. Thisutilitycanbemaintainedeasilydue</t>
        </is>
      </c>
      <c r="M2248" t="n">
        <v>0</v>
      </c>
      <c r="N2248" t="n">
        <v>0</v>
      </c>
      <c r="O2248" t="n">
        <v>0</v>
      </c>
    </row>
    <row r="2249">
      <c r="A2249" t="inlineStr">
        <is>
          <t>springboot</t>
        </is>
      </c>
      <c r="B2249" t="inlineStr">
        <is>
          <t>cli/spring-boot-cli/src/json-shade/java/org/springframework/boot/cli/json/JSONTokener.java</t>
        </is>
      </c>
      <c r="C2249">
        <f>HYPERLINK("https://github.com/spring-projects/spring-boot/blob/master/cli/spring-boot-cli/src/json-shade/java/org/springframework/boot/cli/json/JSONTokener.java")</f>
        <v/>
      </c>
      <c r="D2249" t="inlineStr">
        <is>
          <t>ThegivenJava code is a JSON parsing class that follows the RFC 4627 specification for encoding and decoding JSON objects from strings to their corresponding Java object representations. The main functionality of this code revolves around converting a given string in JSON format into its equivalent Java Object representation using a tokening mechanism similar to XML's SAX parser. It does not contain any free source</t>
        </is>
      </c>
      <c r="E2249" t="n">
        <v>0.0034</v>
      </c>
      <c r="F2249" t="n">
        <v>0.0274</v>
      </c>
      <c r="G2249" t="n">
        <v>0.1103</v>
      </c>
      <c r="H2249" t="inlineStr">
        <is>
          <t>The given code is a simple function that performs addition of two numbers and returns the result. The complexity of this operation is O(1), meaning it takes constant time to perform regardless of input size. This function does not contain any loops or recursive calls which would increase its computational cost. It's also worth noting that there are no external dependencies in use here as all operations are performed using built</t>
        </is>
      </c>
      <c r="I2249" t="n">
        <v>0.003</v>
      </c>
      <c r="J2249" t="n">
        <v>0.0494</v>
      </c>
      <c r="K2249" t="n">
        <v>0.1049</v>
      </c>
      <c r="L2249" t="inlineStr">
        <is>
          <t>The provided code is a Spring Boot CLI JSON class that parses a JSON (RFC 4627 encoded string into the corresponding object). The main purpose of this class seems to be to convert JSON data from an external source into Java objects for further processing or manipulation in your application. It uses only two methods - constructor and nextValue(). This functionality should not require any inputs as</t>
        </is>
      </c>
      <c r="M2249" t="n">
        <v>0.0036</v>
      </c>
      <c r="N2249" t="n">
        <v>0.0541</v>
      </c>
      <c r="O2249" t="n">
        <v>0.1079</v>
      </c>
    </row>
    <row r="2250">
      <c r="A2250" t="inlineStr">
        <is>
          <t>springboot</t>
        </is>
      </c>
      <c r="B2250" t="inlineStr">
        <is>
          <t>cli/spring-boot-cli/src/json-shade/java/org/springframework/boot/cli/json/JSONStringer.java</t>
        </is>
      </c>
      <c r="C2250">
        <f>HYPERLINK("https://github.com/spring-projects/spring-boot/blob/master/cli/spring-boot-cli/src/json-shade/java/org/springframework/boot/cli/json/JSONStringer.java")</f>
        <v/>
      </c>
      <c r="D2250" t="inlineStr">
        <is>
          <t>```plaintext
The provided code is a Java class that implements the toString method for JSON objects and arrays in Spring Boot CLI. It's licensed under Apache License 2.0. The copyright notice indicates it was written by authors at various times during their work on this project. This software can be used without restrictions unless otherwise agreed upon with the author or license terms are</t>
        </is>
      </c>
      <c r="E2250" t="n">
        <v>0.0072</v>
      </c>
      <c r="F2250" t="n">
        <v>0.0541</v>
      </c>
      <c r="G2250" t="n">
        <v>0.2735</v>
      </c>
      <c r="H2250" t="inlineStr">
        <is>
          <t>The given code is a Java package named org.springframework.boot.cli.json that implements JSON object and array toString methods. The copyright notice at the top of the file states that it's licensed under Apache License Version 2.0. This license requires compliance with any modifications made by authors or contributors.
In terms of functionality, this package provides implementations for two</t>
        </is>
      </c>
      <c r="I2250" t="n">
        <v>0.0042</v>
      </c>
      <c r="J2250" t="n">
        <v>0.0563</v>
      </c>
      <c r="K2250" t="n">
        <v>0.1163</v>
      </c>
      <c r="L2250" t="inlineStr">
        <is>
          <t>ThegivenJavaSpringBootCLIprojectincludesaJSONobjecttostringmethodimplementationthatconvertsajsonarrayintoastringrepresentation.Itusesaninternalalgorithmforprocessingdataandreturnsafinalstringresult. The code size is 1000 and the time complexity of this function appears to be O(n). This implementation adheres to standard Apache License version</t>
        </is>
      </c>
      <c r="M2250" t="n">
        <v>0.008999999999999999</v>
      </c>
      <c r="N2250" t="n">
        <v>0.1143</v>
      </c>
      <c r="O2250" t="n">
        <v>0.2062</v>
      </c>
    </row>
    <row r="2251">
      <c r="A2251" t="inlineStr">
        <is>
          <t>springboot</t>
        </is>
      </c>
      <c r="B2251" t="inlineStr">
        <is>
          <t>cli/spring-boot-cli/src/json-shade/java/org/springframework/boot/cli/json/JSONException.java</t>
        </is>
      </c>
      <c r="C2251">
        <f>HYPERLINK("https://github.com/spring-projects/spring-boot/blob/master/cli/spring-boot-cli/src/json-shade/java/org/springframework/boot/cli/json/JSONException.java")</f>
        <v/>
      </c>
      <c r="D2251" t="inlineStr">
        <is>
          <t>This code appears to be a Java class that is part of the Spring Boot CLI project and it deals with JSON parsing related issues such as malformed documents, use of null names or numeric types not available in JSON etc., which are common problems when working with JSON data. The license at the top indicates this software can only be used under certain conditions outlined by Apache License</t>
        </is>
      </c>
      <c r="E2251" t="n">
        <v>0.0035</v>
      </c>
      <c r="F2251" t="n">
        <v>0.0519</v>
      </c>
      <c r="G2251" t="n">
        <v>0.2238</v>
      </c>
      <c r="H2251" t="inlineStr">
        <is>
          <t>The provided code is a Java class that contains the definition of a method called "add". This function takes two parameters 'a' and 'b', performs an addition operation on them and returns the result. The time complexity of this function is O(1), indicating it executes in constant time irrespective of input size.
Please provide a concise, clear and direct summary of</t>
        </is>
      </c>
      <c r="I2251" t="n">
        <v>0.0036</v>
      </c>
      <c r="J2251" t="n">
        <v>0.0857</v>
      </c>
      <c r="K2251" t="n">
        <v>0.1128</v>
      </c>
      <c r="L2251" t="inlineStr">
        <is>
          <t>The code provided is a Java class named `JsonCli` that resides in the package `org.springframework.boot.cli.json` and it's part of Spring Boot CLI project. This particular class seems to be responsible for handling JSON related operations such as parsing or constructing malformed documents. 
However, without inspecting its source code, we can</t>
        </is>
      </c>
      <c r="M2251" t="n">
        <v>0.0044</v>
      </c>
      <c r="N2251" t="n">
        <v>0.0317</v>
      </c>
      <c r="O2251" t="n">
        <v>0.123</v>
      </c>
    </row>
    <row r="2252">
      <c r="A2252" t="inlineStr">
        <is>
          <t>springboot</t>
        </is>
      </c>
      <c r="B2252" t="inlineStr">
        <is>
          <t>cli/spring-boot-cli/src/json-shade/java/org/springframework/boot/cli/json/package-info.java</t>
        </is>
      </c>
      <c r="C2252">
        <f>HYPERLINK("https://github.com/spring-projects/spring-boot/blob/master/cli/spring-boot-cli/src/json-shade/java/org/springframework/boot/cli/json/package-info.java")</f>
        <v/>
      </c>
      <c r="D2252" t="inlineStr">
        <is>
          <t>The code provided is a Java class that handles JSON parsing and serialization using the Spring Boot CLI (Command Line Interface). The copyright notice at the top of the file indicates it's licensed under Apache License 2.0. This license allows for free use, modification, distribution etc., as long as you comply with its conditions. It also provides specific language governing permissions and</t>
        </is>
      </c>
      <c r="E2252" t="n">
        <v>0.0035</v>
      </c>
      <c r="F2252" t="n">
        <v>0.0556</v>
      </c>
      <c r="G2252" t="n">
        <v>0.1119</v>
      </c>
      <c r="H2252" t="inlineStr">
        <is>
          <t>The given code is a function named "add", which takes two parameters (a and b), adds them together, and returns the result. The functionality of this code is to add two numbers. It has a time complexity of O(1).
In terms of comments, it explains that this function performs addition operation on two inputs. In commit messages, initial code base commit message suggests that</t>
        </is>
      </c>
      <c r="I2252" t="n">
        <v>0.0034</v>
      </c>
      <c r="J2252" t="n">
        <v>0.0548</v>
      </c>
      <c r="K2252" t="n">
        <v>0.1103</v>
      </c>
      <c r="L2252" t="inlineStr">
        <is>
          <t>The provided code is a Java class named `JsonParser` that uses Spring Boot's CLI to parse JSON files and convert them into objects. The main purpose of this class seems to be the implementation of core algorithms related to parsing JSON data. This includes operations such as reading from input streams (possibly for network communication or file I/O) and converting these inputs into structured output using</t>
        </is>
      </c>
      <c r="M2252" t="n">
        <v>0.0036</v>
      </c>
      <c r="N2252" t="n">
        <v>0.1053</v>
      </c>
      <c r="O2252" t="n">
        <v>0.1812</v>
      </c>
    </row>
    <row r="2253">
      <c r="A2253" t="inlineStr">
        <is>
          <t>springboot</t>
        </is>
      </c>
      <c r="B2253" t="inlineStr">
        <is>
          <t>cli/spring-boot-cli/src/json-shade/java/org/springframework/boot/cli/json/JSONArray.java</t>
        </is>
      </c>
      <c r="C2253">
        <f>HYPERLINK("https://github.com/spring-projects/spring-boot/blob/master/cli/spring-boot-cli/src/json-shade/java/org/springframework/boot/cli/json/JSONArray.java")</f>
        <v/>
      </c>
      <c r="D2253" t="inlineStr">
        <is>
          <t>```plaintext
The provided code is a Java class named `JsonIndexedSequence` that implements an indexed sequence of values which can be any mix of JSON objects (referenced as @link JSONObject). The implementation uses the principles of core algorithms and data structures to manage this collection efficiently with complexity O(N), where N represents the number of elements in the sequence. This repository</t>
        </is>
      </c>
      <c r="E2253" t="n">
        <v>0.0043</v>
      </c>
      <c r="F2253" t="n">
        <v>0.08699999999999999</v>
      </c>
      <c r="G2253" t="n">
        <v>0.1894</v>
      </c>
      <c r="H2253" t="inlineStr">
        <is>
          <t>The provided code is a simple function that adds two numbers together and returns the result. It's complexity is O(1), meaning it takes constant time to execute regardless of the size of inputs. The license at the top indicates that this software is licensed under Apache 2.0 License.
Here are some key points about the code:
- This function `add` receives</t>
        </is>
      </c>
      <c r="I2253" t="n">
        <v>0.0039</v>
      </c>
      <c r="J2253" t="n">
        <v>0.08450000000000001</v>
      </c>
      <c r="K2253" t="n">
        <v>0.1504</v>
      </c>
      <c r="L2253" t="inlineStr">
        <is>
          <t>The provided code is a Java class named `JsonIndexedSequence` that extends an abstract base class called `AbstractSequentialJsonProvider`. It represents a dense indexed sequence of values which can be any mix of JSON objects (`JSONObject`). The purpose of this class seems to be the creation and management of such sequences for use in applications dealing with large amounts of data or complex</t>
        </is>
      </c>
      <c r="M2253" t="n">
        <v>0.003</v>
      </c>
      <c r="N2253" t="n">
        <v>0.058</v>
      </c>
      <c r="O2253" t="n">
        <v>0.1128</v>
      </c>
    </row>
    <row r="2254">
      <c r="A2254" t="inlineStr">
        <is>
          <t>springboot</t>
        </is>
      </c>
      <c r="B2254" t="inlineStr">
        <is>
          <t>cli/spring-boot-cli/src/json-shade/java/org/springframework/boot/cli/json/JSONObject.java</t>
        </is>
      </c>
      <c r="C2254">
        <f>HYPERLINK("https://github.com/spring-projects/spring-boot/blob/master/cli/spring-boot-cli/src/json-shade/java/org/springframework/boot/cli/json/JSONObject.java")</f>
        <v/>
      </c>
      <c r="D2254" t="inlineStr">
        <is>
          <t>```plaintext
The code provided is a Java class for managing and manipulating sets of key-value pairs (mappings). The keys are unique non-null strings while the values can be any type. It uses LinkedHashMaps to store these mappings in an order they were added. 
It has methods like add(), remove() etc., which allow you to</t>
        </is>
      </c>
      <c r="E2254" t="n">
        <v>0.0034</v>
      </c>
      <c r="F2254" t="n">
        <v>0.0312</v>
      </c>
      <c r="G2254" t="n">
        <v>0.0794</v>
      </c>
      <c r="H2254" t="inlineStr">
        <is>
          <t>The code provided is a simple function that performs addition of two numbers in Java. The functionality it provides can be summarized as follows:
It takes in two parameters (numbers), adds them together and returns the result. This operation has a time complexity of O(1). 
Here's how you would use this method in your program:
```java
int sum</t>
        </is>
      </c>
      <c r="I2254" t="n">
        <v>0.0041</v>
      </c>
      <c r="J2254" t="n">
        <v>0.0588</v>
      </c>
      <c r="K2254" t="n">
        <v>0.1538</v>
      </c>
      <c r="L2254" t="inlineStr">
        <is>
          <t>The provided code is a Java class named `JsonObject` that extends the functionality of an existing JSON source code by adding modifiable mappings for name/value pairs. The names are unique non-null strings and values can be any type (including other JsonObjects). This class uses data structures like ArrayList, LinkedHashMap to store these mappings in a specific order. It also implements methods such</t>
        </is>
      </c>
      <c r="M2254" t="n">
        <v>0.0042</v>
      </c>
      <c r="N2254" t="n">
        <v>0.0556</v>
      </c>
      <c r="O2254" t="n">
        <v>0.1493</v>
      </c>
    </row>
    <row r="2255">
      <c r="A2255" t="inlineStr">
        <is>
          <t>springboot</t>
        </is>
      </c>
      <c r="B2255" t="inlineStr">
        <is>
          <t>cli/spring-boot-cli/src/json-shade/java/org/springframework/boot/cli/json/JSON.java</t>
        </is>
      </c>
      <c r="C2255">
        <f>HYPERLINK("https://github.com/spring-projects/spring-boot/blob/master/cli/spring-boot-cli/src/json-shade/java/org/springframework/boot/cli/json/JSON.java")</f>
        <v/>
      </c>
      <c r="D2255" t="inlineStr">
        <is>
          <t>The provided code is a Java class named JSON with static methods for checking and converting values to specific types. The checkDouble method checks if the given double value is infinite or NaN (Not a Number), throwing an exception in such cases. The booleanToBoolean method attempts to convert its argument into a Boolean instance, returning null otherwise.
Please note that this code seems incomplete as it does</t>
        </is>
      </c>
      <c r="E2255" t="n">
        <v>0.0027</v>
      </c>
      <c r="F2255" t="n">
        <v>0.0267</v>
      </c>
      <c r="G2255" t="n">
        <v>0.07190000000000001</v>
      </c>
      <c r="H2255" t="inlineStr">
        <is>
          <t>The code provided is a Java class named "JSON". This class contains two static methods that perform checks on input parameters and throw an exception if the inputs are not valid (i.e., they're infinite or NaN). The first method `checkDouble` takes in a double as its parameter and verifies whether it represents a finite number by using the Double utility function 'isFinite'.</t>
        </is>
      </c>
      <c r="I2255" t="n">
        <v>0.0035</v>
      </c>
      <c r="J2255" t="n">
        <v>0.0556</v>
      </c>
      <c r="K2255" t="n">
        <v>0.1119</v>
      </c>
      <c r="L2255" t="inlineStr">
        <is>
          <t>The provided code is a Java class named `JSON` that contains two static methods for checking and converting various types of data. 
The first method, `checkDouble()`, checks if the given double value (named 'd') represents an infinite or NaN number, throwing a custom exception `JSONException` with an appropriate message in case it does. The second method, `</t>
        </is>
      </c>
      <c r="M2255" t="n">
        <v>0.0032</v>
      </c>
      <c r="N2255" t="n">
        <v>0.0312</v>
      </c>
      <c r="O2255" t="n">
        <v>0.0388</v>
      </c>
    </row>
    <row r="2256">
      <c r="A2256" t="inlineStr">
        <is>
          <t>springboot</t>
        </is>
      </c>
      <c r="B2256" t="inlineStr">
        <is>
          <t>cli/spring-boot-cli/src/main/java/org/springframework/boot/cli/DefaultCommandFactory.java</t>
        </is>
      </c>
      <c r="C2256">
        <f>HYPERLINK("https://github.com/spring-projects/spring-boot/blob/master/cli/spring-boot-cli/src/main/java/org/springframework/boot/cli/DefaultCommandFactory.java")</f>
        <v/>
      </c>
      <c r="D2256" t="inlineStr">
        <is>
          <t>The provided code is a Java program that uses Spring Boot CLI (Command Line Interface). It defines the core functionality of commands for this framework such as version command and other utility commands like help etc. The copyright information at the beginning indicates it's licensed under Apache License 2.0 which means you can use or modify the software in any way but must include original authorship att</t>
        </is>
      </c>
      <c r="E2256" t="n">
        <v>0.0068</v>
      </c>
      <c r="F2256" t="n">
        <v>0.0779</v>
      </c>
      <c r="G2256" t="n">
        <v>0.2676</v>
      </c>
      <c r="H2256" t="inlineStr">
        <is>
          <t>The provided code is a Java package for Spring Boot CLI (Command Line Interface). It contains several commands including the Version Command which displays version information of various components such as spring boot and its dependencies. The complexity here would be O(N), where N represents the number of commands in the system. This could increase if more commands are added or existing ones have their functionality modified.
In</t>
        </is>
      </c>
      <c r="I2256" t="n">
        <v>0.0035</v>
      </c>
      <c r="J2256" t="n">
        <v>0.0519</v>
      </c>
      <c r="K2256" t="n">
        <v>0.1071</v>
      </c>
      <c r="L2256" t="inlineStr">
        <is>
          <t>The code provided is a part of the Spring Boot CLI (Command Line Interface) project. It defines several commands for use with this framework, including one to display version information.
Here's an overview of what it does: 
It creates and manages command objects based on user input using CommandFactory class. The main purpose of these commands is to provide specific functionality related</t>
        </is>
      </c>
      <c r="M2256" t="n">
        <v>0.0035</v>
      </c>
      <c r="N2256" t="n">
        <v>0.0563</v>
      </c>
      <c r="O2256" t="n">
        <v>0.1119</v>
      </c>
    </row>
    <row r="2257">
      <c r="A2257" t="inlineStr">
        <is>
          <t>springboot</t>
        </is>
      </c>
      <c r="B2257" t="inlineStr">
        <is>
          <t>cli/spring-boot-cli/src/main/java/org/springframework/boot/cli/package-info.java</t>
        </is>
      </c>
      <c r="C2257">
        <f>HYPERLINK("https://github.com/spring-projects/spring-boot/blob/master/cli/spring-boot-cli/src/main/java/org/springframework/boot/cli/package-info.java")</f>
        <v/>
      </c>
      <c r="D2257" t="inlineStr">
        <is>
          <t>The provided code is a part of the Spring Boot CLI (Command Line Interface), which is used for creating and managing spring boot applications from the command line interface. It's licensed under Apache License 2.0, meaning you can use it freely but must comply with its terms. The main entry point to this application appears to be in `org.springframework.boot.cli</t>
        </is>
      </c>
      <c r="E2257" t="n">
        <v>0.0031</v>
      </c>
      <c r="F2257" t="n">
        <v>0.0278</v>
      </c>
      <c r="G2257" t="n">
        <v>0.1145</v>
      </c>
      <c r="H2257" t="inlineStr">
        <is>
          <t>The provided code is a simple function that adds two numbers together and returns the result. It's complexity is O(1), meaning it performs constant time operations regardless of input size. The license at the top indicates this software can be used under certain conditions as specified by Apache License 2.0.
In summary, this piece of code takes in two parameters (numbers 'a</t>
        </is>
      </c>
      <c r="I2257" t="n">
        <v>0.0035</v>
      </c>
      <c r="J2257" t="n">
        <v>0.0548</v>
      </c>
      <c r="K2257" t="n">
        <v>0.1493</v>
      </c>
      <c r="L2257" t="inlineStr">
        <is>
          <t>The provided code is a Spring Boot CLI (Command Line Interface) application with the main entry point marked as @NullMarked package org.springframework.boot.cli. This software serves as an interface for executing commands and options related to Spring Boot applications from the command line or shell scripts. The purpose of this program is to manage operations such as starting, stopping, building, testing, etc.,</t>
        </is>
      </c>
      <c r="M2257" t="n">
        <v>0.007</v>
      </c>
      <c r="N2257" t="n">
        <v>0.0833</v>
      </c>
      <c r="O2257" t="n">
        <v>0.1128</v>
      </c>
    </row>
    <row r="2258">
      <c r="A2258" t="inlineStr">
        <is>
          <t>springboot</t>
        </is>
      </c>
      <c r="B2258" t="inlineStr">
        <is>
          <t>cli/spring-boot-cli/src/main/java/org/springframework/boot/cli/SpringCli.java</t>
        </is>
      </c>
      <c r="C2258">
        <f>HYPERLINK("https://github.com/spring-projects/spring-boot/blob/master/cli/spring-boot-cli/src/main/java/org/springframework/boot/cli/SpringCli.java")</f>
        <v/>
      </c>
      <c r="D2258" t="inlineStr">
        <is>
          <t>The provided code is a Java program that sets up the command line interface for Spring Boot applications. It's licensed under Apache License 2.0 and includes various licensing information at the top of the file. The main functionality involves loading commands from different plugins using ServiceLoader, creating instances of CommandFactories to run these commands, and executing them with arguments passed in through the CL</t>
        </is>
      </c>
      <c r="E2258" t="n">
        <v>0.0034</v>
      </c>
      <c r="F2258" t="n">
        <v>0.0541</v>
      </c>
      <c r="G2258" t="n">
        <v>0.0735</v>
      </c>
      <c r="H2258" t="inlineStr">
        <is>
          <t>The code provided is a Java Spring Boot CLI (Command Line Interface), which provides command line functionality for managing and executing commands related to the project. The main function of this software seems to be loading services from different packages in the classpath using ServiceLoader, creating CommandFactories based on these loaded services, then running the specified command with those factories.
The add method appears to</t>
        </is>
      </c>
      <c r="I2258" t="n">
        <v>0.0037</v>
      </c>
      <c r="J2258" t="n">
        <v>0.0548</v>
      </c>
      <c r="K2258" t="n">
        <v>0.2304</v>
      </c>
      <c r="L2258" t="inlineStr">
        <is>
          <t>The provided code is a part of the Spring Boot CLI (Command Line Interface) project which provides command line utilities for managing and executing various tasks related to Spring Boot applications such as starting an application, creating new projects etc.
It begins with import statements that include necessary classes from Java's standard library and several other packages used in the context of Spring Boot framework. The main class</t>
        </is>
      </c>
      <c r="M2258" t="n">
        <v>0.0027</v>
      </c>
      <c r="N2258" t="n">
        <v>0.026</v>
      </c>
      <c r="O2258" t="n">
        <v>0.07140000000000001</v>
      </c>
    </row>
    <row r="2259">
      <c r="A2259" t="inlineStr">
        <is>
          <t>springboot</t>
        </is>
      </c>
      <c r="B2259" t="inlineStr">
        <is>
          <t>cli/spring-boot-cli/src/main/java/org/springframework/boot/cli/command/CommandFactory.java</t>
        </is>
      </c>
      <c r="C2259">
        <f>HYPERLINK("https://github.com/spring-projects/spring-boot/blob/master/cli/spring-boot-cli/src/main/java/org/springframework/boot/cli/command/CommandFactory.java")</f>
        <v/>
      </c>
      <c r="D2259" t="inlineStr">
        <is>
          <t>The provided code is a functional interface named CommandFactory that uses Java's Service Loader to create CLI commands. The factory returns the CLI command based on certain conditions and does not require any parameters or arguments during instantiation. It follows Apache License 2.0 which requires attribution and permits usage in compliance with the license terms.
The function of this class seems to be</t>
        </is>
      </c>
      <c r="E2259" t="n">
        <v>0.0029</v>
      </c>
      <c r="F2259" t="n">
        <v>0.0548</v>
      </c>
      <c r="G2259" t="n">
        <v>0.1111</v>
      </c>
      <c r="H2259" t="inlineStr">
        <is>
          <t>The provided code is a Java package that uses the Service Loader mechanism to create CLI commands. The factory interface `CommandFactory` has one method `getCommands()` which returns a collection of Command objects. Each command object represents an operation or action that can be performed by the application.
The function getCommands() loads all available implementations of the CommandFactory using java</t>
        </is>
      </c>
      <c r="I2259" t="n">
        <v>0</v>
      </c>
      <c r="J2259" t="n">
        <v>0.0299</v>
      </c>
      <c r="K2259" t="n">
        <v>0.07630000000000001</v>
      </c>
      <c r="L2259" t="inlineStr">
        <is>
          <t>The code provided is a functional interface named `CommandFactory` that returns CLI Command objects. The purpose of this class seems to be as a factory for creating and returning instances of different types of commands based on certain conditions or inputs. This functionality could potentially allow the creation of custom command line interfaces (CLIs) by allowing developers to create their own specific implementations of the 'Command' object.</t>
        </is>
      </c>
      <c r="M2259" t="n">
        <v>0.0036</v>
      </c>
      <c r="N2259" t="n">
        <v>0.0533</v>
      </c>
      <c r="O2259" t="n">
        <v>0.1439</v>
      </c>
    </row>
    <row r="2260">
      <c r="A2260" t="inlineStr">
        <is>
          <t>springboot</t>
        </is>
      </c>
      <c r="B2260" t="inlineStr">
        <is>
          <t>cli/spring-boot-cli/src/main/java/org/springframework/boot/cli/command/package-info.java</t>
        </is>
      </c>
      <c r="C2260">
        <f>HYPERLINK("https://github.com/spring-projects/spring-boot/blob/master/cli/spring-boot-cli/src/main/java/org/springframework/boot/cli/command/package-info.java")</f>
        <v/>
      </c>
      <c r="D2260" t="inlineStr">
        <is>
          <t>The provided code is a part of the Spring Boot CLI (Command Line Interface). It's used for command infrastructure and it contains an annotation @NullMarked which marks nullability in method parameters, return types etc., as well as other parts of the package like README file that explains about repository contents, complexity level, comments on implementation details, commits made to this base</t>
        </is>
      </c>
      <c r="E2260" t="n">
        <v>0.003</v>
      </c>
      <c r="F2260" t="n">
        <v>0.0286</v>
      </c>
      <c r="G2260" t="n">
        <v>0.1504</v>
      </c>
      <c r="H2260" t="inlineStr">
        <is>
          <t>The provided code is a Java class that implements the command infrastructure for CLI (Command Line Interface). It's part of a larger system where Spring Boot framework components are used to manage and execute commands from the terminal or command prompt. The complexity of this function is O(n), as it iterates over an array once but performs constant time operations inside each iteration. This means its performance will scale</t>
        </is>
      </c>
      <c r="I2260" t="n">
        <v>0.0035</v>
      </c>
      <c r="J2260" t="n">
        <v>0.0506</v>
      </c>
      <c r="K2260" t="n">
        <v>0.1418</v>
      </c>
      <c r="L2260" t="inlineStr">
        <is>
          <t>The provided code is a Java class named CommandInfrastructure that extends the org.springframework.boot.cli.command.AbstractCommand class from Spring Boot's CLI (Command Line Interface). The purpose of this class seems to be to manage and execute commands via the command line interface. It appears to use annotations for null safety checks (@NullMarked) which might indicate its usage in</t>
        </is>
      </c>
      <c r="M2260" t="n">
        <v>0.0033</v>
      </c>
      <c r="N2260" t="n">
        <v>0.058</v>
      </c>
      <c r="O2260" t="n">
        <v>0.1181</v>
      </c>
    </row>
    <row r="2261">
      <c r="A2261" t="inlineStr">
        <is>
          <t>springboot</t>
        </is>
      </c>
      <c r="B2261" t="inlineStr">
        <is>
          <t>cli/spring-boot-cli/src/main/java/org/springframework/boot/cli/command/CommandRunner.java</t>
        </is>
      </c>
      <c r="C2261">
        <f>HYPERLINK("https://github.com/spring-projects/spring-boot/blob/master/cli/spring-boot-cli/src/main/java/org/springframework/boot/cli/command/CommandRunner.java")</f>
        <v/>
      </c>
      <c r="D2261" t="inlineStr">
        <is>
          <t>The code provided is a Java class for managing Spring Boot CLI commands and their associated functionality. It includes various import statements related to the usage of Apache License 2.0 (which defines terms under which software can be used), enumeration types representing different command statuses, and classes implementing specific functionalities such as "Command". The complexity of this code appears to be O(N).</t>
        </is>
      </c>
      <c r="E2261" t="n">
        <v>0.0035</v>
      </c>
      <c r="F2261" t="n">
        <v>0.0833</v>
      </c>
      <c r="G2261" t="n">
        <v>0.1866</v>
      </c>
      <c r="H2261" t="inlineStr">
        <is>
          <t>The code you provided is a simple function to add two numbers in Java named `add`. It takes two parameters (numbers), adds them together and returns the result. The time complexity of this operation is O(1).
Here's the summary for your reference: 
```python
# Copyright 2012-present the original author or authors.
#</t>
        </is>
      </c>
      <c r="I2261" t="n">
        <v>0.0035</v>
      </c>
      <c r="J2261" t="n">
        <v>0.06560000000000001</v>
      </c>
      <c r="K2261" t="n">
        <v>0.121</v>
      </c>
      <c r="L2261" t="inlineStr">
        <is>
          <t>The provided code is a Java class that implements the Command interface from Spring Boot CLI (Command Line Interface). The main purpose of this class seems to be to manage and execute commands related to Spring Boot applications. 
#
# This command line tool provides functionalities for managing and executing various tasks such as creating new projects, running existing ones, or even upgrading them. It uses an underlying framework</t>
        </is>
      </c>
      <c r="M2261" t="n">
        <v>0.0035</v>
      </c>
      <c r="N2261" t="n">
        <v>0.08</v>
      </c>
      <c r="O2261" t="n">
        <v>0.1418</v>
      </c>
    </row>
    <row r="2262">
      <c r="A2262" t="inlineStr">
        <is>
          <t>springboot</t>
        </is>
      </c>
      <c r="B2262" t="inlineStr">
        <is>
          <t>cli/spring-boot-cli/src/main/java/org/springframework/boot/cli/command/CommandException.java</t>
        </is>
      </c>
      <c r="C2262">
        <f>HYPERLINK("https://github.com/spring-projects/spring-boot/blob/master/cli/spring-boot-cli/src/main/java/org/springframework/boot/cli/command/CommandException.java")</f>
        <v/>
      </c>
      <c r="D2262" t="inlineStr">
        <is>
          <t>The provided code is a Java class that extends the `RuntimeException` to create custom exceptions for command line applications in Spring Boot. This exception provides additional options (enumerated as an enum type), which are understood by the CommandRunner and can be used to customize error handling or logging based on specific conditions during application execution. The license of this project specifies that it's licensed under</t>
        </is>
      </c>
      <c r="E2262" t="n">
        <v>0.0033</v>
      </c>
      <c r="F2262" t="n">
        <v>0.0541</v>
      </c>
      <c r="G2262" t="n">
        <v>0.1095</v>
      </c>
      <c r="H2262" t="inlineStr">
        <is>
          <t>The provided code is a Java class that defines an exception wrapper for command line operations in Spring Boot framework. It extends the RuntimeException and adds additional options understood by CommandRunner. The license at the top of the file specifies Apache License 2.0 which means you can use this code under certain conditions.
The complexity here is O(N), where N represents the number of options added</t>
        </is>
      </c>
      <c r="I2262" t="n">
        <v>0.0028</v>
      </c>
      <c r="J2262" t="n">
        <v>0.0263</v>
      </c>
      <c r="K2262" t="n">
        <v>0.1087</v>
      </c>
      <c r="L2262" t="inlineStr">
        <is>
          <t>ThegivenJavacoderespresentsaSpringBootCLIcommandrunnerruntimeexceptionhandlerclasswhichhandlesanyunexpectederrorsduringcommandsrunthroughspringbootcli.ItusesJSpecifyannotationfornullabilitychecksandenumsettostoresupportedoptions. The class is annotated with @author and @since tags to indicate the author of the code as well as its</t>
        </is>
      </c>
      <c r="M2262" t="n">
        <v>0.0091</v>
      </c>
      <c r="N2262" t="n">
        <v>0.0667</v>
      </c>
      <c r="O2262" t="n">
        <v>0.0538</v>
      </c>
    </row>
    <row r="2263">
      <c r="A2263" t="inlineStr">
        <is>
          <t>springboot</t>
        </is>
      </c>
      <c r="B2263" t="inlineStr">
        <is>
          <t>cli/spring-boot-cli/src/main/java/org/springframework/boot/cli/command/OptionParsingCommand.java</t>
        </is>
      </c>
      <c r="C2263">
        <f>HYPERLINK("https://github.com/spring-projects/spring-boot/blob/master/cli/spring-boot-cli/src/main/java/org/springframework/boot/cli/command/OptionParsingCommand.java")</f>
        <v/>
      </c>
      <c r="D2263" t="inlineStr">
        <is>
          <t>The provided code is a Java class that represents the base for a command in Spring Boot CLI (Command Line Interface). The purpose of this class seems to be to parse options using an OptionHandler and provide help related to those options via OptionHelp. If run successfully, it will exit with ExitStatus indicating success or failure.
The main functionality appears to involve parsing command line arguments</t>
        </is>
      </c>
      <c r="E2263" t="n">
        <v>0.0033</v>
      </c>
      <c r="F2263" t="n">
        <v>0.0541</v>
      </c>
      <c r="G2263" t="n">
        <v>0.1087</v>
      </c>
      <c r="H2263" t="inlineStr">
        <is>
          <t>The provided code is a Java class that represents the base for a command in Spring Boot CLI (Spring Command Line Interface). This class defines a basic structure of a command with options and status handling functionality. The copyright notice at the beginning indicates it's licensed under Apache License 2.0.
Here are some key parts to summarize this code:
```plaintext</t>
        </is>
      </c>
      <c r="I2263" t="n">
        <v>0.0036</v>
      </c>
      <c r="J2263" t="n">
        <v>0.0571</v>
      </c>
      <c r="K2263" t="n">
        <v>0.1136</v>
      </c>
      <c r="L2263" t="inlineStr">
        <is>
          <t>The provided code is a part of the Spring Boot CLI (Command Line Interface) project and it defines a base class for commands that parse options using an OptionHandler. This command has two main functionalities - parsing options with an option handler and handling status based on parsed options. The purpose of this code can be summarized as follows: "Defines a base Command class to handle user input</t>
        </is>
      </c>
      <c r="M2263" t="n">
        <v>0.0032</v>
      </c>
      <c r="N2263" t="n">
        <v>0.08</v>
      </c>
      <c r="O2263" t="n">
        <v>0.1071</v>
      </c>
    </row>
    <row r="2264">
      <c r="A2264" t="inlineStr">
        <is>
          <t>springboot</t>
        </is>
      </c>
      <c r="B2264" t="inlineStr">
        <is>
          <t>cli/spring-boot-cli/src/main/java/org/springframework/boot/cli/command/Command.java</t>
        </is>
      </c>
      <c r="C2264">
        <f>HYPERLINK("https://github.com/spring-projects/spring-boot/blob/master/cli/spring-boot-cli/src/main/java/org/springframework/boot/cli/command/Command.java")</f>
        <v/>
      </c>
      <c r="D2264" t="inlineStr">
        <is>
          <t>The provided code is a Java class that defines the structure of a single command to be run from the Command Line Interface (CLI). It imports necessary dependencies and provides an abstract base for commands in Spring Boot CLI. The copyright information at the top indicates it's licensed under Apache License 2.0. This license requires compliance with any modifications made by authors or contributors.</t>
        </is>
      </c>
      <c r="E2264" t="n">
        <v>0.0034</v>
      </c>
      <c r="F2264" t="n">
        <v>0.027</v>
      </c>
      <c r="G2264" t="n">
        <v>0.1103</v>
      </c>
      <c r="H2264" t="inlineStr">
        <is>
          <t>The provided code is a Java class that represents a single command to be run from the Command Line Interface (CLI). The class has several annotations indicating its author and purpose. It also contains methods for running commands and handling options and statuses related to those commands. This code does not seem to contain any specific functionality relating to addition of numbers as per your request. Nevertheless, it's important</t>
        </is>
      </c>
      <c r="I2264" t="n">
        <v>0.0035</v>
      </c>
      <c r="J2264" t="n">
        <v>0.0513</v>
      </c>
      <c r="K2264" t="n">
        <v>0.1064</v>
      </c>
      <c r="L2264" t="inlineStr">
        <is>
          <t>The provided code is a Java class named `Command` that implements the functionality of running single commands from the Command Line Interface (CLI). It's part of a larger Spring Boot project and has been designed to be used as a standalone command line tool or in other applications using the same framework.
It defines several methods for executing different operations based on user input. The main purpose</t>
        </is>
      </c>
      <c r="M2264" t="n">
        <v>0.0036</v>
      </c>
      <c r="N2264" t="n">
        <v>0.0789</v>
      </c>
      <c r="O2264" t="n">
        <v>0.1079</v>
      </c>
    </row>
    <row r="2265">
      <c r="A2265" t="inlineStr">
        <is>
          <t>springboot</t>
        </is>
      </c>
      <c r="B2265" t="inlineStr">
        <is>
          <t>cli/spring-boot-cli/src/main/java/org/springframework/boot/cli/command/NoHelpCommandArgumentsException.java</t>
        </is>
      </c>
      <c r="C2265">
        <f>HYPERLINK("https://github.com/spring-projects/spring-boot/blob/master/cli/spring-boot-cli/src/main/java/org/springframework/boot/cli/command/NoHelpCommandArgumentsException.java")</f>
        <v/>
      </c>
      <c r="D2265" t="inlineStr">
        <is>
          <t>The code you provided is a Java class that extends the CommandException and throws an exception when no arguments are passed to the help command in Spring Boot CLI (Command Line Interface). The summary of this functionality could be "Throws NoHelpCommandArgumentsException if help command called without any argument".
It's important to note that it doesn't repeat the code as per your instructions</t>
        </is>
      </c>
      <c r="E2265" t="n">
        <v>0.0035</v>
      </c>
      <c r="F2265" t="n">
        <v>0.0556</v>
      </c>
      <c r="G2265" t="n">
        <v>0.1119</v>
      </c>
      <c r="H2265" t="inlineStr">
        <is>
          <t>The provided code is a Java class that extends an existing CommandException and throws it when the help command is called without arguments. The license at the top of this file states that you may not use any part of this software except in compliance with the Apache License 2.0. This means that if used for commercial purposes or as part of another project, proper attribution must be given to the original</t>
        </is>
      </c>
      <c r="I2265" t="n">
        <v>0.0033</v>
      </c>
      <c r="J2265" t="n">
        <v>0.0494</v>
      </c>
      <c r="K2265" t="n">
        <v>0.1389</v>
      </c>
      <c r="L2265" t="inlineStr">
        <is>
          <t>The provided code is a custom exception class `NoHelpCommandArgumentsException` that extends the base command exception class from Spring Boot CLI (Command Line Interface). This specific exception is thrown when the help command in the application without any arguments is called. The purpose of this class seems to be to provide more detailed error messages about why an argument was not supplied for the help command.
The</t>
        </is>
      </c>
      <c r="M2265" t="n">
        <v>0.0028</v>
      </c>
      <c r="N2265" t="n">
        <v>0.027</v>
      </c>
      <c r="O2265" t="n">
        <v>0.0362</v>
      </c>
    </row>
    <row r="2266">
      <c r="A2266" t="inlineStr">
        <is>
          <t>springboot</t>
        </is>
      </c>
      <c r="B2266" t="inlineStr">
        <is>
          <t>cli/spring-boot-cli/src/main/java/org/springframework/boot/cli/command/NoArgumentsException.java</t>
        </is>
      </c>
      <c r="C2266">
        <f>HYPERLINK("https://github.com/spring-projects/spring-boot/blob/master/cli/spring-boot-cli/src/main/java/org/springframework/boot/cli/command/NoArgumentsException.java")</f>
        <v/>
      </c>
      <c r="D2266" t="inlineStr">
        <is>
          <t>The provided code is a Java class named `NoArgumentsException` that extends the base class `CommandException`. This exception is used to indicate when no arguments are specified in an application using Spring Boot CLI (Command Line Interface). The license for this software can be found at https://www.apache.org/licenses/LICENSE-2.0 and it's distributed under the</t>
        </is>
      </c>
      <c r="E2266" t="n">
        <v>0.0047</v>
      </c>
      <c r="F2266" t="n">
        <v>0.0896</v>
      </c>
      <c r="G2266" t="n">
        <v>0.2566</v>
      </c>
      <c r="H2266" t="inlineStr">
        <is>
          <t>The provided code is a Java class named NoArgumentsException that extends the CommandException class from Spring Boot CLI command module. This exception is used to indicate when no arguments are specified in the input. The license at the top of this file states that it's licensed under Apache License 2.0 and any use of this software must comply with its terms.
In summary, this</t>
        </is>
      </c>
      <c r="I2266" t="n">
        <v>0.0037</v>
      </c>
      <c r="J2266" t="n">
        <v>0.0541</v>
      </c>
      <c r="K2266" t="n">
        <v>0.1471</v>
      </c>
      <c r="L2266" t="inlineStr">
        <is>
          <t>The provided code is a Java class named NoArgumentsException that extends the CommandException class from Spring Boot CLI package. This exception is thrown when no arguments are specified in an operation requiring them. The purpose of this class seems to be for error handling and providing clear information about what went wrong without revealing too much implementation details. It's licensed under Apache License 2.0 which means it</t>
        </is>
      </c>
      <c r="M2266" t="n">
        <v>0.0032</v>
      </c>
      <c r="N2266" t="n">
        <v>0.0519</v>
      </c>
      <c r="O2266" t="n">
        <v>0.1439</v>
      </c>
    </row>
    <row r="2267">
      <c r="A2267" t="inlineStr">
        <is>
          <t>springboot</t>
        </is>
      </c>
      <c r="B2267" t="inlineStr">
        <is>
          <t>cli/spring-boot-cli/src/main/java/org/springframework/boot/cli/command/NoSuchCommandException.java</t>
        </is>
      </c>
      <c r="C2267">
        <f>HYPERLINK("https://github.com/spring-projects/spring-boot/blob/master/cli/spring-boot-cli/src/main/java/org/springframework/boot/cli/command/NoSuchCommandException.java")</f>
        <v/>
      </c>
      <c r="D2267" t="inlineStr">
        <is>
          <t>The provided code is a Java class that extends the CommandException and represents an exception to be thrown when a command does not exist in the system. The error message includes the name of the invalid command along with instructions on how to use 'help'. This code snippet appears to belong to Spring Boot CLI (Command Line Interface), which is used for managing Spring Boot applications from the command line.</t>
        </is>
      </c>
      <c r="E2267" t="n">
        <v>0.0031</v>
      </c>
      <c r="F2267" t="n">
        <v>0.0256</v>
      </c>
      <c r="G2267" t="n">
        <v>0.1056</v>
      </c>
      <c r="H2267" t="inlineStr">
        <is>
          <t>The provided code is a Java package containing an exception class that extends another Command Exception class. The copyright notice at the top of this file states that it is licensed under Apache License 2.0 and any usage must comply with these terms.
In summary, there are two functions in total - one for addition (`add()`), which takes two numbers as arguments and returns their sum</t>
        </is>
      </c>
      <c r="I2267" t="n">
        <v>0.0028</v>
      </c>
      <c r="J2267" t="n">
        <v>0.08110000000000001</v>
      </c>
      <c r="K2267" t="n">
        <v>0.1449</v>
      </c>
      <c r="L2267" t="inlineStr">
        <is>
          <t>The provided code is a Java class that extends from the CommandException superclass and throws an exception when a command requested by the user does not exist in the application. The main purpose of this class is to handle exceptions related to invalid commands.
It takes one argument during instantiation which represents the name of the command that was attempted but could not be found. It then formats this information into</t>
        </is>
      </c>
      <c r="M2267" t="n">
        <v>0.0026</v>
      </c>
      <c r="N2267" t="n">
        <v>0.0253</v>
      </c>
      <c r="O2267" t="n">
        <v>0.0699</v>
      </c>
    </row>
    <row r="2268">
      <c r="A2268" t="inlineStr">
        <is>
          <t>springboot</t>
        </is>
      </c>
      <c r="B2268" t="inlineStr">
        <is>
          <t>cli/spring-boot-cli/src/main/java/org/springframework/boot/cli/command/HelpExample.java</t>
        </is>
      </c>
      <c r="C2268">
        <f>HYPERLINK("https://github.com/spring-projects/spring-boot/blob/master/cli/spring-boot-cli/src/main/java/org/springframework/boot/cli/command/HelpExample.java")</f>
        <v/>
      </c>
      <c r="D2268" t="inlineStr">
        <is>
          <t>The provided code is a Java class named `HelpExample` which represents an example to be displayed in the help of Spring Boot CLI commands. It has two private final String fields for description and example respectively. The constructor takes these as parameters to initialize them. This class seems to represent some form of documentation or user guide feature where it shows how to use certain command line interface (CLI).</t>
        </is>
      </c>
      <c r="E2268" t="n">
        <v>0.0031</v>
      </c>
      <c r="F2268" t="n">
        <v>0.026</v>
      </c>
      <c r="G2268" t="n">
        <v>0.1064</v>
      </c>
      <c r="H2268" t="inlineStr">
        <is>
          <t>The provided code is a Java class named `HelpExample` that represents an example to be displayed in the help of Spring Boot CLI command. It has two private fields - `description` and `example` which represent the description (what it does) and example usage respectively. The class also contains getters for these fields but no setters or other methods apart from constructors.</t>
        </is>
      </c>
      <c r="I2268" t="n">
        <v>0.003</v>
      </c>
      <c r="J2268" t="n">
        <v>0.0294</v>
      </c>
      <c r="K2268" t="n">
        <v>0.0376</v>
      </c>
      <c r="L2268" t="inlineStr">
        <is>
          <t>The provided code is a Java class named "HelpExample". This class has two private final fields - "description", and "example". The purpose of this class seems to be to provide an example for help display in Spring Boot CLI. 
The constructor method initializes these two fields with the values passed as arguments when creating an instance of HelpExample. There are no methods defined within</t>
        </is>
      </c>
      <c r="M2268" t="n">
        <v>0.0034</v>
      </c>
      <c r="N2268" t="n">
        <v>0.0563</v>
      </c>
      <c r="O2268" t="n">
        <v>0.0735</v>
      </c>
    </row>
    <row r="2269">
      <c r="A2269" t="inlineStr">
        <is>
          <t>springboot</t>
        </is>
      </c>
      <c r="B2269" t="inlineStr">
        <is>
          <t>cli/spring-boot-cli/src/main/java/org/springframework/boot/cli/command/AbstractCommand.java</t>
        </is>
      </c>
      <c r="C2269">
        <f>HYPERLINK("https://github.com/spring-projects/spring-boot/blob/master/cli/spring-boot-cli/src/main/java/org/springframework/boot/cli/command/AbstractCommand.java")</f>
        <v/>
      </c>
      <c r="D2269" t="inlineStr">
        <is>
          <t>```plaintext
The code provided is a Java class that represents an abstract command in the Spring Boot CLI (Command Line Interface). 
It defines some basic properties and methods for commands to be used by the Spring Boot application. The license details are also included at the top of the file which states it's licensed under Apache License Version 2.0. This software can</t>
        </is>
      </c>
      <c r="E2269" t="n">
        <v>0.0069</v>
      </c>
      <c r="F2269" t="n">
        <v>0.0556</v>
      </c>
      <c r="G2269" t="n">
        <v>0.2355</v>
      </c>
      <c r="H2269" t="inlineStr">
        <is>
          <t>The code provided is a Java class that defines an abstract command for Spring Boot CLI (Command Line Interface). This class provides the basic structure of any other commands in this software package. The copyright notice at the top indicates it's licensed under Apache License 2.0. It contains comments explaining what each part does and some license information as well.
It also has methods like get</t>
        </is>
      </c>
      <c r="I2269" t="n">
        <v>0.0036</v>
      </c>
      <c r="J2269" t="n">
        <v>0.0789</v>
      </c>
      <c r="K2269" t="n">
        <v>0.2287</v>
      </c>
      <c r="L2269" t="inlineStr">
        <is>
          <t>The provided code is an abstract class named "AbstractCommand". This class implements the Command interface from Spring Boot CLI command package. The purpose of this class seems to be to provide a base implementation for other commands in the system. 
It defines several methods that are likely related to setting up and executing commands with options and arguments. It also includes some JSpecify annotations which could</t>
        </is>
      </c>
      <c r="M2269" t="n">
        <v>0.0036</v>
      </c>
      <c r="N2269" t="n">
        <v>0.08110000000000001</v>
      </c>
      <c r="O2269" t="n">
        <v>0.1087</v>
      </c>
    </row>
    <row r="2270">
      <c r="A2270" t="inlineStr">
        <is>
          <t>springboot</t>
        </is>
      </c>
      <c r="B2270" t="inlineStr">
        <is>
          <t>cli/spring-boot-cli/src/main/java/org/springframework/boot/cli/command/encodepassword/EncodePasswordCommand.java</t>
        </is>
      </c>
      <c r="C2270">
        <f>HYPERLINK("https://github.com/spring-projects/spring-boot/blob/master/cli/spring-boot-cli/src/main/java/org/springframework/boot/cli/command/encodepassword/EncodePasswordCommand.java")</f>
        <v/>
      </c>
      <c r="D2270" t="inlineStr">
        <is>
          <t>The provided code is a Java implementation of password encoding using Spring Boot CLI command line interface (CLI). It uses Apache License 2.0 for licensing which means the software can be used, modified and distributed freely as long as it complies with this license agreement. The code defines an option set to handle options from the user's input when running commands in the terminal or console.</t>
        </is>
      </c>
      <c r="E2270" t="n">
        <v>0.0033</v>
      </c>
      <c r="F2270" t="n">
        <v>0.0526</v>
      </c>
      <c r="G2270" t="n">
        <v>0.1812</v>
      </c>
      <c r="H2270" t="inlineStr">
        <is>
          <t>The provided code is a Java package that contains backend software components for encoding passwords and implements core algorithms to do so. The copyright information at the top of the file states that it's licensed under Apache License 2.0.
In this repository, there are several classes related to handling options in command line interface (CLI), which may be used when running Spring Boot applications with</t>
        </is>
      </c>
      <c r="I2270" t="n">
        <v>0.007</v>
      </c>
      <c r="J2270" t="n">
        <v>0.08</v>
      </c>
      <c r="K2270" t="n">
        <v>0.3112</v>
      </c>
      <c r="L2270" t="inlineStr">
        <is>
          <t>The provided code is a Java class for encoding passwords using Spring Boot CLI command line interface. The purpose of this class seems to be secure and manage the storage of user credentials in an application.
It uses several packages including `joptsimple` which provides simple option parsing functionality, and it also imports classes from `java.util` package like ArrayList, Arrays</t>
        </is>
      </c>
      <c r="M2270" t="n">
        <v>0.0031</v>
      </c>
      <c r="N2270" t="n">
        <v>0.0882</v>
      </c>
      <c r="O2270" t="n">
        <v>0.1145</v>
      </c>
    </row>
    <row r="2271">
      <c r="A2271" t="inlineStr">
        <is>
          <t>springboot</t>
        </is>
      </c>
      <c r="B2271" t="inlineStr">
        <is>
          <t>cli/spring-boot-cli/src/main/java/org/springframework/boot/cli/command/encodepassword/package-info.java</t>
        </is>
      </c>
      <c r="C2271">
        <f>HYPERLINK("https://github.com/spring-projects/spring-boot/blob/master/cli/spring-boot-cli/src/main/java/org/springframework/boot/cli/command/encodepassword/package-info.java")</f>
        <v/>
      </c>
      <c r="D2271" t="inlineStr">
        <is>
          <t>```java
/* Copyright 2012-present the original author or authors. */
/* Licensed under the Apache License, Version 2.0 (the "License"); */
/* you may not use this file except in compliance with the License. */
/* You may obtain a copy of the License at https://www.apache.org/licenses/</t>
        </is>
      </c>
      <c r="E2271" t="n">
        <v>0</v>
      </c>
      <c r="F2271" t="n">
        <v>0.0377</v>
      </c>
      <c r="G2271" t="n">
        <v>0.0847</v>
      </c>
      <c r="H2271" t="inlineStr">
        <is>
          <t>The provided code is a Java class that encodes passwords using the Spring Boot CLI command for encoding passwords. The function `encodePassword` takes in two parameters - an instance of `EncryptionParameters` and a plaintext password to encode. It returns the encoded password as a string. This process involves generating secure random bytes, applying encryption on them with AES algorithm, then converting these</t>
        </is>
      </c>
      <c r="I2271" t="n">
        <v>0.0035</v>
      </c>
      <c r="J2271" t="n">
        <v>0.058</v>
      </c>
      <c r="K2271" t="n">
        <v>0.1119</v>
      </c>
      <c r="L2271" t="inlineStr">
        <is>
          <t>The provided code is a CLI command for password encoding using the Spring Boot framework. The purpose of this program is to secure sensitive data such as user credentials by converting them into an encoded format that can be stored or transmitted without revealing actual information. This process helps in maintaining security and privacy standards. It takes input from users (plaintext password) and produces output (encoded password). The time</t>
        </is>
      </c>
      <c r="M2271" t="n">
        <v>0.0031</v>
      </c>
      <c r="N2271" t="n">
        <v>0.0519</v>
      </c>
      <c r="O2271" t="n">
        <v>0.1064</v>
      </c>
    </row>
    <row r="2272">
      <c r="A2272" t="inlineStr">
        <is>
          <t>springboot</t>
        </is>
      </c>
      <c r="B2272" t="inlineStr">
        <is>
          <t>cli/spring-boot-cli/src/main/java/org/springframework/boot/cli/command/core/package-info.java</t>
        </is>
      </c>
      <c r="C2272">
        <f>HYPERLINK("https://github.com/spring-projects/spring-boot/blob/master/cli/spring-boot-cli/src/main/java/org/springframework/boot/cli/command/core/package-info.java")</f>
        <v/>
      </c>
      <c r="D2272" t="inlineStr">
        <is>
          <t>The provided code is a Java implementation of core CLI commands for Spring Boot application. It's licensed under Apache License 2.0 and it contains the main functionalities related to command line interface (CLI), specifically handling core algorithms in backend software components. The complexity of this code base seems to be O(N). There are no comments or specific instructions given about how to run or test</t>
        </is>
      </c>
      <c r="E2272" t="n">
        <v>0.0037</v>
      </c>
      <c r="F2272" t="n">
        <v>0.0789</v>
      </c>
      <c r="G2272" t="n">
        <v>0.219</v>
      </c>
      <c r="H2272" t="inlineStr">
        <is>
          <t>The function provided is a simple addition operation that takes two numbers as input and returns their sum. It operates with constant time complexity of O(1), meaning it performs the same number of operations regardless of the size of the inputs.
Here's an example code snippet for reference:
```java
public int add(@NullMarked Integer a, @NullMarked Integer</t>
        </is>
      </c>
      <c r="I2272" t="n">
        <v>0.0033</v>
      </c>
      <c r="J2272" t="n">
        <v>0.0597</v>
      </c>
      <c r="K2272" t="n">
        <v>0.0781</v>
      </c>
      <c r="L2272" t="inlineStr">
        <is>
          <t>The provided code is a Spring Boot CLI command for managing core commands in the application context. The main purpose of this class seems to be to provide an interface for interacting with and manipulating the core commands available within the Spring Boot framework. 
It appears to define two methods - `run` which executes some logic related to running commands based on user input, and `getCommand</t>
        </is>
      </c>
      <c r="M2272" t="n">
        <v>0.0033</v>
      </c>
      <c r="N2272" t="n">
        <v>0.0822</v>
      </c>
      <c r="O2272" t="n">
        <v>0.1449</v>
      </c>
    </row>
    <row r="2273">
      <c r="A2273" t="inlineStr">
        <is>
          <t>springboot</t>
        </is>
      </c>
      <c r="B2273" t="inlineStr">
        <is>
          <t>cli/spring-boot-cli/src/main/java/org/springframework/boot/cli/command/core/HintCommand.java</t>
        </is>
      </c>
      <c r="C2273">
        <f>HYPERLINK("https://github.com/spring-projects/spring-boot/blob/master/cli/spring-boot-cli/src/main/java/org/springframework/boot/cli/command/core/HintCommand.java")</f>
        <v/>
      </c>
      <c r="D2273" t="inlineStr">
        <is>
          <t>```plaintext
The provided code is a Java class that defines the core functionality of a command line interface (CLI). This CLI allows for various commands to be run with different options and arguments. The copyright information at the top indicates this software may not be used except in compliance with the Apache License 2.0. It provides details on how users can obtain a copy of</t>
        </is>
      </c>
      <c r="E2273" t="n">
        <v>0.0074</v>
      </c>
      <c r="F2273" t="n">
        <v>0.08110000000000001</v>
      </c>
      <c r="G2273" t="n">
        <v>0.3255</v>
      </c>
      <c r="H2273" t="inlineStr">
        <is>
          <t>The provided code is a Java package that contains backend software components for implementing core algorithms. It's licensed under the Apache License 2.0 and it seems to be part of a larger project with other similar packages as well. The main class `CoreAlgorithm` implements an algorithm using ArrayList data structure which has time complexity O(n). However, without more context or specific details about what this</t>
        </is>
      </c>
      <c r="I2273" t="n">
        <v>0.004</v>
      </c>
      <c r="J2273" t="n">
        <v>0.1053</v>
      </c>
      <c r="K2273" t="n">
        <v>0.219</v>
      </c>
      <c r="L2273" t="inlineStr">
        <is>
          <t>The provided code is a Java implementation of the core algorithms used in Spring Boot CLI (Command Line Interface). It defines an abstract command class that extends from another Command class and implements various interfaces such as CommandRunner. The main purpose of this code seems to be to manage commands for the Spring Boot application through the command line interface.
It takes inputs including options and arguments related to those commands</t>
        </is>
      </c>
      <c r="M2273" t="n">
        <v>0.0034</v>
      </c>
      <c r="N2273" t="n">
        <v>0.0759</v>
      </c>
      <c r="O2273" t="n">
        <v>0.1748</v>
      </c>
    </row>
    <row r="2274">
      <c r="A2274" t="inlineStr">
        <is>
          <t>springboot</t>
        </is>
      </c>
      <c r="B2274" t="inlineStr">
        <is>
          <t>cli/spring-boot-cli/src/main/java/org/springframework/boot/cli/command/core/VersionCommand.java</t>
        </is>
      </c>
      <c r="C2274">
        <f>HYPERLINK("https://github.com/spring-projects/spring-boot/blob/master/cli/spring-boot-cli/src/main/java/org/springframework/boot/cli/command/core/VersionCommand.java")</f>
        <v/>
      </c>
      <c r="D2274" t="inlineStr">
        <is>
          <t>The provided code is a Java class that extends the AbstractCommand class from Spring Boot CLI (Command Line Interface). The purpose of this class seems to be to display the version number when invoked with the '--version' command line argument.
Here are some key points about it:
- It defines an abstract Command named `version` which prints out its own version information and</t>
        </is>
      </c>
      <c r="E2274" t="n">
        <v>0.0029</v>
      </c>
      <c r="F2274" t="n">
        <v>0.0571</v>
      </c>
      <c r="G2274" t="n">
        <v>0.0741</v>
      </c>
      <c r="H2274" t="inlineStr">
        <is>
          <t>The provided code is a Java class that extends the AbstractCommand class from Spring Boot CLI (Command Line Interface). The purpose of this class seems to be to display the 'version' number when invoked with the --version option in the command line interface. 
It appears to have been written by Phillip Webb and it was last modified around January 2017.</t>
        </is>
      </c>
      <c r="I2274" t="n">
        <v>0.003</v>
      </c>
      <c r="J2274" t="n">
        <v>0.0588</v>
      </c>
      <c r="K2274" t="n">
        <v>0.07580000000000001</v>
      </c>
      <c r="L2274" t="inlineStr">
        <is>
          <t>ThegivenJavaSpringBootcodefilecontainsabstractclassesforhandlingcommandsintheframework.Oneofthoseclasses,namely{@linkCommand},displaystheapplicationversionnumbersuchthatwheninvokedfromthecommandlinewiththeargument"--version",theapplyingversionwillbeshown.ItusesaLoggerinstance,{@link Log},towriteout</t>
        </is>
      </c>
      <c r="M2274" t="n">
        <v>0</v>
      </c>
      <c r="N2274" t="n">
        <v>0</v>
      </c>
      <c r="O2274" t="n">
        <v>0</v>
      </c>
    </row>
    <row r="2275">
      <c r="A2275" t="inlineStr">
        <is>
          <t>springboot</t>
        </is>
      </c>
      <c r="B2275" t="inlineStr">
        <is>
          <t>cli/spring-boot-cli/src/main/java/org/springframework/boot/cli/command/core/HelpCommand.java</t>
        </is>
      </c>
      <c r="C2275">
        <f>HYPERLINK("https://github.com/spring-projects/spring-boot/blob/master/cli/spring-boot-cli/src/main/java/org/springframework/boot/cli/command/core/HelpCommand.java")</f>
        <v/>
      </c>
      <c r="D2275" t="inlineStr">
        <is>
          <t>```text
The provided code is a Java class that defines the core functionality of Spring Boot CLI commands. It contains an implementation of command line interface (CLI) operations for managing and executing various tasks related to backend software components. The code is licensed under Apache License 2.0. This means it can be used freely in any project as long as proper attribution is given</t>
        </is>
      </c>
      <c r="E2275" t="n">
        <v>0.0076</v>
      </c>
      <c r="F2275" t="n">
        <v>0.0822</v>
      </c>
      <c r="G2275" t="n">
        <v>0.3135</v>
      </c>
      <c r="H2275" t="inlineStr">
        <is>
          <t>The provided code is a Java package that contains backend software components related to command line interface (CLI). The main class extends an abstract Command class from Spring Boot CLI framework and implements the execute method for executing commands in the application context of Spring Boot applications. 
It also imports various utility classes like ArrayList, Collection, Collections, List, Set etc., which are part of</t>
        </is>
      </c>
      <c r="I2275" t="n">
        <v>0.0037</v>
      </c>
      <c r="J2275" t="n">
        <v>0.0556</v>
      </c>
      <c r="K2275" t="n">
        <v>0.1471</v>
      </c>
      <c r="L2275" t="inlineStr">
        <is>
          <t>The provided code is a part of the Spring Boot CLI (Command Line Interface) project and it's used for managing commands in the application. It defines an abstract command class that extends from another Command interface. The main purpose of this code seems to be defining new types of commands with custom behavior.
Here are some key operations identified based on the logic present in the code:</t>
        </is>
      </c>
      <c r="M2275" t="n">
        <v>0.0027</v>
      </c>
      <c r="N2275" t="n">
        <v>0.0526</v>
      </c>
      <c r="O2275" t="n">
        <v>0.1079</v>
      </c>
    </row>
    <row r="2276">
      <c r="A2276" t="inlineStr">
        <is>
          <t>springboot</t>
        </is>
      </c>
      <c r="B2276" t="inlineStr">
        <is>
          <t>cli/spring-boot-cli/src/main/java/org/springframework/boot/cli/command/options/package-info.java</t>
        </is>
      </c>
      <c r="C2276">
        <f>HYPERLINK("https://github.com/spring-projects/spring-boot/blob/master/cli/spring-boot-cli/src/main/java/org/springframework/boot/cli/command/options/package-info.java")</f>
        <v/>
      </c>
      <c r="D2276" t="inlineStr">
        <is>
          <t>The provided code is a Java class that handles command line options for Spring Boot applications using the Null Marked package from JSpecify annotations. It's designed to handle complex algorithms and implement core functionalities of backend software components. The complexity of this implementation appears to be O(N), with N representing the number of lines in the file or the size of data being processed.</t>
        </is>
      </c>
      <c r="E2276" t="n">
        <v>0.0037</v>
      </c>
      <c r="F2276" t="n">
        <v>0.08110000000000001</v>
      </c>
      <c r="G2276" t="n">
        <v>0.3135</v>
      </c>
      <c r="H2276" t="inlineStr">
        <is>
          <t>The provided code is a Java function named `add` that takes two parameters and returns their sum. This functionality can be summarized as follows:
```plaintext
Function Name: add
Inputs: Two numbers (integers or floats)
Output: The sum of the inputs
Complexity: O(1), meaning it has constant time complexity since no looping</t>
        </is>
      </c>
      <c r="I2276" t="n">
        <v>0.0047</v>
      </c>
      <c r="J2276" t="n">
        <v>0.0667</v>
      </c>
      <c r="K2276" t="n">
        <v>0.1626</v>
      </c>
      <c r="L2276" t="inlineStr">
        <is>
          <t>The provided code file is a Java class named "CommandLineOption". This class appears to be part of the Spring Framework's command line option handling system and it uses JSpecify annotations for null safety. The main purpose of this class seems to be to handle command line options with support for null marking. It takes inputs (option names) and produces outputs (a NullMarked</t>
        </is>
      </c>
      <c r="M2276" t="n">
        <v>0.0035</v>
      </c>
      <c r="N2276" t="n">
        <v>0.0563</v>
      </c>
      <c r="O2276" t="n">
        <v>0.1119</v>
      </c>
    </row>
    <row r="2277">
      <c r="A2277" t="inlineStr">
        <is>
          <t>springboot</t>
        </is>
      </c>
      <c r="B2277" t="inlineStr">
        <is>
          <t>cli/spring-boot-cli/src/main/java/org/springframework/boot/cli/command/options/OptionHelp.java</t>
        </is>
      </c>
      <c r="C2277">
        <f>HYPERLINK("https://github.com/spring-projects/spring-boot/blob/master/cli/spring-boot-cli/src/main/java/org/springframework/boot/cli/command/options/OptionHelp.java")</f>
        <v/>
      </c>
      <c r="D2277" t="inlineStr">
        <is>
          <t>```plaintext
The provided code is a Java interface named OptionHelp that provides methods for getting options and usage help for an option. The implementation of this interface could be used in command line applications to provide user with information about available options when they use the application incorrectly or need more detailed explanation on how to use specific commands. 
It's licensed under Apache License Version</t>
        </is>
      </c>
      <c r="E2277" t="n">
        <v>0.0028</v>
      </c>
      <c r="F2277" t="n">
        <v>0.027</v>
      </c>
      <c r="G2277" t="n">
        <v>0.146</v>
      </c>
      <c r="H2277" t="inlineStr">
        <is>
          <t>The provided code is a Java package named `org.springframework.boot.cli.command.options` that contains an interface called `OptionHelp` with two methods - `getOptions()` and `usage()`. The method `getOptions()` returns a set of strings representing options that are mutually synonymous. Meanwhile, the method `usage()` provides usage help for each option</t>
        </is>
      </c>
      <c r="I2277" t="n">
        <v>0.004</v>
      </c>
      <c r="J2277" t="n">
        <v>0.0345</v>
      </c>
      <c r="K2277" t="n">
        <v>0.0424</v>
      </c>
      <c r="L2277" t="inlineStr">
        <is>
          <t>The provided code is a Java class named `OptionHelp` that implements the interface `org.springframework.boot.cli.command.options.OptionHelp`. This class provides help for specific options in Spring Boot CLI commands.
Here's how it works: 
It defines two methods:
1. `getOptions()` - Returns a set of option</t>
        </is>
      </c>
      <c r="M2277" t="n">
        <v>0.0052</v>
      </c>
      <c r="N2277" t="n">
        <v>0.0357</v>
      </c>
      <c r="O2277" t="n">
        <v>0.0877</v>
      </c>
    </row>
    <row r="2278">
      <c r="A2278" t="inlineStr">
        <is>
          <t>springboot</t>
        </is>
      </c>
      <c r="B2278" t="inlineStr">
        <is>
          <t>cli/spring-boot-cli/src/main/java/org/springframework/boot/cli/command/options/OptionHandler.java</t>
        </is>
      </c>
      <c r="C2278">
        <f>HYPERLINK("https://github.com/spring-projects/spring-boot/blob/master/cli/spring-boot-cli/src/main/java/org/springframework/boot/cli/command/options/OptionHandler.java")</f>
        <v/>
      </c>
      <c r="D2278" t="inlineStr">
        <is>
          <t>```java
// Copyright 2012-present the original author or authors.
// Licensed under the Apache License, Version 2.0 (the "License");
// you may not use this file except in compliance with the License.
// You can obtain a copy of the License at https://www.apache.org/licenses/LICENSE-</t>
        </is>
      </c>
      <c r="E2278" t="n">
        <v>0</v>
      </c>
      <c r="F2278" t="n">
        <v>0.037</v>
      </c>
      <c r="G2278" t="n">
        <v>0.08699999999999999</v>
      </c>
      <c r="H2278" t="inlineStr">
        <is>
          <t>The provided code is a Java package that contains backend software components for implementing core algorithms. It includes import statements for various java utilities and packages such as ByteArrayOutputStream, IOException, OutputStream etc., which are used in different parts of the application to handle byte streams, I/O operations, collections framework, sorting data structures like lists or sets, managing maps, handling exceptions and more. The</t>
        </is>
      </c>
      <c r="I2278" t="n">
        <v>0.0038</v>
      </c>
      <c r="J2278" t="n">
        <v>0.1111</v>
      </c>
      <c r="K2278" t="n">
        <v>0.2756</v>
      </c>
      <c r="L2278" t="inlineStr">
        <is>
          <t>The provided code is a part of the Spring Boot CLI (Command Line Interface) project and it deals with options handling for commands in this framework. The main purpose of this class seems to be managing command line option definitions and their usage within various contexts such as help generation or validation during runtime execution of these commands.
It uses Java's standard libraries extensively including classes like ByteArrayOutputStream</t>
        </is>
      </c>
      <c r="M2278" t="n">
        <v>0.0027</v>
      </c>
      <c r="N2278" t="n">
        <v>0.0519</v>
      </c>
      <c r="O2278" t="n">
        <v>0.1071</v>
      </c>
    </row>
    <row r="2279">
      <c r="A2279" t="inlineStr">
        <is>
          <t>springboot</t>
        </is>
      </c>
      <c r="B2279" t="inlineStr">
        <is>
          <t>cli/spring-boot-cli/src/main/java/org/springframework/boot/cli/command/init/ProjectGenerationResponse.java</t>
        </is>
      </c>
      <c r="C2279">
        <f>HYPERLINK("https://github.com/spring-projects/spring-boot/blob/master/cli/spring-boot-cli/src/main/java/org/springframework/boot/cli/command/init/ProjectGenerationResponse.java")</f>
        <v/>
      </c>
      <c r="D2279" t="inlineStr">
        <is>
          <t>The code is a representation of the response to a project generation request in Spring Boot CLI. The class `ProjectGenerationResponse` holds three fields - content type (representing the format of the generated content), byte array content (representing the actual content that was generated by the request), and README information about the repository. It also includes complexity as O(N), indicating linear time complexity</t>
        </is>
      </c>
      <c r="E2279" t="n">
        <v>0.0029</v>
      </c>
      <c r="F2279" t="n">
        <v>0.0286</v>
      </c>
      <c r="G2279" t="n">
        <v>0.0373</v>
      </c>
      <c r="H2279" t="inlineStr">
        <is>
          <t>The provided code is a Java class named "ProjectGenerationResponse". This class represents the response of a project generation request and contains three private fields: 'contentType', 'content' (which can be null), and 'readme'. The content type field holds an instance of ContentType which indicates the media type of the HTTP message body or part thereof. The readme field might contain information about</t>
        </is>
      </c>
      <c r="I2279" t="n">
        <v>0.0036</v>
      </c>
      <c r="J2279" t="n">
        <v>0.058</v>
      </c>
      <c r="K2279" t="n">
        <v>0.1128</v>
      </c>
      <c r="L2279" t="inlineStr">
        <is>
          <t>The `ProjectGenerationResponse` class in the provided code represents a response to a project generation request. It holds information about the content type of the generated project and its actual content (if any). The content is returned as bytes with an optional summary associated with it. This class adheres to good coding practices such as readability, maintainability, and comprehensibility by following standard Java conventions for</t>
        </is>
      </c>
      <c r="M2279" t="n">
        <v>0.0034</v>
      </c>
      <c r="N2279" t="n">
        <v>0.0556</v>
      </c>
      <c r="O2279" t="n">
        <v>0.0735</v>
      </c>
    </row>
    <row r="2280">
      <c r="A2280" t="inlineStr">
        <is>
          <t>springboot</t>
        </is>
      </c>
      <c r="B2280" t="inlineStr">
        <is>
          <t>cli/spring-boot-cli/src/main/java/org/springframework/boot/cli/command/init/ProjectGenerator.java</t>
        </is>
      </c>
      <c r="C2280">
        <f>HYPERLINK("https://github.com/spring-projects/spring-boot/blob/master/cli/spring-boot-cli/src/main/java/org/springframework/boot/cli/command/init/ProjectGenerator.java")</f>
        <v/>
      </c>
      <c r="D2280" t="inlineStr">
        <is>
          <t>The provided code is a Java implementation of the initialization command for Spring Boot CLI (Command Line Interface). It's designed to create an initial code base with backend software components and implements core algorithms as per requirements. The complexity of this function appears to be O(n), where n represents the number of files in the zip archive being unzipped.
It uses Apache License 2</t>
        </is>
      </c>
      <c r="E2280" t="n">
        <v>0.0072</v>
      </c>
      <c r="F2280" t="n">
        <v>0.1081</v>
      </c>
      <c r="G2280" t="n">
        <v>0.3135</v>
      </c>
      <c r="H2280" t="inlineStr">
        <is>
          <t>The provided code is a Java implementation of the zip file extraction functionality. The function `unpackArchive` takes an input stream and destination directory as parameters to extract all files from the compressed archive into the specified output folder. 
It uses ZipInputStream for reading entries in the .zip file, creates directories if necessary using FileUtils, writes bytes to disk with FileOutputStream, handles</t>
        </is>
      </c>
      <c r="I2280" t="n">
        <v>0.003</v>
      </c>
      <c r="J2280" t="n">
        <v>0.08699999999999999</v>
      </c>
      <c r="K2280" t="n">
        <v>0.1128</v>
      </c>
      <c r="L2280" t="inlineStr">
        <is>
          <t>The provided code is a Java class that initializes and creates new Spring Boot projects using the command line interface (CLI). The main purpose of this class seems to be creating an empty project structure with necessary files for Spring Boot applications. 
It takes in two parameters - `url` which specifies the URL from where the zip file containing the template can be downloaded, and `path`</t>
        </is>
      </c>
      <c r="M2280" t="n">
        <v>0.0028</v>
      </c>
      <c r="N2280" t="n">
        <v>0.0548</v>
      </c>
      <c r="O2280" t="n">
        <v>0.1087</v>
      </c>
    </row>
    <row r="2281">
      <c r="A2281" t="inlineStr">
        <is>
          <t>springboot</t>
        </is>
      </c>
      <c r="B2281" t="inlineStr">
        <is>
          <t>cli/spring-boot-cli/src/main/java/org/springframework/boot/cli/command/init/Dependency.java</t>
        </is>
      </c>
      <c r="C2281">
        <f>HYPERLINK("https://github.com/spring-projects/spring-boot/blob/master/cli/spring-boot-cli/src/main/java/org/springframework/boot/cli/command/init/Dependency.java")</f>
        <v/>
      </c>
      <c r="D2281" t="inlineStr">
        <is>
          <t>The provided code is a simple class named `Dependency` that represents some basic information about a dependency in a project. It has three fields (`id`, `name` and `description`). The constructor of the class takes these three parameters as arguments which are set to instance variables using this keyword. 
The Apache License header at the top of the file indicates that it's</t>
        </is>
      </c>
      <c r="E2281" t="n">
        <v>0.003</v>
      </c>
      <c r="F2281" t="n">
        <v>0.0286</v>
      </c>
      <c r="G2281" t="n">
        <v>0.1128</v>
      </c>
      <c r="H2281" t="inlineStr">
        <is>
          <t>The provided code is a Java class named `Dependency` that represents a dependency in the context of software development or any other similar contexts where dependencies are managed and tracked. The class has three fields (attributes), each one being nullable (@Nullable annotation indicates it can be null). This class seems to have some kind of initialization logic but there's no method defined for this purpose. It also contains</t>
        </is>
      </c>
      <c r="I2281" t="n">
        <v>0.0035</v>
      </c>
      <c r="J2281" t="n">
        <v>0.0779</v>
      </c>
      <c r="K2281" t="n">
        <v>0.1071</v>
      </c>
      <c r="L2281" t="inlineStr">
        <is>
          <t>The provided code is a Java class named `Dependency` that represents some basic information about a dependency in a project. The class has three fields (instance variables):
- `id` of type String which could be null.
- `name` also of type String and can be null.
- `description` also of type String and can be null. 
It defines</t>
        </is>
      </c>
      <c r="M2281" t="n">
        <v>0.0031</v>
      </c>
      <c r="N2281" t="n">
        <v>0.0317</v>
      </c>
      <c r="O2281" t="n">
        <v>0.0385</v>
      </c>
    </row>
    <row r="2282">
      <c r="A2282" t="inlineStr">
        <is>
          <t>springboot</t>
        </is>
      </c>
      <c r="B2282" t="inlineStr">
        <is>
          <t>cli/spring-boot-cli/src/main/java/org/springframework/boot/cli/command/init/package-info.java</t>
        </is>
      </c>
      <c r="C2282">
        <f>HYPERLINK("https://github.com/spring-projects/spring-boot/blob/master/cli/spring-boot-cli/src/main/java/org/springframework/boot/cli/command/init/package-info.java")</f>
        <v/>
      </c>
      <c r="D2282" t="inlineStr">
        <is>
          <t>```java
/* 
 * Copyright 2012-present the original author or authors.
 * Licensed under the Apache License, Version 2.0 (the "License");
 * you may not use this file except in compliance with the License.
 * You can obtain a copy of the License at
 * https://www.apache.org/lic</t>
        </is>
      </c>
      <c r="E2282" t="n">
        <v>0</v>
      </c>
      <c r="F2282" t="n">
        <v>0.0377</v>
      </c>
      <c r="G2282" t="n">
        <v>0.08550000000000001</v>
      </c>
      <c r="H2282" t="inlineStr">
        <is>
          <t>The provided code is a simple function for addition of two numbers in Python named `add`. It takes two parameters 'a' and 'b', adds them together and returns the result. The time complexity of this operation is O(1), meaning it performs constant amount of work regardless of input size.
In terms of comments, there are no specific instructions or explanations about what happens inside</t>
        </is>
      </c>
      <c r="I2282" t="n">
        <v>0.0028</v>
      </c>
      <c r="J2282" t="n">
        <v>0.0548</v>
      </c>
      <c r="K2282" t="n">
        <v>0.1103</v>
      </c>
      <c r="L2282" t="inlineStr">
        <is>
          <t>The provided code is a Spring Initializer command for initializing a new application using the Spring Boot framework. It's annotated with @NullMarked to indicate that null values are not allowed in this package and its subpackages. The code also includes comments about Apache License 2.0 which specifies conditions under which you can use it. This tool helps developers create projects based on different configurations of</t>
        </is>
      </c>
      <c r="M2282" t="n">
        <v>0.0033</v>
      </c>
      <c r="N2282" t="n">
        <v>0.0533</v>
      </c>
      <c r="O2282" t="n">
        <v>0.1095</v>
      </c>
    </row>
    <row r="2283">
      <c r="A2283" t="inlineStr">
        <is>
          <t>springboot</t>
        </is>
      </c>
      <c r="B2283" t="inlineStr">
        <is>
          <t>cli/spring-boot-cli/src/main/java/org/springframework/boot/cli/command/init/InitializrServiceMetadata.java</t>
        </is>
      </c>
      <c r="C2283">
        <f>HYPERLINK("https://github.com/spring-projects/spring-boot/blob/master/cli/spring-boot-cli/src/main/java/org/springframework/boot/cli/command/init/InitializrServiceMetadata.java")</f>
        <v/>
      </c>
      <c r="D2283" t="inlineStr">
        <is>
          <t>The code provided is a Java class that initializes and manages the creation of Spring Boot CLI commands for project initialization. It also includes Apache License information at the top which specifies conditions under which users may use this software or parts of it. The complexity of the function is O(N), indicating linear time complexity due to usage of iterators over collections in certain methods (specifically</t>
        </is>
      </c>
      <c r="E2283" t="n">
        <v>0.0033</v>
      </c>
      <c r="F2283" t="n">
        <v>0.08</v>
      </c>
      <c r="G2283" t="n">
        <v>0.2287</v>
      </c>
      <c r="H2283" t="inlineStr">
        <is>
          <t>The provided code is a Java package that contains backend software components for initializing Spring Boot CLI commands. The complexity of this implementation can be considered O(N), where N represents the number of algorithms implemented in the package. This includes various operations such as JSON parsing and manipulation which are commonplace when dealing with REST APIs or any other form of network communication.
In</t>
        </is>
      </c>
      <c r="I2283" t="n">
        <v>0.0037</v>
      </c>
      <c r="J2283" t="n">
        <v>0.0822</v>
      </c>
      <c r="K2283" t="n">
        <v>0.1471</v>
      </c>
      <c r="L2283" t="inlineStr">
        <is>
          <t>The provided code is a part of the Spring Boot CLI (Command Line Interface) project and it's used for initializing new projects with specific configurations or dependencies based on user input. The main purpose of this class seems to be managing and storing various configuration options as key-value pairs in a HashMap named 'options'. 
It also provides methods for adding, removing, checking</t>
        </is>
      </c>
      <c r="M2283" t="n">
        <v>0.0029</v>
      </c>
      <c r="N2283" t="n">
        <v>0.0556</v>
      </c>
      <c r="O2283" t="n">
        <v>0.1119</v>
      </c>
    </row>
    <row r="2284">
      <c r="A2284" t="inlineStr">
        <is>
          <t>springboot</t>
        </is>
      </c>
      <c r="B2284" t="inlineStr">
        <is>
          <t>cli/spring-boot-cli/src/main/java/org/springframework/boot/cli/command/init/InitializrService.java</t>
        </is>
      </c>
      <c r="C2284">
        <f>HYPERLINK("https://github.com/spring-projects/spring-boot/blob/master/cli/spring-boot-cli/src/main/java/org/springframework/boot/cli/command/init/InitializrService.java")</f>
        <v/>
      </c>
      <c r="D2284" t="inlineStr">
        <is>
          <t>The code provided is a Java implementation of an HTTP client using Apache HttpClient library to send GET requests and handle responses from the server. It's licensed under the Apache License 2.0 which allows for free use, modification, distribution etc., subject to conditions specified in the license text. The code defines methods for sending HTTP Get request with specific URI and handling response based on various status codes or</t>
        </is>
      </c>
      <c r="E2284" t="n">
        <v>0.0026</v>
      </c>
      <c r="F2284" t="n">
        <v>0.0506</v>
      </c>
      <c r="G2284" t="n">
        <v>0.1064</v>
      </c>
      <c r="H2284" t="inlineStr">
        <is>
          <t>The provided code is a Java function named `add` that takes two parameters and returns their sum. The complexity of this operation is O(1), meaning it always executes in the same amount of time regardless of input size.
Here's the summary for your reference: 
```plaintext
Function Name: add
Input Parameters: Two numbers (integers or</t>
        </is>
      </c>
      <c r="I2284" t="n">
        <v>0.0034</v>
      </c>
      <c r="J2284" t="n">
        <v>0.0625</v>
      </c>
      <c r="K2284" t="n">
        <v>0.119</v>
      </c>
      <c r="L2284" t="inlineStr">
        <is>
          <t>The provided code is a Java class named "InitCommand". This class implements the Spring Boot CLI command interface and uses Apache HttpClient for HTTP requests. The main purpose of this class seems to be to initialize or set up new projects based on specific templates from remote repositories.
It takes an array of arguments which represent URLs pointing towards template repositories. It then sends GET requests</t>
        </is>
      </c>
      <c r="M2284" t="n">
        <v>0.0036</v>
      </c>
      <c r="N2284" t="n">
        <v>0.08110000000000001</v>
      </c>
      <c r="O2284" t="n">
        <v>0.1449</v>
      </c>
    </row>
    <row r="2285">
      <c r="A2285" t="inlineStr">
        <is>
          <t>springboot</t>
        </is>
      </c>
      <c r="B2285" t="inlineStr">
        <is>
          <t>cli/spring-boot-cli/src/main/java/org/springframework/boot/cli/command/init/ServiceCapabilitiesReportGenerator.java</t>
        </is>
      </c>
      <c r="C2285">
        <f>HYPERLINK("https://github.com/spring-projects/spring-boot/blob/master/cli/spring-boot-cli/src/main/java/org/springframework/boot/cli/command/init/ServiceCapabilitiesReportGenerator.java")</f>
        <v/>
      </c>
      <c r="D2285" t="inlineStr">
        <is>
          <t>The provided code is a Java class for generating a report from the README file of a repository containing backend software components. The complexity of this operation is O(N), as it involves iterative processing over N elements (lines in the README). This implementation also implements core algorithms and uses specific commit information to generate reports about commits made initially on the code base. The size of the code base</t>
        </is>
      </c>
      <c r="E2285" t="n">
        <v>0.007</v>
      </c>
      <c r="F2285" t="n">
        <v>0.1026</v>
      </c>
      <c r="G2285" t="n">
        <v>0.3024</v>
      </c>
      <c r="H2285" t="inlineStr">
        <is>
          <t>The provided code is a Java class that initializes and generates reports from a list of backend software components using core algorithms. The complexity of this function appears to be O(n), as it iterates over the input data structure once.
Here's an overview of what the functionality might do:
It starts by importing necessary packages for handling lists, maps, sets, etc</t>
        </is>
      </c>
      <c r="I2285" t="n">
        <v>0.0042</v>
      </c>
      <c r="J2285" t="n">
        <v>0.08450000000000001</v>
      </c>
      <c r="K2285" t="n">
        <v>0.188</v>
      </c>
      <c r="L2285" t="inlineStr">
        <is>
          <t>The provided code is a Java class named `InitCommand` which appears to be part of the Spring Boot CLI (Command Line Interface) project for generating reports from them. The purpose of this class seems to be to generate an initialization command with various options and features based on user input or default settings.
Here's what it does in general steps: 
1. It</t>
        </is>
      </c>
      <c r="M2285" t="n">
        <v>0.0029</v>
      </c>
      <c r="N2285" t="n">
        <v>0.0563</v>
      </c>
      <c r="O2285" t="n">
        <v>0.1119</v>
      </c>
    </row>
    <row r="2286">
      <c r="A2286" t="inlineStr">
        <is>
          <t>springboot</t>
        </is>
      </c>
      <c r="B2286" t="inlineStr">
        <is>
          <t>cli/spring-boot-cli/src/main/java/org/springframework/boot/cli/command/init/ReportableException.java</t>
        </is>
      </c>
      <c r="C2286">
        <f>HYPERLINK("https://github.com/spring-projects/spring-boot/blob/master/cli/spring-boot-cli/src/main/java/org/springframework/boot/cli/command/init/ReportableException.java")</f>
        <v/>
      </c>
      <c r="D2286" t="inlineStr">
        <is>
          <t>The code provided is a Java class named `ReportableException` that extends the built-in `java.lang.RuntimeException` class and has two constructors for creating an exception with a message or a cause (a specific error). This class seems to be part of Spring Boot's command initialization feature which might handle exceptions during application startup. The summary can be "Handles runtime exceptions in</t>
        </is>
      </c>
      <c r="E2286" t="n">
        <v>0.0037</v>
      </c>
      <c r="F2286" t="n">
        <v>0.0282</v>
      </c>
      <c r="G2286" t="n">
        <v>0.1145</v>
      </c>
      <c r="H2286" t="inlineStr">
        <is>
          <t>The code provided is a Java class named `ReportableException` that extends the built-in exception class in Java (`RuntimeException`). This class has two constructors - one taking just an error message and passing it to its parent constructor for storage, and another which takes both an error message and a cause of the exception. The copyright notice at the top indicates this software is licensed under Apache</t>
        </is>
      </c>
      <c r="I2286" t="n">
        <v>0.0036</v>
      </c>
      <c r="J2286" t="n">
        <v>0.0541</v>
      </c>
      <c r="K2286" t="n">
        <v>0.1852</v>
      </c>
      <c r="L2286" t="inlineStr">
        <is>
          <t>The provided code is a Java class named `ReportableException` that extends the `RuntimeException` class and has two constructors. The first constructor takes in a string message to be reported by the user while the second one also accepts an exception cause for further analysis or error tracing. This class seems to represent some form of custom exception handling system where exceptions can be easily identified as "reportable</t>
        </is>
      </c>
      <c r="M2286" t="n">
        <v>0.0032</v>
      </c>
      <c r="N2286" t="n">
        <v>0.0267</v>
      </c>
      <c r="O2286" t="n">
        <v>0.07190000000000001</v>
      </c>
    </row>
    <row r="2287">
      <c r="A2287" t="inlineStr">
        <is>
          <t>springboot</t>
        </is>
      </c>
      <c r="B2287" t="inlineStr">
        <is>
          <t>cli/spring-boot-cli/src/main/java/org/springframework/boot/cli/command/init/ProjectGenerationRequest.java</t>
        </is>
      </c>
      <c r="C2287">
        <f>HYPERLINK("https://github.com/spring-projects/spring-boot/blob/master/cli/spring-boot-cli/src/main/java/org/springframework/boot/cli/command/init/ProjectGenerationRequest.java")</f>
        <v/>
      </c>
      <c r="D2287" t="inlineStr">
        <is>
          <t>```plaintext
The code is a Java class that represents the settings for initializing a new repository with Spring Boot CLI command line interface (CLI). 
It has been licensed under Apache License Version 2.0 and contains comments explaining its functionality. The complexity of this function is O(n), as it involves iterating over an array or list once to generate URL</t>
        </is>
      </c>
      <c r="E2287" t="n">
        <v>0.0031</v>
      </c>
      <c r="F2287" t="n">
        <v>0.058</v>
      </c>
      <c r="G2287" t="n">
        <v>0.1145</v>
      </c>
      <c r="H2287" t="inlineStr">
        <is>
          <t>The provided code is a Java class that contains an add method for two integers and it's licensed under Apache License 2.0. The function takes in two parameters (integers), adds them together and returns the result. It has O(1) complexity as there are no loops or recursive calls involved.
Here is a concise summary of this functionality: This Java method</t>
        </is>
      </c>
      <c r="I2287" t="n">
        <v>0.0036</v>
      </c>
      <c r="J2287" t="n">
        <v>0.0563</v>
      </c>
      <c r="K2287" t="n">
        <v>0.1136</v>
      </c>
      <c r="L2287" t="inlineStr">
        <is>
          <t>ThegivenJavacodeinitializesaURLbuilderclassthatbuildsupdatedurlsbaseduponvarioussettingssuchasprotocol,hostname,portnumber,pathparametersetc.Italsohandlesqueryparametersthatareupdatedaccordingtothemappingdefinedintheurlmappingobject.
 The main purpose of this code is to construct URLs based on various settings such as protocol (http or</t>
        </is>
      </c>
      <c r="M2287" t="n">
        <v>0</v>
      </c>
      <c r="N2287" t="n">
        <v>0.0625</v>
      </c>
      <c r="O2287" t="n">
        <v>0.0543</v>
      </c>
    </row>
    <row r="2288">
      <c r="A2288" t="inlineStr">
        <is>
          <t>springboot</t>
        </is>
      </c>
      <c r="B2288" t="inlineStr">
        <is>
          <t>cli/spring-boot-cli/src/main/java/org/springframework/boot/cli/command/init/ProjectType.java</t>
        </is>
      </c>
      <c r="C2288">
        <f>HYPERLINK("https://github.com/spring-projects/spring-boot/blob/master/cli/spring-boot-cli/src/main/java/org/springframework/boot/cli/command/init/ProjectType.java")</f>
        <v/>
      </c>
      <c r="D2288" t="inlineStr">
        <is>
          <t>The provided code represents a project type that is supported by a service. The class `ProjectType` has three fields (id, name, actREADME), and it also includes methods for getting these values in an immutable way. This code is licensed under the Apache License 2.0 which means you can use this file except in compliance with the license terms. You may obtain a copy of</t>
        </is>
      </c>
      <c r="E2288" t="n">
        <v>0.0034</v>
      </c>
      <c r="F2288" t="n">
        <v>0.0274</v>
      </c>
      <c r="G2288" t="n">
        <v>0.1103</v>
      </c>
      <c r="H2288" t="inlineStr">
        <is>
          <t>The provided code is a Java class named ProjectType that represents a project type supported by a service. It has three private fields (id, name and act), which are used to store the unique identifier of the project type, its name and an action respectively. The class also includes getter methods for these fields. 
In addition, there's another method called README() in</t>
        </is>
      </c>
      <c r="I2288" t="n">
        <v>0.0029</v>
      </c>
      <c r="J2288" t="n">
        <v>0.0282</v>
      </c>
      <c r="K2288" t="n">
        <v>0.0746</v>
      </c>
      <c r="L2288" t="inlineStr">
        <is>
          <t>The provided code is a Java class named `ProjectType` that represents project types supported by a service. 
It has three private fields (`id`, `name` and `actSummary`) to store the unique identifier of the type, its name, and an action summary respectively. The class also includes getters for these fields but no setters which means they are read</t>
        </is>
      </c>
      <c r="M2288" t="n">
        <v>0.0032</v>
      </c>
      <c r="N2288" t="n">
        <v>0.0308</v>
      </c>
      <c r="O2288" t="n">
        <v>0.0388</v>
      </c>
    </row>
    <row r="2289">
      <c r="A2289" t="inlineStr">
        <is>
          <t>springboot</t>
        </is>
      </c>
      <c r="B2289" t="inlineStr">
        <is>
          <t>cli/spring-boot-cli/src/main/java/org/springframework/boot/cli/command/init/InitCommand.java</t>
        </is>
      </c>
      <c r="C2289">
        <f>HYPERLINK("https://github.com/spring-projects/spring-boot/blob/master/cli/spring-boot-cli/src/main/java/org/springframework/boot/cli/command/init/InitCommand.java")</f>
        <v/>
      </c>
      <c r="D2289" t="inlineStr">
        <is>
          <t>```plaintext
The provided code is a part of the Spring Boot CLI (Command Line Interface), specifically related to initializing new projects with certain configurations. It's licensed under Apache License 2.0 and it may not be used except in compliance with that license. The copyright notice at the top indicates its original author or authors are Copyright 2012 - present</t>
        </is>
      </c>
      <c r="E2289" t="n">
        <v>0.0031</v>
      </c>
      <c r="F2289" t="n">
        <v>0.0294</v>
      </c>
      <c r="G2289" t="n">
        <v>0.07630000000000001</v>
      </c>
      <c r="H2289" t="inlineStr">
        <is>
          <t>The provided code is a Java package that contains backend software components for initializing commands in Spring Boot CLI (Command Line Interface). It implements core algorithms and data structures used by the framework to manage command execution options and arguments. The copyright information at the beginning of each file indicates it's licensed under Apache License 2.0.
In terms of functionality, this code provides an initialization</t>
        </is>
      </c>
      <c r="I2289" t="n">
        <v>0.007</v>
      </c>
      <c r="J2289" t="n">
        <v>0.1067</v>
      </c>
      <c r="K2289" t="n">
        <v>0.3112</v>
      </c>
      <c r="L2289" t="inlineStr">
        <is>
          <t>The code provided is a Spring Boot command line application for initializing new projects. It uses the joptsimple library to handle command line options and arguments. The main purpose of this software component appears to be to initialize a new project with specific configurations based on user input from the command line interface. 
It takes in inputs such as the type of project (web, batch, etc</t>
        </is>
      </c>
      <c r="M2289" t="n">
        <v>0.0033</v>
      </c>
      <c r="N2289" t="n">
        <v>0.0541</v>
      </c>
      <c r="O2289" t="n">
        <v>0.2287</v>
      </c>
    </row>
    <row r="2290">
      <c r="A2290" t="inlineStr">
        <is>
          <t>springboot</t>
        </is>
      </c>
      <c r="B2290" t="inlineStr">
        <is>
          <t>cli/spring-boot-cli/src/main/java/org/springframework/boot/cli/command/shell/CommandCompleter.java</t>
        </is>
      </c>
      <c r="C2290">
        <f>HYPERLINK("https://github.com/spring-projects/spring-boot/blob/master/cli/spring-boot-cli/src/main/java/org/springframework/boot/cli/command/shell/CommandCompleter.java")</f>
        <v/>
      </c>
      <c r="D2290" t="inlineStr">
        <is>
          <t>The provided code is a Java program that implements command line interface (CLI) for Spring Boot applications using jLine library to handle console inputs and outputs. The copyright information at the top of the file indicates it's licensed under Apache License 2.0 which means you can use this software freely but with conditions specified in the license. This includes not distributing without permission or if</t>
        </is>
      </c>
      <c r="E2290" t="n">
        <v>0.004</v>
      </c>
      <c r="F2290" t="n">
        <v>0.0533</v>
      </c>
      <c r="G2290" t="n">
        <v>0.1825</v>
      </c>
      <c r="H2290" t="inlineStr">
        <is>
          <t>The code provided is a Java package that contains backend software components for implementing core algorithms. The specific component appears to be related to command line interface (CLI), specifically handling shell commands and their arguments using JLine console reader library.
Here's the summary of its functionality: 
It provides an argument completer with various options for CLI commands and their respective arguments. It</t>
        </is>
      </c>
      <c r="I2290" t="n">
        <v>0.0039</v>
      </c>
      <c r="J2290" t="n">
        <v>0.1408</v>
      </c>
      <c r="K2290" t="n">
        <v>0.2776</v>
      </c>
      <c r="L2290" t="inlineStr">
        <is>
          <t>The code provided is a part of the Spring Boot CLI (Command Line Interface) shell package. It provides an interactive console for running commands and managing applications built with Spring Boot. The main purpose of this code seems to be handling command line inputs from users and providing appropriate responses based on those inputs using JLine library which allows building fully functional shells in Java.
Here's a conc</t>
        </is>
      </c>
      <c r="M2290" t="n">
        <v>0.0027</v>
      </c>
      <c r="N2290" t="n">
        <v>0.0519</v>
      </c>
      <c r="O2290" t="n">
        <v>0.1071</v>
      </c>
    </row>
    <row r="2291">
      <c r="A2291" t="inlineStr">
        <is>
          <t>springboot</t>
        </is>
      </c>
      <c r="B2291" t="inlineStr">
        <is>
          <t>cli/spring-boot-cli/src/main/java/org/springframework/boot/cli/command/shell/Shell.java</t>
        </is>
      </c>
      <c r="C2291">
        <f>HYPERLINK("https://github.com/spring-projects/spring-boot/blob/master/cli/spring-boot-cli/src/main/java/org/springframework/boot/cli/command/shell/Shell.java")</f>
        <v/>
      </c>
      <c r="D2291" t="inlineStr">
        <is>
          <t>```plaintext
The provided code is a Java class that implements the shell command functionality for Spring Boot CLI (Command Line Interface). It uses Apache License 2.0 and JLine console libraries to provide interactive mode with auto completion feature. The license requires users not to use this file except in compliance with the license terms. Users can obtain a copy of the license at https://</t>
        </is>
      </c>
      <c r="E2291" t="n">
        <v>0.0037</v>
      </c>
      <c r="F2291" t="n">
        <v>0.0822</v>
      </c>
      <c r="G2291" t="n">
        <v>0.1471</v>
      </c>
      <c r="H2291" t="inlineStr">
        <is>
          <t>The provided code is a Java package that contains backend software components for implementing core algorithms. The copyright information at the top of each file states that it's licensed under Apache License 2.0 and you may not use this file except in compliance with the license.
The main function or class seems to be handling various tasks related to command line interface (CLI), including reading input from</t>
        </is>
      </c>
      <c r="I2291" t="n">
        <v>0.0036</v>
      </c>
      <c r="J2291" t="n">
        <v>0.1039</v>
      </c>
      <c r="K2291" t="n">
        <v>0.3068</v>
      </c>
      <c r="L2291" t="inlineStr">
        <is>
          <t>The provided code is a part of the Spring Boot CLI (Command Line Interface) project. It's responsible for shell command handling in the application context. The main purpose of this module seems to be managing and executing commands via the console or other input methods.
It uses Java Service Loader to load implementations of Command classes which are defined as services by implementing org.springframework.</t>
        </is>
      </c>
      <c r="M2291" t="n">
        <v>0.0034</v>
      </c>
      <c r="N2291" t="n">
        <v>0.08110000000000001</v>
      </c>
      <c r="O2291" t="n">
        <v>0.1838</v>
      </c>
    </row>
    <row r="2292">
      <c r="A2292" t="inlineStr">
        <is>
          <t>springboot</t>
        </is>
      </c>
      <c r="B2292" t="inlineStr">
        <is>
          <t>cli/spring-boot-cli/src/main/java/org/springframework/boot/cli/command/shell/PromptCommand.java</t>
        </is>
      </c>
      <c r="C2292">
        <f>HYPERLINK("https://github.com/spring-projects/spring-boot/blob/master/cli/spring-boot-cli/src/main/java/org/springframework/boot/cli/command/shell/PromptCommand.java")</f>
        <v/>
      </c>
      <c r="D2292" t="inlineStr">
        <is>
          <t>The provided code is a Java class named `PromptCommand` that extends the abstract base class `AbstractCommand` from Spring Boot's Command Line Interface (CLI). The purpose of this command seems to be to change the shell prompt. It appears to have been written by Dave Syer for use in his Spring Boot project and since version 1.0.0.
It</t>
        </is>
      </c>
      <c r="E2292" t="n">
        <v>0.0032</v>
      </c>
      <c r="F2292" t="n">
        <v>0.0588</v>
      </c>
      <c r="G2292" t="n">
        <v>0.1163</v>
      </c>
      <c r="H2292" t="inlineStr">
        <is>
          <t>The provided code is a Java class named "PromptCommand" that extends an abstract class called "AbstractCommand". This class appears to be part of a Spring Boot CLI (Command Line Interface), which allows for the management and execution of commands in a Spring application. The purpose of this command seems to change the shell prompt or display message when executed. č
č
It's licensed</t>
        </is>
      </c>
      <c r="I2292" t="n">
        <v>0.0034</v>
      </c>
      <c r="J2292" t="n">
        <v>0.0571</v>
      </c>
      <c r="K2292" t="n">
        <v>0.1111</v>
      </c>
      <c r="L2292" t="inlineStr">
        <is>
          <t>The PromptCommand class in the Spring Boot CLI project extends from AbstractCommand and is used to change the shell prompt of a command line interface (CLI). The main purpose of this code is to modify the user's input or output by changing the shell prompt which can be useful for differentiating between multiple instances of the same application running simultaneously on the same machine. It takes an array of</t>
        </is>
      </c>
      <c r="M2292" t="n">
        <v>0.0026</v>
      </c>
      <c r="N2292" t="n">
        <v>0.0256</v>
      </c>
      <c r="O2292" t="n">
        <v>0.1064</v>
      </c>
    </row>
    <row r="2293">
      <c r="A2293" t="inlineStr">
        <is>
          <t>springboot</t>
        </is>
      </c>
      <c r="B2293" t="inlineStr">
        <is>
          <t>cli/spring-boot-cli/src/main/java/org/springframework/boot/cli/command/shell/ForkProcessCommand.java</t>
        </is>
      </c>
      <c r="C2293">
        <f>HYPERLINK("https://github.com/spring-projects/spring-boot/blob/master/cli/spring-boot-cli/src/main/java/org/springframework/boot/cli/command/shell/ForkProcessCommand.java")</f>
        <v/>
      </c>
      <c r="D2293" t="inlineStr">
        <is>
          <t>The provided code is a Java class that defines the functionality of a command line interface for Spring Boot applications. The copyright notice at the top indicates it's licensed under Apache License 2.0 and may not be used except in compliance with this license. It provides an exit status README file which contains information about backend software components. This implementation involves core algorithms but does not explicitly state its complexity as</t>
        </is>
      </c>
      <c r="E2293" t="n">
        <v>0.0038</v>
      </c>
      <c r="F2293" t="n">
        <v>0.0988</v>
      </c>
      <c r="G2293" t="n">
        <v>0.2098</v>
      </c>
      <c r="H2293" t="inlineStr">
        <is>
          <t>The provided code is a Java package that contains backend software components related to command line interface (CLI). The main class `Shell` has methods for executing commands and managing options. It also includes classes for handling status of the CLI and exceptions.
In terms of functionality, this code provides an abstraction over shell commands which can be executed by users in their environment. Each command is</t>
        </is>
      </c>
      <c r="I2293" t="n">
        <v>0.0033</v>
      </c>
      <c r="J2293" t="n">
        <v>0.0541</v>
      </c>
      <c r="K2293" t="n">
        <v>0.1087</v>
      </c>
      <c r="L2293" t="inlineStr">
        <is>
          <t>The provided code is a Java class that implements the Command interface from Spring Boot's CLI (Command Line Interface) project. This class represents a shell command and provides functionality for managing options, help information, status updates, etc.
Here are some key aspects of this class:
1. The main purpose of this class seems to be defining a new command with its associated options</t>
        </is>
      </c>
      <c r="M2293" t="n">
        <v>0.0041</v>
      </c>
      <c r="N2293" t="n">
        <v>0.0556</v>
      </c>
      <c r="O2293" t="n">
        <v>0.1481</v>
      </c>
    </row>
    <row r="2294">
      <c r="A2294" t="inlineStr">
        <is>
          <t>springboot</t>
        </is>
      </c>
      <c r="B2294" t="inlineStr">
        <is>
          <t>cli/spring-boot-cli/src/main/java/org/springframework/boot/cli/command/shell/ExitCommand.java</t>
        </is>
      </c>
      <c r="C2294">
        <f>HYPERLINK("https://github.com/spring-projects/spring-boot/blob/master/cli/spring-boot-cli/src/main/java/org/springframework/boot/cli/command/shell/ExitCommand.java")</f>
        <v/>
      </c>
      <c r="D2294" t="inlineStr">
        <is>
          <t>The code provided is an implementation of the ExitCommand class in Java that extends AbstractCommand from Spring Boot's command line interface (CLI). This class has been designed to manage and control shell operations by providing a mechanism for exiting or quitting the Shell. The @link Command annotation is used here to denote this as a CLI command. 
In essence, when inv</t>
        </is>
      </c>
      <c r="E2294" t="n">
        <v>0.0036</v>
      </c>
      <c r="F2294" t="n">
        <v>0.0571</v>
      </c>
      <c r="G2294" t="n">
        <v>0.1504</v>
      </c>
      <c r="H2294" t="inlineStr">
        <is>
          <t>The provided code is a Java class named `ExitCommand` that extends the abstract base class `AbstractCommand` from Spring Boot's command line interface (CLI). The purpose of this class seems to be to provide an exit command for shell applications. 
When executed, it will quit or terminate the running {@link Shell}, which could potentially involve stopping any ongoing processes and free</t>
        </is>
      </c>
      <c r="I2294" t="n">
        <v>0.003</v>
      </c>
      <c r="J2294" t="n">
        <v>0.058</v>
      </c>
      <c r="K2294" t="n">
        <v>0.1136</v>
      </c>
      <c r="L2294" t="inlineStr">
        <is>
          <t>The `ExitCommand` class in the provided code extends from an abstract base class named `AbstractCommand` and implements a command to quit or exit the Spring Shell (a command line interface for managing Spring Boot applications). 
It has one public constructor that takes no arguments but initializes it with default values which are set by calling super() method of its parent class AbstractCommand. The purpose</t>
        </is>
      </c>
      <c r="M2294" t="n">
        <v>0.0034</v>
      </c>
      <c r="N2294" t="n">
        <v>0.0278</v>
      </c>
      <c r="O2294" t="n">
        <v>0.0735</v>
      </c>
    </row>
    <row r="2295">
      <c r="A2295" t="inlineStr">
        <is>
          <t>springboot</t>
        </is>
      </c>
      <c r="B2295" t="inlineStr">
        <is>
          <t>cli/spring-boot-cli/src/main/java/org/springframework/boot/cli/command/shell/package-info.java</t>
        </is>
      </c>
      <c r="C2295">
        <f>HYPERLINK("https://github.com/spring-projects/spring-boot/blob/master/cli/spring-boot-cli/src/main/java/org/springframework/boot/cli/command/shell/package-info.java")</f>
        <v/>
      </c>
      <c r="D2295" t="inlineStr">
        <is>
          <t>The provided code is a Java class for running nested shell commands in the CLI (Command Line Interface). It's part of a Spring Boot project and uses Apache License 2.0. The license allows anyone to use this software for any purpose, without having to give credit or distribute it under certain conditions. This includes not using the file except when compliant with the terms of</t>
        </is>
      </c>
      <c r="E2295" t="n">
        <v>0.0037</v>
      </c>
      <c r="F2295" t="n">
        <v>0.0533</v>
      </c>
      <c r="G2295" t="n">
        <v>0.146</v>
      </c>
      <c r="H2295" t="inlineStr">
        <is>
          <t>The provided code is a Java function named "add". It takes two parameters 'a' and 'b', adds them together, then returns the result. The functionality of this code is to add two numbers. This operation has a time complexity of O(1), meaning it executes in constant time regardless of input size.
The README file explains that this repository contains backend software components</t>
        </is>
      </c>
      <c r="I2295" t="n">
        <v>0.0042</v>
      </c>
      <c r="J2295" t="n">
        <v>0.0563</v>
      </c>
      <c r="K2295" t="n">
        <v>0.1493</v>
      </c>
      <c r="L2295" t="inlineStr">
        <is>
          <t>The provided code is a Java class named "ShellCommandRunner". It's part of the Spring Boot CLI project and marked with @NullMarked annotation to indicate that it may contain null values. The purpose of this class seems to be running nested shell commands in the Command Line Interface (CLI). This functionality can be summarized as follows: "Runs nested shell commands within the Command</t>
        </is>
      </c>
      <c r="M2295" t="n">
        <v>0.0039</v>
      </c>
      <c r="N2295" t="n">
        <v>0.0563</v>
      </c>
      <c r="O2295" t="n">
        <v>0.1119</v>
      </c>
    </row>
    <row r="2296">
      <c r="A2296" t="inlineStr">
        <is>
          <t>springboot</t>
        </is>
      </c>
      <c r="B2296" t="inlineStr">
        <is>
          <t>cli/spring-boot-cli/src/main/java/org/springframework/boot/cli/command/shell/EscapeAwareWhiteSpaceArgumentDelimiter.java</t>
        </is>
      </c>
      <c r="C2296">
        <f>HYPERLINK("https://github.com/spring-projects/spring-boot/blob/master/cli/spring-boot-cli/src/main/java/org/springframework/boot/cli/command/shell/EscapeAwareWhiteSpaceArgumentDelimiter.java")</f>
        <v/>
      </c>
      <c r="D2296" t="inlineStr">
        <is>
          <t>The provided code is a Java class named `EscapeAwareWhiteSpaceArgumentDelimiter` that extends the functionality of `WhitespaceArgumentDelimiter` from JLine console completers library for command line interfaces in Spring Boot applications. This class provides an escape aware variant of `WhitespaceArgumentDelimiter` which means it takes into account escaped spaces as valid</t>
        </is>
      </c>
      <c r="E2296" t="n">
        <v>0.0046</v>
      </c>
      <c r="F2296" t="n">
        <v>0.0364</v>
      </c>
      <c r="G2296" t="n">
        <v>0.08400000000000001</v>
      </c>
      <c r="H2296" t="inlineStr">
        <is>
          <t>This code is a Java class that extends the WhitespaceArgumentDelimiter from JLine console library for use in shell commands of Spring Boot application. The purpose seems to be to provide escape aware whitespace argument delimiters which can handle complex scenarios related with escaping characters and handling them properly. However, without more context or specifics about what it's supposed to do, this summary</t>
        </is>
      </c>
      <c r="I2296" t="n">
        <v>0.0035</v>
      </c>
      <c r="J2296" t="n">
        <v>0.0563</v>
      </c>
      <c r="K2296" t="n">
        <v>0.1119</v>
      </c>
      <c r="L2296" t="inlineStr">
        <is>
          <t>The provided code is a Java class named "EscapeAwareWhiteSpaceArgumentDelimiter". This class extends the existing JLine library's WhitespaceArgumentDelimiter and provides an escape aware variant of it by overriding certain methods to handle escaped whitespaces correctly. The main purpose of this class seems to be handling argument delimiters in shell commands more accurately than the standard Wh</t>
        </is>
      </c>
      <c r="M2296" t="n">
        <v>0.004</v>
      </c>
      <c r="N2296" t="n">
        <v>0.0625</v>
      </c>
      <c r="O2296" t="n">
        <v>0.07870000000000001</v>
      </c>
    </row>
    <row r="2297">
      <c r="A2297" t="inlineStr">
        <is>
          <t>springboot</t>
        </is>
      </c>
      <c r="B2297" t="inlineStr">
        <is>
          <t>cli/spring-boot-cli/src/main/java/org/springframework/boot/cli/command/shell/ShellExitException.java</t>
        </is>
      </c>
      <c r="C2297">
        <f>HYPERLINK("https://github.com/spring-projects/spring-boot/blob/master/cli/spring-boot-cli/src/main/java/org/springframework/boot/cli/command/shell/ShellExitException.java")</f>
        <v/>
      </c>
      <c r="D2297" t="inlineStr">
        <is>
          <t>The provided code is a Java class named `ShellExitException` that extends the base exception class `CommandException` from Spring Boot's command line interface (CLI). This class is used to signal an exit of the shell when called upon. The copyright notice at the top specifies Apache License 2.0 and it may not be used except in compliance with this license.
It</t>
        </is>
      </c>
      <c r="E2297" t="n">
        <v>0.0036</v>
      </c>
      <c r="F2297" t="n">
        <v>0.0571</v>
      </c>
      <c r="G2297" t="n">
        <v>0.1136</v>
      </c>
      <c r="H2297" t="inlineStr">
        <is>
          <t>The code provided is a Java class named `ShellExitException` that extends the `CommandException` class from Spring Boot CLI command module. This exception is used to stop the execution of shell commands when an error occurs or if it's explicitly requested by user input. The license at the top of this file specifies Apache License 2.0 which means you can use and modify this software as</t>
        </is>
      </c>
      <c r="I2297" t="n">
        <v>0.0037</v>
      </c>
      <c r="J2297" t="n">
        <v>0.0533</v>
      </c>
      <c r="K2297" t="n">
        <v>0.2737</v>
      </c>
      <c r="L2297" t="inlineStr">
        <is>
          <t>The provided code is a custom exception class `ShellExitException` in the Spring Boot CLI project. This class extends from the base command exception and it's used to signal that the shell should stop running due to an error or other reason. The purpose of this class seems to be to provide more context about why the shell exited by throwing specific exceptions rather than using standard Java Exceptions like</t>
        </is>
      </c>
      <c r="M2297" t="n">
        <v>0.0031</v>
      </c>
      <c r="N2297" t="n">
        <v>0.0513</v>
      </c>
      <c r="O2297" t="n">
        <v>0.1064</v>
      </c>
    </row>
    <row r="2298">
      <c r="A2298" t="inlineStr">
        <is>
          <t>springboot</t>
        </is>
      </c>
      <c r="B2298" t="inlineStr">
        <is>
          <t>cli/spring-boot-cli/src/main/java/org/springframework/boot/cli/command/shell/ClearCommand.java</t>
        </is>
      </c>
      <c r="C2298">
        <f>HYPERLINK("https://github.com/spring-projects/spring-boot/blob/master/cli/spring-boot-cli/src/main/java/org/springframework/boot/cli/command/shell/ClearCommand.java")</f>
        <v/>
      </c>
      <c r="D2298" t="inlineStr">
        <is>
          <t>The code provided is a Java class named ClearCommand that extends the AbstractCommand class from Spring Boot CLI (Command Line Interface). This command's purpose seems to be clearing or resetting the shell screen by reading and discarding all input characters until an exit signal is received. The author of this code is Dive Syer and Phillip Webb.
The function `run`</t>
        </is>
      </c>
      <c r="E2298" t="n">
        <v>0.0036</v>
      </c>
      <c r="F2298" t="n">
        <v>0.058</v>
      </c>
      <c r="G2298" t="n">
        <v>0.1136</v>
      </c>
      <c r="H2298" t="inlineStr">
        <is>
          <t>The provided code is a Java class named ClearCommand that extends the AbstractCommand class from Spring Boot CLI command package. This class implements functionality to clear (i.e., reset) the shell screen by clearing all commands and statuses stored in memory. The license for this file states under Apache License 2.0.
It has two methods - execute() which runs when the user</t>
        </is>
      </c>
      <c r="I2298" t="n">
        <v>0.0042</v>
      </c>
      <c r="J2298" t="n">
        <v>0.1143</v>
      </c>
      <c r="K2298" t="n">
        <v>0.1504</v>
      </c>
      <c r="L2298" t="inlineStr">
        <is>
          <t>The ClearCommand class in the Spring Boot CLI project is designed to clear (empty) the shell screen. It extends from AbstractCommand and overrides its execute method for this purpose. The command's functionality includes clearing the console screen by setting it as empty.
It takes no inputs but returns an ExitStatus object with a successful status code upon completion of execution.</t>
        </is>
      </c>
      <c r="M2298" t="n">
        <v>0.0036</v>
      </c>
      <c r="N2298" t="n">
        <v>0.058</v>
      </c>
      <c r="O2298" t="n">
        <v>0.1136</v>
      </c>
    </row>
    <row r="2299">
      <c r="A2299" t="inlineStr">
        <is>
          <t>springboot</t>
        </is>
      </c>
      <c r="B2299" t="inlineStr">
        <is>
          <t>cli/spring-boot-cli/src/main/java/org/springframework/boot/cli/command/shell/AnsiString.java</t>
        </is>
      </c>
      <c r="C2299">
        <f>HYPERLINK("https://github.com/spring-projects/spring-boot/blob/master/cli/spring-boot-cli/src/main/java/org/springframework/boot/cli/command/shell/AnsiString.java")</f>
        <v/>
      </c>
      <c r="D2299" t="inlineStr">
        <is>
          <t>```java
// Copyright 2012-present the original author or authors.
// Licensed under the Apache License, Version 2.0 (the "License");
// you may not use this file except in compliance with the License.
// You can obtain a copy of the License at https://www.apache.org/licenses/LICENSE-</t>
        </is>
      </c>
      <c r="E2299" t="n">
        <v>0</v>
      </c>
      <c r="F2299" t="n">
        <v>0.037</v>
      </c>
      <c r="G2299" t="n">
        <v>0.08699999999999999</v>
      </c>
      <c r="H2299" t="inlineStr">
        <is>
          <t>The provided code is a Java class named AnsiString that builds an ANSI string when supported by the Terminal. The license at the top of the file states it's licensed under Apache License 2.0 which means you can use this code for any purpose as long as you comply with its terms and conditions.
The function `add` takes two parameters (a, b</t>
        </is>
      </c>
      <c r="I2299" t="n">
        <v>0.0029</v>
      </c>
      <c r="J2299" t="n">
        <v>0.0556</v>
      </c>
      <c r="K2299" t="n">
        <v>0.1119</v>
      </c>
      <c r="L2299" t="inlineStr">
        <is>
          <t>The provided code is a Java class named `AnsiString` that builds an ANSI string when supported by the terminal using JLine's Terminal and FuseSource's jansi library for colored output in console applications. The main purpose of this class seems to be creating strings with embedded color codes which can then be printed on terminals supporting these colors. This functionality could potentially be used</t>
        </is>
      </c>
      <c r="M2299" t="n">
        <v>0.0038</v>
      </c>
      <c r="N2299" t="n">
        <v>0.0548</v>
      </c>
      <c r="O2299" t="n">
        <v>0.1111</v>
      </c>
    </row>
    <row r="2300">
      <c r="A2300" t="inlineStr">
        <is>
          <t>springboot</t>
        </is>
      </c>
      <c r="B2300" t="inlineStr">
        <is>
          <t>cli/spring-boot-cli/src/main/java/org/springframework/boot/cli/command/shell/ShellPrompts.java</t>
        </is>
      </c>
      <c r="C2300">
        <f>HYPERLINK("https://github.com/spring-projects/spring-boot/blob/master/cli/spring-boot-cli/src/main/java/org/springframework/boot/cli/command/shell/ShellPrompts.java")</f>
        <v/>
      </c>
      <c r="D2300" t="inlineStr">
        <is>
          <t>The code provided is an implementation of a stack-based prompt manager in Java. It manages a stack (deque data structure) to store and manage different shell prompts for the Spring Boot CLI application. The class `ShellPrompts` has methods to push new prompts onto this stack.
It uses Apache License 2.0 which means that you can use it</t>
        </is>
      </c>
      <c r="E2300" t="n">
        <v>0.0032</v>
      </c>
      <c r="F2300" t="n">
        <v>0.0597</v>
      </c>
      <c r="G2300" t="n">
        <v>0.155</v>
      </c>
      <c r="H2300" t="inlineStr">
        <is>
          <t>The provided code is a Java class named `ShellPrompts` that manages a stack of prompts for the shell environment. The current default prompt is "$". This class provides methods to push new prompts onto the stack and also has an underlying data structure as a Deque (Double Ended Queue).
It's important to note that this implementation does not</t>
        </is>
      </c>
      <c r="I2300" t="n">
        <v>0.0037</v>
      </c>
      <c r="J2300" t="n">
        <v>0.0606</v>
      </c>
      <c r="K2300" t="n">
        <v>0.1154</v>
      </c>
      <c r="L2300" t="inlineStr">
        <is>
          <t>The provided code is an abstraction of a stack data structure that manages a collection of prompts for the shell command line interface in Spring Boot. The purpose of this class seems to be to manage and store different types of prompts (like dollar sign or custom) which can then be pushed onto or popped from the top of the stack as needed by the user. This allows users to switch</t>
        </is>
      </c>
      <c r="M2300" t="n">
        <v>0.003</v>
      </c>
      <c r="N2300" t="n">
        <v>0.0506</v>
      </c>
      <c r="O2300" t="n">
        <v>0.0699</v>
      </c>
    </row>
    <row r="2301">
      <c r="A2301" t="inlineStr">
        <is>
          <t>springboot</t>
        </is>
      </c>
      <c r="B2301" t="inlineStr">
        <is>
          <t>cli/spring-boot-cli/src/main/java/org/springframework/boot/cli/command/shell/RunProcessCommand.java</t>
        </is>
      </c>
      <c r="C2301">
        <f>HYPERLINK("https://github.com/spring-projects/spring-boot/blob/master/cli/spring-boot-cli/src/main/java/org/springframework/boot/cli/command/shell/RunProcessCommand.java")</f>
        <v/>
      </c>
      <c r="D2301" t="inlineStr">
        <is>
          <t>The code provided is a Java class that extends the AbstractCommand from Spring Boot's command line interface (CLI). This class represents a shell command for running integration tests in Spring applications. The functionality of this code includes executing unit and integration tests with Maven or Gradle build tools using JUnit runner. It also handles test execution failures by returning an ExitStatus indicating error status if any test</t>
        </is>
      </c>
      <c r="E2301" t="n">
        <v>0.0036</v>
      </c>
      <c r="F2301" t="n">
        <v>0.0789</v>
      </c>
      <c r="G2301" t="n">
        <v>0.1079</v>
      </c>
      <c r="H2301" t="inlineStr">
        <is>
          <t>The provided code is a Java implementation of the add function which adds two numbers together. It follows Apache License 2.0 for copyright and license information. The complexity of this operation is O(1), meaning it takes constant time regardless of input size.
Here's a summary in markdown format:
```markdown
# Add Two Numbers Function
## Complexity</t>
        </is>
      </c>
      <c r="I2301" t="n">
        <v>0.0033</v>
      </c>
      <c r="J2301" t="n">
        <v>0.09229999999999999</v>
      </c>
      <c r="K2301" t="n">
        <v>0.1563</v>
      </c>
      <c r="L2301" t="inlineStr">
        <is>
          <t>The provided code is a Java class that extends the AbstractCommand class from Spring Boot's command line interface (CLI). The main purpose of this class appears to be defining a custom shell command for use within the CLI framework. 
The command takes in an array of arguments and executes some operations based on these inputs. It also handles exceptions related to IO and returns exit status</t>
        </is>
      </c>
      <c r="M2301" t="n">
        <v>0.0028</v>
      </c>
      <c r="N2301" t="n">
        <v>0.0533</v>
      </c>
      <c r="O2301" t="n">
        <v>0.1087</v>
      </c>
    </row>
    <row r="2302">
      <c r="A2302" t="inlineStr">
        <is>
          <t>springboot</t>
        </is>
      </c>
      <c r="B2302" t="inlineStr">
        <is>
          <t>cli/spring-boot-cli/src/main/java/org/springframework/boot/cli/command/shell/ShellCommand.java</t>
        </is>
      </c>
      <c r="C2302">
        <f>HYPERLINK("https://github.com/spring-projects/spring-boot/blob/master/cli/spring-boot-cli/src/main/java/org/springframework/boot/cli/command/shell/ShellCommand.java")</f>
        <v/>
      </c>
      <c r="D2302" t="inlineStr">
        <is>
          <t>```java
// Copyright 2012-present the original author or authors.
// Licensed under the Apache License, Version 2.0 (the "License");
// you may not use this file except in compliance with the License.
// You may obtain a copy of the License at https://www.apache.org/licenses/LICENSE-</t>
        </is>
      </c>
      <c r="E2302" t="n">
        <v>0</v>
      </c>
      <c r="F2302" t="n">
        <v>0.037</v>
      </c>
      <c r="G2302" t="n">
        <v>0.08699999999999999</v>
      </c>
      <c r="H2302" t="inlineStr">
        <is>
          <t>The provided code is a Java class named "ShellCommand", which extends an abstract class called "AbstractCommand". This class appears to be part of the Spring Boot CLI (Command Line Interface), and it's designed for starting a nested REPL shell. The command starts with `{@link Command}` annotation indicating that this class represents a command in the application.
The copyright</t>
        </is>
      </c>
      <c r="I2302" t="n">
        <v>0.0037</v>
      </c>
      <c r="J2302" t="n">
        <v>0.0597</v>
      </c>
      <c r="K2302" t="n">
        <v>0.1154</v>
      </c>
      <c r="L2302" t="inlineStr">
        <is>
          <t>The `ShellCommand` class in the Spring Boot CLI is designed to start a nested REPL (Read Eval Print Loop) shell. It extends from the abstract command and implements the Command interface. The purpose of this class seems to be to provide an interactive shell environment for users to run commands within the application context provided by the Spring Boot CLI tool.
It takes care</t>
        </is>
      </c>
      <c r="M2302" t="n">
        <v>0.0034</v>
      </c>
      <c r="N2302" t="n">
        <v>0.0278</v>
      </c>
      <c r="O2302" t="n">
        <v>0.1471</v>
      </c>
    </row>
    <row r="2303">
      <c r="A2303" t="inlineStr">
        <is>
          <t>springboot</t>
        </is>
      </c>
      <c r="B2303" t="inlineStr">
        <is>
          <t>cli/spring-boot-cli/src/main/java/org/springframework/boot/cli/command/status/package-info.java</t>
        </is>
      </c>
      <c r="C2303">
        <f>HYPERLINK("https://github.com/spring-projects/spring-boot/blob/master/cli/spring-boot-cli/src/main/java/org/springframework/boot/cli/command/status/package-info.java")</f>
        <v/>
      </c>
      <c r="D2303" t="inlineStr">
        <is>
          <t>The provided code is a Java class that implements the status command for Spring Boot CLI (Command Line Interface). The purpose of this class seems to be to provide information about the current status of various components in a system. 
It uses an Apache License version 2.0 which means it's free to use and distribute under certain conditions outlined by the license. This includes</t>
        </is>
      </c>
      <c r="E2303" t="n">
        <v>0.0037</v>
      </c>
      <c r="F2303" t="n">
        <v>0.0541</v>
      </c>
      <c r="G2303" t="n">
        <v>0.2321</v>
      </c>
      <c r="H2303" t="inlineStr">
        <is>
          <t>The provided code is a Java class that implements the status command for Spring Boot CLI (Command Line Interface). The function `getStatus` retrieves and processes information about the current status of various components in the system.
It uses an array to store references to objects implementing the StatusProvider interface, which are responsible for providing their own specific status details. This design allows it to handle different</t>
        </is>
      </c>
      <c r="I2303" t="n">
        <v>0.0036</v>
      </c>
      <c r="J2303" t="n">
        <v>0.08110000000000001</v>
      </c>
      <c r="K2303" t="n">
        <v>0.1449</v>
      </c>
      <c r="L2303" t="inlineStr">
        <is>
          <t>The provided code is a Java class named "StatusCommand". This class implements the Command interface from Spring Boot CLI and provides functionality to display the status of various components in an application. The main purpose of this command is to return the current statuses of different parts of the system such as 'app', 'env' or 'deps'. It takes input parameters (like component names) and returns</t>
        </is>
      </c>
      <c r="M2303" t="n">
        <v>0.004</v>
      </c>
      <c r="N2303" t="n">
        <v>0.1096</v>
      </c>
      <c r="O2303" t="n">
        <v>0.146</v>
      </c>
    </row>
    <row r="2304">
      <c r="A2304" t="inlineStr">
        <is>
          <t>springboot</t>
        </is>
      </c>
      <c r="B2304" t="inlineStr">
        <is>
          <t>cli/spring-boot-cli/src/main/java/org/springframework/boot/cli/command/status/ExitStatus.java</t>
        </is>
      </c>
      <c r="C2304">
        <f>HYPERLINK("https://github.com/spring-projects/spring-boot/blob/master/cli/spring-boot-cli/src/main/java/org/springframework/boot/cli/command/status/ExitStatus.java")</f>
        <v/>
      </c>
      <c r="D2304" t="inlineStr">
        <is>
          <t>The code provided is a Java class named `ExitStatus` that encapsulates the outcome of a command in Spring Boot CLI (Command Line Interface). It defines two static final instances - OK and ERROR with corresponding exit codes 0 for OK and non-zero values for ERROR. The license information at the top indicates it's licensed under Apache License Version 2.0. This class seems</t>
        </is>
      </c>
      <c r="E2304" t="n">
        <v>0.0035</v>
      </c>
      <c r="F2304" t="n">
        <v>0.0278</v>
      </c>
      <c r="G2304" t="n">
        <v>0.0746</v>
      </c>
      <c r="H2304" t="inlineStr">
        <is>
          <t>The provided code is a Java class named `ExitStatus` that encapsulates the outcome of a command in Spring Boot framework. It has two static final instances representing "OK" and an error status with corresponding exit codes (0 for OK). The license at the top indicates this software is licensed under Apache 2.0 License. This class seems to be part of some kind of utility or helper</t>
        </is>
      </c>
      <c r="I2304" t="n">
        <v>0.0036</v>
      </c>
      <c r="J2304" t="n">
        <v>0.0533</v>
      </c>
      <c r="K2304" t="n">
        <v>0.1449</v>
      </c>
      <c r="L2304" t="inlineStr">
        <is>
          <t>TheExitStatusclassencapsulatestheresultsofabackgroundtaskexecution.Ithasthreeinstances:ExitStatusOKwithaexitcodeofzerohangupsettotrueandsignifiesnoerrors.
```java
    public final class ExitStatus {
        private static final int OK = 0;
        private String status;
        private boolean hang</t>
        </is>
      </c>
      <c r="M2304" t="n">
        <v>0</v>
      </c>
      <c r="N2304" t="n">
        <v>0</v>
      </c>
      <c r="O2304" t="n">
        <v>0</v>
      </c>
    </row>
    <row r="2305">
      <c r="A2305" t="inlineStr">
        <is>
          <t>springboot</t>
        </is>
      </c>
      <c r="B2305" t="inlineStr">
        <is>
          <t>cli/spring-boot-cli/src/main/java/org/springframework/boot/cli/util/package-info.java</t>
        </is>
      </c>
      <c r="C2305">
        <f>HYPERLINK("https://github.com/spring-projects/spring-boot/blob/master/cli/spring-boot-cli/src/main/java/org/springframework/boot/cli/util/package-info.java")</f>
        <v/>
      </c>
      <c r="D2305" t="inlineStr">
        <is>
          <t>The provided code is a utility class for the CLI (Command Line Interface). It's part of Spring Boot project and it contains several methods related to core algorithms implementation. The complexity of this program appears to be O(N), where N represents some form of iteration or recursion based on the context in which these functions are used. 
It seems that there isnâĢĻ</t>
        </is>
      </c>
      <c r="E2305" t="n">
        <v>0.0035</v>
      </c>
      <c r="F2305" t="n">
        <v>0.0556</v>
      </c>
      <c r="G2305" t="n">
        <v>0.1493</v>
      </c>
      <c r="H2305" t="inlineStr">
        <is>
          <t>The provided code is a Java function named "add". It takes two parameters (numbers), adds them together and returns the result. The functionality of this code can be summarized as follows: Adds two numbers.
It operates with a time complexity of O(1). This means that it performs a fixed number of operations regardless of the size of the input data set. In this</t>
        </is>
      </c>
      <c r="I2305" t="n">
        <v>0.0038</v>
      </c>
      <c r="J2305" t="n">
        <v>0.0556</v>
      </c>
      <c r="K2305" t="n">
        <v>0.1111</v>
      </c>
      <c r="L2305" t="inlineStr">
        <is>
          <t>The provided code file is a Java class that contains utility classes for the CLI (Command Line Interface) of Spring Boot framework. The purpose of this code base seems to be providing various functionalities related to command line interface utilities such as handling null values and performing certain operations on them. This code follows good coding practices like readability, maintainability, program comprehension etc. It uses Apache License</t>
        </is>
      </c>
      <c r="M2305" t="n">
        <v>0.0032</v>
      </c>
      <c r="N2305" t="n">
        <v>0.08</v>
      </c>
      <c r="O2305" t="n">
        <v>0.1079</v>
      </c>
    </row>
    <row r="2306">
      <c r="A2306" t="inlineStr">
        <is>
          <t>springboot</t>
        </is>
      </c>
      <c r="B2306" t="inlineStr">
        <is>
          <t>cli/spring-boot-cli/src/main/java/org/springframework/boot/cli/util/LogListener.java</t>
        </is>
      </c>
      <c r="C2306">
        <f>HYPERLINK("https://github.com/spring-projects/spring-boot/blob/master/cli/spring-boot-cli/src/main/java/org/springframework/boot/cli/util/LogListener.java")</f>
        <v/>
      </c>
      <c r="D2306" t="inlineStr">
        <is>
          <t>The code provided is a listener interface `LogListener` that can be attached to the log of any application for capturing calls (information and error logs). It has three methods - info(), infoPrint() , error() and error(Exception ex), which are used to capture different types of logs. The license at the top of this file specifies Apache License 2.0. This means you may</t>
        </is>
      </c>
      <c r="E2306" t="n">
        <v>0.0035</v>
      </c>
      <c r="F2306" t="n">
        <v>0.0286</v>
      </c>
      <c r="G2306" t="n">
        <v>0.1119</v>
      </c>
      <c r="H2306" t="inlineStr">
        <is>
          <t>The provided code is a Java interface named `LogListener` that defines three methods for logging information and errors. The methods are annotated with JSpecify annotations to indicate nullability of parameters. This means they can accept null values as input without any warnings or exceptions being thrown. 
Here's the summary in one line: An interface LogListener has three methods (for info</t>
        </is>
      </c>
      <c r="I2306" t="n">
        <v>0.0036</v>
      </c>
      <c r="J2306" t="n">
        <v>0.029</v>
      </c>
      <c r="K2306" t="n">
        <v>0.07580000000000001</v>
      </c>
      <c r="L2306" t="inlineStr">
        <is>
          <t>The provided code is a simple interface named "LogListener". This interface has three methods - info(), infoPrint() and error(). The purpose of this interface seems to be logging information or errors in some way. 
The 'info' method takes a String message as an argument which could represent general information being logged. Similarly, the 'infoPrint', 'error' and 'error'</t>
        </is>
      </c>
      <c r="M2306" t="n">
        <v>0.0038</v>
      </c>
      <c r="N2306" t="n">
        <v>0.0625</v>
      </c>
      <c r="O2306" t="n">
        <v>0.0775</v>
      </c>
    </row>
    <row r="2307">
      <c r="A2307" t="inlineStr">
        <is>
          <t>springboot</t>
        </is>
      </c>
      <c r="B2307" t="inlineStr">
        <is>
          <t>cli/spring-boot-cli/src/main/java/org/springframework/boot/cli/util/Log.java</t>
        </is>
      </c>
      <c r="C2307">
        <f>HYPERLINK("https://github.com/spring-projects/spring-boot/blob/master/cli/spring-boot-cli/src/main/java/org/springframework/boot/cli/util/Log.java")</f>
        <v/>
      </c>
      <c r="D2307" t="inlineStr">
        <is>
          <t>The provided code is a simple logger class used by the CLI (Command Line Interface). It provides an `info` method for logging informational messages to the console. The log listener can be set and will receive these logs if it's not null. This implementation does not handle any specific language or framework but uses Java standard library features like System.out.println() for printing out messages.</t>
        </is>
      </c>
      <c r="E2307" t="n">
        <v>0.0034</v>
      </c>
      <c r="F2307" t="n">
        <v>0.0533</v>
      </c>
      <c r="G2307" t="n">
        <v>0.1471</v>
      </c>
      <c r="H2307" t="inlineStr">
        <is>
          <t>The provided code is a Java class named Log that provides static methods for logging information to the console using System.out.println(). It also has an optional listener mechanism where any object of type LogListener can be registered and will receive log messages when info() method is called on this class. The copyright notice at the top indicates it's licensed under Apache License 2.0.</t>
        </is>
      </c>
      <c r="I2307" t="n">
        <v>0.0029</v>
      </c>
      <c r="J2307" t="n">
        <v>0.0267</v>
      </c>
      <c r="K2307" t="n">
        <v>0.1111</v>
      </c>
      <c r="L2307" t="inlineStr">
        <is>
          <t>The provided code is a simple logger class in Java that uses the Spring Boot CLI framework. The purpose of this class seems to be to log information messages with different levels (like info). It also provides an option to register a listener for receiving summary updates about logged events.
Here's a concise and clear summary based on its functionality: 
This Logger class serves</t>
        </is>
      </c>
      <c r="M2307" t="n">
        <v>0.0034</v>
      </c>
      <c r="N2307" t="n">
        <v>0.0548</v>
      </c>
      <c r="O2307" t="n">
        <v>0.1103</v>
      </c>
    </row>
    <row r="2308">
      <c r="A2308" t="inlineStr">
        <is>
          <t>springboot</t>
        </is>
      </c>
      <c r="B2308" t="inlineStr">
        <is>
          <t>cli/spring-boot-cli/src/test/java/cli/command/CustomCommandFactory.java</t>
        </is>
      </c>
      <c r="C2308">
        <f>HYPERLINK("https://github.com/spring-projects/spring-boot/blob/master/cli/spring-boot-cli/src/test/java/cli/command/CustomCommandFactory.java")</f>
        <v/>
      </c>
      <c r="D2308" t="inlineStr">
        <is>
          <t>The provided code is a custom implementation of the CommandFactory interface from Spring Boot's CLI (Command Line Interface). This factory generates and returns a single command named "README", which describes that this repository contains backend software components. The complexity of the function is O(1), as it always returns a fixed number of commands regardless of input size. It doesn't involve any complex algorithms or</t>
        </is>
      </c>
      <c r="E2308" t="n">
        <v>0.0037</v>
      </c>
      <c r="F2308" t="n">
        <v>0.08</v>
      </c>
      <c r="G2308" t="n">
        <v>0.1838</v>
      </c>
      <c r="H2308" t="inlineStr">
        <is>
          <t>The provided code is a custom command factory for Spring Boot CLI (Command Line Interface). It implements the CommandFactory interface and overrides its getCommands() method to return a singleton collection containing one README file only. The returned commands are essentially instructions on how to use this software's backend components in a specific manner. This repository contains an initial commit of the code base which includes implement</t>
        </is>
      </c>
      <c r="I2308" t="n">
        <v>0.0036</v>
      </c>
      <c r="J2308" t="n">
        <v>0.08</v>
      </c>
      <c r="K2308" t="n">
        <v>0.1449</v>
      </c>
      <c r="L2308" t="inlineStr">
        <is>
          <t>The provided code is a custom implementation of the CommandFactory interface in Spring Boot CLI (Spring Cloud Data Flow). The purpose of this class seems to be to provide an additional command that can be used with the Spring Boot application.
The main method `getCommands()` returns a singleton collection containing one command - it appears to return a list of commands defined by the user</t>
        </is>
      </c>
      <c r="M2308" t="n">
        <v>0</v>
      </c>
      <c r="N2308" t="n">
        <v>0.0278</v>
      </c>
      <c r="O2308" t="n">
        <v>0.1095</v>
      </c>
    </row>
    <row r="2309">
      <c r="A2309" t="inlineStr">
        <is>
          <t>springboot</t>
        </is>
      </c>
      <c r="B2309" t="inlineStr">
        <is>
          <t>cli/spring-boot-cli/src/test/java/cli/command/CustomCommand.java</t>
        </is>
      </c>
      <c r="C2309">
        <f>HYPERLINK("https://github.com/spring-projects/spring-boot/blob/master/cli/spring-boot-cli/src/test/java/cli/command/CustomCommand.java")</f>
        <v/>
      </c>
      <c r="D2309" t="inlineStr">
        <is>
          <t>The provided code is a custom command for Spring Boot CLI (Command Line Interface). It extends the AbstractCommand class from spring boot cli and overrides its run method to implement functionality of this specific command. The purpose of this command seems to be adding a new feature or behavior in tests. This command has been registered with the name "custom", which can be used as part of the Spring Boot</t>
        </is>
      </c>
      <c r="E2309" t="n">
        <v>0.0034</v>
      </c>
      <c r="F2309" t="n">
        <v>0.0513</v>
      </c>
      <c r="G2309" t="n">
        <v>0.1408</v>
      </c>
      <c r="H2309" t="inlineStr">
        <is>
          <t>The provided code is a custom command for Spring Boot CLI (Command Line Interface). The class `CustomCommand` extends the abstract class `AbstractCommand` from Spring Boot CLI and overrides its run method to execute some specific task when this command gets called in the terminal or console. This implementation of core algorithms might be part of another package that handles backend software components.
In terms</t>
        </is>
      </c>
      <c r="I2309" t="n">
        <v>0.004</v>
      </c>
      <c r="J2309" t="n">
        <v>0.0833</v>
      </c>
      <c r="K2309" t="n">
        <v>0.2206</v>
      </c>
      <c r="L2309" t="inlineStr">
        <is>
          <t>The provided code is a custom command for Spring Boot CLI (Spring Command Line Interface). This command has been added to the tests and serves as an example of how to extend the functionality of the Spring Boot CLI by creating new commands.
The main purpose of this class `CustomCommand` extends from the abstract class `AbstractCommand` in Spring Boot CLI library. The constructor</t>
        </is>
      </c>
      <c r="M2309" t="n">
        <v>0.0038</v>
      </c>
      <c r="N2309" t="n">
        <v>0.0563</v>
      </c>
      <c r="O2309" t="n">
        <v>0.1111</v>
      </c>
    </row>
    <row r="2310">
      <c r="A2310" t="inlineStr">
        <is>
          <t>springboot</t>
        </is>
      </c>
      <c r="B2310" t="inlineStr">
        <is>
          <t>cli/spring-boot-cli/src/test/java/org/springframework/boot/cli/command/OptionParsingCommandTests.java</t>
        </is>
      </c>
      <c r="C2310">
        <f>HYPERLINK("https://github.com/spring-projects/spring-boot/blob/master/cli/spring-boot-cli/src/test/java/org/springframework/boot/cli/command/OptionParsingCommandTests.java")</f>
        <v/>
      </c>
      <c r="D2310" t="inlineStr">
        <is>
          <t>The code provided is a JUnit test for an option parsing command in Spring Boot CLI (Command Line Interface). The tests are checking the functionality of `optionHelp` method from class OptionHandler which handles options and their help messages. This function doesn't seem to return anything as it only checks if certain conditions or assertions hold true.
The main purpose seems to be testing</t>
        </is>
      </c>
      <c r="E2310" t="n">
        <v>0.0038</v>
      </c>
      <c r="F2310" t="n">
        <v>0.0556</v>
      </c>
      <c r="G2310" t="n">
        <v>0.1111</v>
      </c>
      <c r="H2310" t="inlineStr">
        <is>
          <t>The code provided is a simple function for addition of two numbers `a` and `b` in Java language. It takes two parameters (numbers), adds them together and returns the result. This operation has a time complexity of O(1). The Apache License 2.0 applies to this piece of software as it's included at the top of the file.
The test</t>
        </is>
      </c>
      <c r="I2310" t="n">
        <v>0.0041</v>
      </c>
      <c r="J2310" t="n">
        <v>0.0571</v>
      </c>
      <c r="K2310" t="n">
        <v>0.1527</v>
      </c>
      <c r="L2310" t="inlineStr">
        <is>
          <t>The provided code is a JUnit test for the `OptionHandler` class in Spring Boot CLI (Command Line Interface). The purpose of this code is to verify if the help option can be parsed correctly by the OptionHandler class and produce expected results.
The main behavior involves creating an instance of OptionHandler, setting up options with different names and descriptions, then testing whether parsing these</t>
        </is>
      </c>
      <c r="M2310" t="n">
        <v>0.0028</v>
      </c>
      <c r="N2310" t="n">
        <v>0.0556</v>
      </c>
      <c r="O2310" t="n">
        <v>0.0735</v>
      </c>
    </row>
    <row r="2311">
      <c r="A2311" t="inlineStr">
        <is>
          <t>springboot</t>
        </is>
      </c>
      <c r="B2311" t="inlineStr">
        <is>
          <t>cli/spring-boot-cli/src/test/java/org/springframework/boot/cli/command/CommandRunnerIntegrationTests.java</t>
        </is>
      </c>
      <c r="C2311">
        <f>HYPERLINK("https://github.com/spring-projects/spring-boot/blob/master/cli/spring-boot-cli/src/test/java/org/springframework/boot/cli/command/CommandRunnerIntegrationTests.java")</f>
        <v/>
      </c>
      <c r="D2311" t="inlineStr">
        <is>
          <t>The provided code is a JUnit 5 test suite for the `CommandRunner` class from Spring Boot's command line interface (CLI). The tests are written using AssertJ assertions to verify expected behavior of this runner. Some comments have been added in the source file explaining certain sections or parts of the implementation. This includes licensing information and some explanations about the functionality of different methods.</t>
        </is>
      </c>
      <c r="E2311" t="n">
        <v>0.0037</v>
      </c>
      <c r="F2311" t="n">
        <v>0.0822</v>
      </c>
      <c r="G2311" t="n">
        <v>0.1103</v>
      </c>
      <c r="H2311" t="inlineStr">
        <is>
          <t>The provided code is a simple function for addition of two numbers in Java language. It takes two parameters `a` and `b` which are the operands to be added together and returns their sum as result. The time complexity of this operation is O(1), indicating constant time execution regardless of input size.
Here's a concise summary of its functionality:</t>
        </is>
      </c>
      <c r="I2311" t="n">
        <v>0.0031</v>
      </c>
      <c r="J2311" t="n">
        <v>0.058</v>
      </c>
      <c r="K2311" t="n">
        <v>0.1527</v>
      </c>
      <c r="L2311" t="inlineStr">
        <is>
          <t>The provided code is a Java class `CommandRunner` that contains integration tests for the command runner functionality of Spring Boot CLI (Command Line Interface). The purpose of this class seems to be testing various aspects related to running commands and checking their statuses.
Here's an overview of what it does: 
It imports necessary packages such as JUnit jupiter API and</t>
        </is>
      </c>
      <c r="M2311" t="n">
        <v>0.0036</v>
      </c>
      <c r="N2311" t="n">
        <v>0.058</v>
      </c>
      <c r="O2311" t="n">
        <v>0.1136</v>
      </c>
    </row>
    <row r="2312">
      <c r="A2312" t="inlineStr">
        <is>
          <t>springboot</t>
        </is>
      </c>
      <c r="B2312" t="inlineStr">
        <is>
          <t>cli/spring-boot-cli/src/test/java/org/springframework/boot/cli/command/CommandRunnerTests.java</t>
        </is>
      </c>
      <c r="C2312">
        <f>HYPERLINK("https://github.com/spring-projects/spring-boot/blob/master/cli/spring-boot-cli/src/test/java/org/springframework/boot/cli/command/CommandRunnerTests.java")</f>
        <v/>
      </c>
      <c r="D2312" t="inlineStr">
        <is>
          <t>The code is a part of Spring Boot CLI command package which contains the implementation of core algorithms for backend software components. It has unit tests and uses Mockito framework for mocking dependencies in JUnit 5 testing environment. The complexity seems to be O(N), where N represents some form of data size or number of operations depending on how it's implemented. However, without further details about</t>
        </is>
      </c>
      <c r="E2312" t="n">
        <v>0.0036</v>
      </c>
      <c r="F2312" t="n">
        <v>0.0789</v>
      </c>
      <c r="G2312" t="n">
        <v>0.1812</v>
      </c>
      <c r="H2312" t="inlineStr">
        <is>
          <t>The code provided is a simple function for addition of two numbers in Java named `add`. It takes two parameters (numbers), adds them together and returns the result. The time complexity of this operation is O(1).
In the README file, it mentions that this repository contains backend software components which implement core algorithms. 
It also states about licensing conditions under</t>
        </is>
      </c>
      <c r="I2312" t="n">
        <v>0.004</v>
      </c>
      <c r="J2312" t="n">
        <v>0.1159</v>
      </c>
      <c r="K2312" t="n">
        <v>0.323</v>
      </c>
      <c r="L2312" t="inlineStr">
        <is>
          <t>The provided code is a Java class named `CliCommand` that contains several methods and JUnit tests for testing the functionality of Spring Boot CLI commands. The main purpose of this class seems to be managing command line interface (CLI) operations related to creating or updating Spring Boot applications.
The class uses Mockito framework for unit testing which allows mocking dependencies in its test cases</t>
        </is>
      </c>
      <c r="M2312" t="n">
        <v>0.0034</v>
      </c>
      <c r="N2312" t="n">
        <v>0.0278</v>
      </c>
      <c r="O2312" t="n">
        <v>0.1103</v>
      </c>
    </row>
    <row r="2313">
      <c r="A2313" t="inlineStr">
        <is>
          <t>springboot</t>
        </is>
      </c>
      <c r="B2313" t="inlineStr">
        <is>
          <t>cli/spring-boot-cli/src/test/java/org/springframework/boot/cli/command/encodepassword/EncodePasswordCommandTests.java</t>
        </is>
      </c>
      <c r="C2313">
        <f>HYPERLINK("https://github.com/spring-projects/spring-boot/blob/master/cli/spring-boot-cli/src/test/java/org/springframework/boot/cli/command/encodepassword/EncodePasswordCommandTests.java")</f>
        <v/>
      </c>
      <c r="D2313" t="inlineStr">
        <is>
          <t>The code provided is a Java class for encoding passwords using Spring Boot CLI command and JUnit 5 testing framework with Mockito extension. The copyright information states that the software may be used under Apache License version 2.0. There are several tests defined to validate the functionality of this component.
Please note that without knowing more specific details about the code it's hard to</t>
        </is>
      </c>
      <c r="E2313" t="n">
        <v>0.0037</v>
      </c>
      <c r="F2313" t="n">
        <v>0.0541</v>
      </c>
      <c r="G2313" t="n">
        <v>0.1471</v>
      </c>
      <c r="H2313" t="inlineStr">
        <is>
          <t>The provided code is a Java function for addition of two numbers (`add()`). It takes in two parameters `a` and `b` and returns their sum. The time complexity of this operation is O(1), meaning it always executes the same number of operations regardless of input size.
&lt;jupyter_text&gt;
Question 4: Write an algorithm that</t>
        </is>
      </c>
      <c r="I2313" t="n">
        <v>0.0035</v>
      </c>
      <c r="J2313" t="n">
        <v>0.0635</v>
      </c>
      <c r="K2313" t="n">
        <v>0.12</v>
      </c>
      <c r="L2313" t="inlineStr">
        <is>
          <t>The provided code is a Spring Boot CLI command for encoding passwords using the PBE (Password Based Encryption) algorithm from JCE (Java Cryptography Extension). The main purpose of this code is to encode user inputted passwords into an encrypted format that can be stored and later decrypted when needed.
It takes in plaintext password as input and returns its encoded form</t>
        </is>
      </c>
      <c r="M2313" t="n">
        <v>0.003</v>
      </c>
      <c r="N2313" t="n">
        <v>0.058</v>
      </c>
      <c r="O2313" t="n">
        <v>0.1128</v>
      </c>
    </row>
    <row r="2314">
      <c r="A2314" t="inlineStr">
        <is>
          <t>springboot</t>
        </is>
      </c>
      <c r="B2314" t="inlineStr">
        <is>
          <t>cli/spring-boot-cli/src/test/java/org/springframework/boot/cli/command/init/InitCommandTests.java</t>
        </is>
      </c>
      <c r="C2314">
        <f>HYPERLINK("https://github.com/spring-projects/spring-boot/blob/master/cli/spring-boot-cli/src/test/java/org/springframework/boot/cli/command/init/InitCommandTests.java")</f>
        <v/>
      </c>
      <c r="D2314" t="inlineStr">
        <is>
          <t>The code provided is a Java class for initializing an application using Spring Boot CLI (Command Line Interface). It includes Apache License 2.0 details and comments about the implementation of core algorithms in the repository. The complexity of this function appears to be O(N), but without more context it's hard to say exactly how that applies here. This class seems to generate a zip file with</t>
        </is>
      </c>
      <c r="E2314" t="n">
        <v>0.0036</v>
      </c>
      <c r="F2314" t="n">
        <v>0.0779</v>
      </c>
      <c r="G2314" t="n">
        <v>0.1812</v>
      </c>
      <c r="H2314" t="inlineStr">
        <is>
          <t>The code provided is a simple addition function named `add` which takes two parameters and returns their sum. The complexity of this operation is O(1), meaning it always performs the same number of operations regardless of input size.
It's licensed under Apache License 2.0 (see link in comments for more details). It appears to be part of Spring Boot CLI command initialization</t>
        </is>
      </c>
      <c r="I2314" t="n">
        <v>0.0029</v>
      </c>
      <c r="J2314" t="n">
        <v>0.0548</v>
      </c>
      <c r="K2314" t="n">
        <v>0.1119</v>
      </c>
      <c r="L2314" t="inlineStr">
        <is>
          <t>ThegivenJavaSpringBootprojectincludesaCommandLineInterfaceinitializationtoolthatgeneratesabootstrappedapplicationbasedonuserselections.ItusesvariouslibrariesforHTTPcommunication,optionparsing,andarchivecreation.
 The main purpose of the code is to initialize a new Spring Boot application by prompting users for various options and generating an initial project structure based</t>
        </is>
      </c>
      <c r="M2314" t="n">
        <v>0.0067</v>
      </c>
      <c r="N2314" t="n">
        <v>0.0513</v>
      </c>
      <c r="O2314" t="n">
        <v>0.05</v>
      </c>
    </row>
    <row r="2315">
      <c r="A2315" t="inlineStr">
        <is>
          <t>springboot</t>
        </is>
      </c>
      <c r="B2315" t="inlineStr">
        <is>
          <t>cli/spring-boot-cli/src/test/java/org/springframework/boot/cli/command/init/InitializrServiceTests.java</t>
        </is>
      </c>
      <c r="C2315">
        <f>HYPERLINK("https://github.com/spring-projects/spring-boot/blob/master/cli/spring-boot-cli/src/test/java/org/springframework/boot/cli/command/init/InitializrServiceTests.java")</f>
        <v/>
      </c>
      <c r="D2315" t="inlineStr">
        <is>
          <t>The code provided is a Java class for initializing Spring Boot CLI commands using Apache HttpClient library to make HTTP GET requests. The copyright notice at the top of the file states that it's licensed under the Apache License 2.0 and there are conditions related to its usage which must be followed in compliance with this license. There are also some tests included as JUnit 5 unit tests</t>
        </is>
      </c>
      <c r="E2315" t="n">
        <v>0.0027</v>
      </c>
      <c r="F2315" t="n">
        <v>0.0256</v>
      </c>
      <c r="G2315" t="n">
        <v>0.1071</v>
      </c>
      <c r="H2315" t="inlineStr">
        <is>
          <t>The code provided is a simple addition function in Java named add which takes two parameters and returns their sum. The time complexity of this operation is O(1), meaning it performs the same number of operations regardless of input size.
In terms of copyright information, there are comments at the top of the file explaining that it's licensed under Apache License 2.0. There are also</t>
        </is>
      </c>
      <c r="I2315" t="n">
        <v>0.0028</v>
      </c>
      <c r="J2315" t="n">
        <v>0.0526</v>
      </c>
      <c r="K2315" t="n">
        <v>0.1095</v>
      </c>
      <c r="L2315" t="inlineStr">
        <is>
          <t>The provided code is a Spring Boot CLI command initializer that uses Apache HttpClient 5 to send an HTTP GET request and assert the response using AssertJ library for testing purposes. The main purpose of this code is to initialize and test the creation of new projects with specific configurations.
Here are some key operations performed by the code:
1. It sends an HTTP GET request</t>
        </is>
      </c>
      <c r="M2315" t="n">
        <v>0.0028</v>
      </c>
      <c r="N2315" t="n">
        <v>0.0541</v>
      </c>
      <c r="O2315" t="n">
        <v>0.1087</v>
      </c>
    </row>
    <row r="2316">
      <c r="A2316" t="inlineStr">
        <is>
          <t>springboot</t>
        </is>
      </c>
      <c r="B2316" t="inlineStr">
        <is>
          <t>cli/spring-boot-cli/src/test/java/org/springframework/boot/cli/command/init/ServiceCapabilitiesReportGeneratorTests.java</t>
        </is>
      </c>
      <c r="C2316">
        <f>HYPERLINK("https://github.com/spring-projects/spring-boot/blob/master/cli/spring-boot-cli/src/test/java/org/springframework/boot/cli/command/init/ServiceCapabilitiesReportGeneratorTests.java")</f>
        <v/>
      </c>
      <c r="D2316" t="inlineStr">
        <is>
          <t>The code you provided is a JUnit test for the `ServiceCapabilitiesReportGenerator` class in Spring Boot CLI command init package. It tests the functionality of this class by asserting that certain conditions are met. The license at the top of the file states that it's licensed under Apache 2.0 and any modifications to the original must be distributed with an identical license. This code</t>
        </is>
      </c>
      <c r="E2316" t="n">
        <v>0.0038</v>
      </c>
      <c r="F2316" t="n">
        <v>0.0548</v>
      </c>
      <c r="G2316" t="n">
        <v>0.1111</v>
      </c>
      <c r="H2316" t="inlineStr">
        <is>
          <t>The provided code is a Java class that tests the functionality of `ServiceCapabilitiesReportGenerator` using JUnit 5 and AssertJ for assertions. The test checks if the service generates reports correctly by comparing expected results with actual ones. It uses an HTTP client mock to simulate requests from clients.
The complexity of this function is O(n), where n represents the number of services</t>
        </is>
      </c>
      <c r="I2316" t="n">
        <v>0.0036</v>
      </c>
      <c r="J2316" t="n">
        <v>0.0571</v>
      </c>
      <c r="K2316" t="n">
        <v>0.1128</v>
      </c>
      <c r="L2316" t="inlineStr">
        <is>
          <t>The provided code is for a JUnit test case that tests the functionality of `ServiceCapabilitiesReportGenerator` class in Spring Boot CLI project. The purpose of this test is to validate if the output from ServiceCapabilitiesReportGenerator matches with expected results using assertJ library's assertion methods.
Here are some key operations and control flow points identified:
1. It creates</t>
        </is>
      </c>
      <c r="M2316" t="n">
        <v>0.0039</v>
      </c>
      <c r="N2316" t="n">
        <v>0.0615</v>
      </c>
      <c r="O2316" t="n">
        <v>0.1172</v>
      </c>
    </row>
    <row r="2317">
      <c r="A2317" t="inlineStr">
        <is>
          <t>springboot</t>
        </is>
      </c>
      <c r="B2317" t="inlineStr">
        <is>
          <t>cli/spring-boot-cli/src/test/java/org/springframework/boot/cli/command/init/InitializrServiceMetadataTests.java</t>
        </is>
      </c>
      <c r="C2317">
        <f>HYPERLINK("https://github.com/spring-projects/spring-boot/blob/master/cli/spring-boot-cli/src/test/java/org/springframework/boot/cli/command/init/InitializrServiceMetadataTests.java")</f>
        <v/>
      </c>
      <c r="D2317" t="inlineStr">
        <is>
          <t>The code provided is a Java class for initializing Spring Boot CLI commands and it includes comments explaining the functionality of different parts of the code. The main function being tested is `testInitCommand` which tests initialization command functionalities by comparing expected JSON object with actual one after running an init command on a mock project directory. It also checks if any exception occurs during this process. This test case has</t>
        </is>
      </c>
      <c r="E2317" t="n">
        <v>0.0034</v>
      </c>
      <c r="F2317" t="n">
        <v>0.0256</v>
      </c>
      <c r="G2317" t="n">
        <v>0.1056</v>
      </c>
      <c r="H2317" t="inlineStr">
        <is>
          <t>The provided code is a Java implementation of the addition function using Spring Boot CLI command init package. It reads JSON files from classpath resources and performs various operations defined in these files. The complexity here would be O(N), where N represents the number of lines or characters in the file being read. This operation includes reading an InputStream to String conversion which has time complexity of O(N).</t>
        </is>
      </c>
      <c r="I2317" t="n">
        <v>0.0032</v>
      </c>
      <c r="J2317" t="n">
        <v>0.0769</v>
      </c>
      <c r="K2317" t="n">
        <v>0.1429</v>
      </c>
      <c r="L2317" t="inlineStr">
        <is>
          <t>The provided code is a Java class that initializes and tests the creation of Spring Boot command line interface (CLI) projects using JSON objects for configuration details. 
It defines a method `createProject` which takes an InputStream containing project metadata in JSON format as input, parses it into a JSON object, creates a new ProjectInitDescriptor with this information, then uses these descript</t>
        </is>
      </c>
      <c r="M2317" t="n">
        <v>0.003</v>
      </c>
      <c r="N2317" t="n">
        <v>0.029</v>
      </c>
      <c r="O2317" t="n">
        <v>0.1128</v>
      </c>
    </row>
    <row r="2318">
      <c r="A2318" t="inlineStr">
        <is>
          <t>springboot</t>
        </is>
      </c>
      <c r="B2318" t="inlineStr">
        <is>
          <t>cli/spring-boot-cli/src/test/java/org/springframework/boot/cli/command/init/AbstractHttpClientMockTests.java</t>
        </is>
      </c>
      <c r="C2318">
        <f>HYPERLINK("https://github.com/spring-projects/spring-boot/blob/master/cli/spring-boot-cli/src/test/java/org/springframework/boot/cli/command/init/AbstractHttpClientMockTests.java")</f>
        <v/>
      </c>
      <c r="D2318" t="inlineStr">
        <is>
          <t>The code provided is a Java class that initializes an HTTP GET request using Apache HttpClient library and handles the response from server. The functionality of this class includes making an HTTP GET request to a specified URL, handling the received response by extracting headers and entity content, and printing them out in console. This process can be repeated for different URLs or used as part of larger application. It'</t>
        </is>
      </c>
      <c r="E2318" t="n">
        <v>0.0034</v>
      </c>
      <c r="F2318" t="n">
        <v>0.0513</v>
      </c>
      <c r="G2318" t="n">
        <v>0.1056</v>
      </c>
      <c r="H2318" t="inlineStr">
        <is>
          <t>The provided code is a Java function for addition of two numbers named `add`. It takes in two parameters (numbers), adds them together and returns the result. The time complexity of this operation is O(1).
In the README file, it mentions that the repository contains backend software components with an implementation of core algorithms. This could be related to networking or data processing tasks</t>
        </is>
      </c>
      <c r="I2318" t="n">
        <v>0.004</v>
      </c>
      <c r="J2318" t="n">
        <v>0.1096</v>
      </c>
      <c r="K2318" t="n">
        <v>0.2206</v>
      </c>
      <c r="L2318" t="inlineStr">
        <is>
          <t>ThegivenJavacodeinitializesaHTTPGETrequestusingtheApacheHttpserverlibrary.ItconnectstotheremotehostspecifiedinthetemplateURLparameter.Afterestablishingconnection,itexecutesaresponsefromserverandretrievesheadersandcontentbody.Finally,itclosesconnectionsafelywithoutanyexceptionhandling.
```java
public class HttpRequest</t>
        </is>
      </c>
      <c r="M2318" t="n">
        <v>0</v>
      </c>
      <c r="N2318" t="n">
        <v>0</v>
      </c>
      <c r="O2318" t="n">
        <v>0</v>
      </c>
    </row>
    <row r="2319">
      <c r="A2319" t="inlineStr">
        <is>
          <t>springboot</t>
        </is>
      </c>
      <c r="B2319" t="inlineStr">
        <is>
          <t>cli/spring-boot-cli/src/test/java/org/springframework/boot/cli/command/init/ProjectGenerationRequestTests.java</t>
        </is>
      </c>
      <c r="C2319">
        <f>HYPERLINK("https://github.com/spring-projects/spring-boot/blob/master/cli/spring-boot-cli/src/test/java/org/springframework/boot/cli/command/init/ProjectGenerationRequestTests.java")</f>
        <v/>
      </c>
      <c r="D2319" t="inlineStr">
        <is>
          <t>```plaintext
The code provided is a Java class that initializes and tests the creation of an application using Spring Boot CLI (Command Line Interface). 
It includes Apache License information at the top which states it can be used for any purpose except compliance with its terms. The license permits distribution under certain conditions specified in the link shared above.
The main functionality involves creating</t>
        </is>
      </c>
      <c r="E2319" t="n">
        <v>0.0034</v>
      </c>
      <c r="F2319" t="n">
        <v>0.0278</v>
      </c>
      <c r="G2319" t="n">
        <v>0.0735</v>
      </c>
      <c r="H2319" t="inlineStr">
        <is>
          <t>The code you provided is a simple function for addition of two numbers in Java. The functionality of this code can be summarized as follows:
```plaintext
Function Name: add
Input Parameters: 2 Numbers (integers or floats) to perform the addition operation on.
Return Value: Returns the summation result of the input parameters.
Complexity</t>
        </is>
      </c>
      <c r="I2319" t="n">
        <v>0.0035</v>
      </c>
      <c r="J2319" t="n">
        <v>0.06560000000000001</v>
      </c>
      <c r="K2319" t="n">
        <v>0.08</v>
      </c>
      <c r="L2319" t="inlineStr">
        <is>
          <t>The code provided is for initializing a new Spring Boot project using the command line interface (CLI). It's designed to create and initialize a simple web application with default configurations based on user input. The main functionality of this module includes creating directories and files related to the structure of a typical Spring Boot project like src/, resources/, pom.xml etc., as well as setting up basic configuration</t>
        </is>
      </c>
      <c r="M2319" t="n">
        <v>0.0036</v>
      </c>
      <c r="N2319" t="n">
        <v>0.0779</v>
      </c>
      <c r="O2319" t="n">
        <v>0.1439</v>
      </c>
    </row>
    <row r="2320">
      <c r="A2320" t="inlineStr">
        <is>
          <t>springboot</t>
        </is>
      </c>
      <c r="B2320" t="inlineStr">
        <is>
          <t>cli/spring-boot-cli/src/test/java/org/springframework/boot/cli/command/shell/EscapeAwareWhiteSpaceArgumentDelimiterTests.java</t>
        </is>
      </c>
      <c r="C2320">
        <f>HYPERLINK("https://github.com/spring-projects/spring-boot/blob/master/cli/spring-boot-cli/src/test/java/org/springframework/boot/cli/command/shell/EscapeAwareWhiteSpaceArgumentDelimiterTests.java")</f>
        <v/>
      </c>
      <c r="D2320" t="inlineStr">
        <is>
          <t>```plaintext
The code is a JUnit test for the `EscapeAwareWhiteSpaceArgumentDelimiter` class from Spring Boot CLI command shell package. This class appears to be responsible for splitting input arguments into tokens based on whitespace and escape characters. 
It tests that the delimiters are correctly implemented by asserting that certain inputs produce expected outputs</t>
        </is>
      </c>
      <c r="E2320" t="n">
        <v>0.0042</v>
      </c>
      <c r="F2320" t="n">
        <v>0.0667</v>
      </c>
      <c r="G2320" t="n">
        <v>0.121</v>
      </c>
      <c r="H2320" t="inlineStr">
        <is>
          <t>The provided code is a Java class named `EscapeAwareWhiteSpaceArgumentDelimiterTests` which contains JUnit tests for the `EscapeAwareWhiteSpaceArgumentDelimiter` class. The purpose of these tests seems to be verifying that certain methods in this class behave as expected under different scenarios. 
In terms of functionality, it appears to test whether an</t>
        </is>
      </c>
      <c r="I2320" t="n">
        <v>0</v>
      </c>
      <c r="J2320" t="n">
        <v>0.07140000000000001</v>
      </c>
      <c r="K2320" t="n">
        <v>0.0417</v>
      </c>
      <c r="L2320" t="inlineStr">
        <is>
          <t>The provided code is a JUnit test for the `EscapeAwareWhiteSpaceArgumentDelimiter` class in Spring Boot CLI command shell package. The purpose of this code is to verify that the `EscapeAwareWhiteSpaceArgumentDelimiter` correctly handles escape sequences and whitespace characters when splitting input strings into arguments.
It does so by creating an instance of</t>
        </is>
      </c>
      <c r="M2320" t="n">
        <v>0.0037</v>
      </c>
      <c r="N2320" t="n">
        <v>0.06900000000000001</v>
      </c>
      <c r="O2320" t="n">
        <v>0.082</v>
      </c>
    </row>
    <row r="2321">
      <c r="A2321" t="inlineStr">
        <is>
          <t>springboot</t>
        </is>
      </c>
      <c r="B2321" t="inlineStr">
        <is>
          <t>cli/spring-boot-cli/src/test/java/org/springframework/boot/cli/util/MockLog.java</t>
        </is>
      </c>
      <c r="C2321">
        <f>HYPERLINK("https://github.com/spring-projects/spring-boot/blob/master/cli/spring-boot-cli/src/test/java/org/springframework/boot/cli/util/MockLog.java")</f>
        <v/>
      </c>
      <c r="D2321" t="inlineStr">
        <is>
          <t>The provided code is a simple interface named MockLog that mocks the logging functionality of Spring Boot CLI using Mockito library for testing message output in backend software components. It provides two static methods to attach and clear log listeners respectively. The implementation does not contain any complex algorithms or data structures but uses external libraries such as Mockito which can be considered complexity based on their usage.
Please</t>
        </is>
      </c>
      <c r="E2321" t="n">
        <v>0.0035</v>
      </c>
      <c r="F2321" t="n">
        <v>0.0519</v>
      </c>
      <c r="G2321" t="n">
        <v>0.1418</v>
      </c>
      <c r="H2321" t="inlineStr">
        <is>
          <t>The provided code is a simple addition function in Java named add that takes two parameters and returns their sum. The functionality of the code can be summarized as follows: It accepts two numbers (integers or floats), adds them together, and then returns the result. This operation has constant time complexity O(1).
```java
def add(a, b):
    return</t>
        </is>
      </c>
      <c r="I2321" t="n">
        <v>0.0042</v>
      </c>
      <c r="J2321" t="n">
        <v>0.0597</v>
      </c>
      <c r="K2321" t="n">
        <v>0.1163</v>
      </c>
      <c r="L2321" t="inlineStr">
        <is>
          <t>The provided code is a Java interface named MockLog that extends LogListener and provides static methods to attach itself as the listener for logging purposes in Spring Boot CLI utilities. The purpose of this class seems to be mainly related with testing message output by attaching it self as log listener which can later clear or remove itself from listening logs. This functionality could help during unit tests where you want to capture</t>
        </is>
      </c>
      <c r="M2321" t="n">
        <v>0.0033</v>
      </c>
      <c r="N2321" t="n">
        <v>0.0494</v>
      </c>
      <c r="O2321" t="n">
        <v>0.1034</v>
      </c>
    </row>
    <row r="2322">
      <c r="A2322" t="inlineStr">
        <is>
          <t>springboot</t>
        </is>
      </c>
      <c r="B2322" t="inlineStr">
        <is>
          <t>buildpack/spring-boot-buildpack-platform/src/main/java/org/springframework/boot/buildpack/platform/io/TarArchive.java</t>
        </is>
      </c>
      <c r="C2322">
        <f>HYPERLINK("https://github.com/spring-projects/spring-boot/blob/master/buildpack/spring-boot-buildpack-platform/src/main/java/org/springframework/boot/buildpack/platform/io/TarArchive.java")</f>
        <v/>
      </c>
      <c r="D2322" t="inlineStr">
        <is>
          <t>The code provided is a Java class that deals with file operations and compression using GZip algorithm. It's part of the Spring Boot project which provides utilities for handling streams in an efficient way. The copyright information at the top indicates this software may be subject to Apache License 2.0 terms.
The main functionality it offers includes reading from input stream, writing to output stream</t>
        </is>
      </c>
      <c r="E2322" t="n">
        <v>0.0037</v>
      </c>
      <c r="F2322" t="n">
        <v>0.08</v>
      </c>
      <c r="G2322" t="n">
        <v>0.2304</v>
      </c>
      <c r="H2322" t="inlineStr">
        <is>
          <t>The code provided is a Java implementation of the add function which adds two numbers together and returns their sum. It's licensed under Apache License 2.0. This means you can use it freely as long as you follow its terms. The complexity of this operation is O(1), meaning that no matter how large the inputs are, the time taken to compute will remain constant.</t>
        </is>
      </c>
      <c r="I2322" t="n">
        <v>0.0034</v>
      </c>
      <c r="J2322" t="n">
        <v>0.08</v>
      </c>
      <c r="K2322" t="n">
        <v>0.1471</v>
      </c>
      <c r="L2322" t="inlineStr">
        <is>
          <t>The provided code is a Java implementation of file compression and decompression using GZip algorithm. The main purpose of this class seems to be handling the input stream (source) and output stream (destination). 
It provides two methods `decompress` and `compress` which use GZIPInputStream for decompression and StreamUtils.copy() method from Spring framework for</t>
        </is>
      </c>
      <c r="M2322" t="n">
        <v>0.0035</v>
      </c>
      <c r="N2322" t="n">
        <v>0.06560000000000001</v>
      </c>
      <c r="O2322" t="n">
        <v>0.1613</v>
      </c>
    </row>
    <row r="2323">
      <c r="A2323" t="inlineStr">
        <is>
          <t>springboot</t>
        </is>
      </c>
      <c r="B2323" t="inlineStr">
        <is>
          <t>buildpack/spring-boot-buildpack-platform/src/main/java/org/springframework/boot/buildpack/platform/io/package-info.java</t>
        </is>
      </c>
      <c r="C2323">
        <f>HYPERLINK("https://github.com/spring-projects/spring-boot/blob/master/buildpack/spring-boot-buildpack-platform/src/main/java/org/springframework/boot/buildpack/platform/io/package-info.java")</f>
        <v/>
      </c>
      <c r="D2323" t="inlineStr">
        <is>
          <t>```java
/* 
 * Copyright 2012-present the original author or authors.
 * Licensed under the Apache License, Version 2.0 (the "License");
 * you may not use this file except in compliance with the License.
 * You may obtain a copy of the License at
 *     https://www.apache.org/</t>
        </is>
      </c>
      <c r="E2323" t="n">
        <v>0</v>
      </c>
      <c r="F2323" t="n">
        <v>0.0385</v>
      </c>
      <c r="G2323" t="n">
        <v>0.08550000000000001</v>
      </c>
      <c r="H2323" t="inlineStr">
        <is>
          <t>The provided code is a function named `add` that takes two parameters (numbers), adds them together and returns the result. The complexity of this operation is O(1). This means it will always take constant time to execute regardless of the size of input data.
In terms of comments, they indicate what the function does - addition. 
Also in the README file</t>
        </is>
      </c>
      <c r="I2323" t="n">
        <v>0.0036</v>
      </c>
      <c r="J2323" t="n">
        <v>0.058</v>
      </c>
      <c r="K2323" t="n">
        <v>0.1128</v>
      </c>
      <c r="L2323" t="inlineStr">
        <is>
          <t>The provided code is a Spring Boot application with several packages and classes marked as @NullMarked. The purpose of this code seems to be related to the handling of input/output operations in an efficient manner using Java's Stream API for processing large data sets. However, without additional context or specific details about what exactly it does, it's hard to provide a more concise summary.</t>
        </is>
      </c>
      <c r="M2323" t="n">
        <v>0.0028</v>
      </c>
      <c r="N2323" t="n">
        <v>0.0267</v>
      </c>
      <c r="O2323" t="n">
        <v>0.1103</v>
      </c>
    </row>
    <row r="2324">
      <c r="A2324" t="inlineStr">
        <is>
          <t>springboot</t>
        </is>
      </c>
      <c r="B2324" t="inlineStr">
        <is>
          <t>buildpack/spring-boot-buildpack-platform/src/main/java/org/springframework/boot/buildpack/platform/io/InspectedContent.java</t>
        </is>
      </c>
      <c r="C2324">
        <f>HYPERLINK("https://github.com/spring-projects/spring-boot/blob/master/buildpack/spring-boot-buildpack-platform/src/main/java/org/springframework/boot/buildpack/platform/io/InspectedContent.java")</f>
        <v/>
      </c>
      <c r="D2324" t="inlineStr">
        <is>
          <t>```
The code provided is a Java class that handles file operations such as reading from and writing to files using the Apache License 2.0 (see link in comments). The license details are included at the top of each source file for copyright information and licensing terms. This software may be used under certain conditions specified by this license. It's distributed on an "AS IS</t>
        </is>
      </c>
      <c r="E2324" t="n">
        <v>0.0066</v>
      </c>
      <c r="F2324" t="n">
        <v>0.0541</v>
      </c>
      <c r="G2324" t="n">
        <v>0.146</v>
      </c>
      <c r="H2324" t="inlineStr">
        <is>
          <t>The provided code is a Java package that contains backend software components for processing input and output operations in an application using Spring Boot build pack platform IO. The license at the top of this file states that it's licensed under Apache License 2.0 which means you can use, modify or distribute this code freely as long as you comply with its terms and conditions.
The main function being</t>
        </is>
      </c>
      <c r="I2324" t="n">
        <v>0.0031</v>
      </c>
      <c r="J2324" t="n">
        <v>0.0506</v>
      </c>
      <c r="K2324" t="n">
        <v>0.1418</v>
      </c>
      <c r="L2324" t="inlineStr">
        <is>
          <t>The provided code is a Java implementation of an algorithm that reads from and writes to files using InputStream and OutputStream classes in the java.io package. The main purpose of this program seems to be file I/O operations which include reading data from input streams (like FileInputStream) into byte arrays for processing or writing processed data back to output streams (like FileOutputStream). 
It</t>
        </is>
      </c>
      <c r="M2324" t="n">
        <v>0.0029</v>
      </c>
      <c r="N2324" t="n">
        <v>0.0548</v>
      </c>
      <c r="O2324" t="n">
        <v>0.1481</v>
      </c>
    </row>
    <row r="2325">
      <c r="A2325" t="inlineStr">
        <is>
          <t>springboot</t>
        </is>
      </c>
      <c r="B2325" t="inlineStr">
        <is>
          <t>buildpack/spring-boot-buildpack-platform/src/main/java/org/springframework/boot/buildpack/platform/io/IOSupplier.java</t>
        </is>
      </c>
      <c r="C2325">
        <f>HYPERLINK("https://github.com/spring-projects/spring-boot/blob/master/buildpack/spring-boot-buildpack-platform/src/main/java/org/springframework/boot/buildpack/platform/io/IOSupplier.java")</f>
        <v/>
      </c>
      <c r="D2325" t="inlineStr">
        <is>
          <t>The code provided is a functional interface named IOSupplier that extends java's Functional Interface Supplier. The purpose of this class seems to be to supply an object of type T and can throw IOException in case of issues with IO operations. It has one abstract method get() which returns the supplied value or throws IOException if any issue occurs during IO operation.
The license at the</t>
        </is>
      </c>
      <c r="E2325" t="n">
        <v>0.0028</v>
      </c>
      <c r="F2325" t="n">
        <v>0.0533</v>
      </c>
      <c r="G2325" t="n">
        <v>0.1087</v>
      </c>
      <c r="H2325" t="inlineStr">
        <is>
          <t>The provided code is a Java function named "add". This function takes two parameters (a and b), adds them together, and returns the result. The functionality of this code can be summarized as follows: Adds two numbers. Complexity is O(1). It's part of an Apache License 2.0 licensed project that handles IO operations safely by throwing IOException when necessary.</t>
        </is>
      </c>
      <c r="I2325" t="n">
        <v>0.0041</v>
      </c>
      <c r="J2325" t="n">
        <v>0.0857</v>
      </c>
      <c r="K2325" t="n">
        <v>0.1145</v>
      </c>
      <c r="L2325" t="inlineStr">
        <is>
          <t>The provided code is a functional interface named IOSupplier that extends the java.util.function package and represents a supplier of results which can throw an IOException. This interface has one method get() that returns a value of type T but may also throw an IOException in case of any IO related exceptions during execution. The purpose of this class seems to be for supplying values of type T while handling</t>
        </is>
      </c>
      <c r="M2325" t="n">
        <v>0.0031</v>
      </c>
      <c r="N2325" t="n">
        <v>0.0506</v>
      </c>
      <c r="O2325" t="n">
        <v>0.1064</v>
      </c>
    </row>
    <row r="2326">
      <c r="A2326" t="inlineStr">
        <is>
          <t>springboot</t>
        </is>
      </c>
      <c r="B2326" t="inlineStr">
        <is>
          <t>buildpack/spring-boot-buildpack-platform/src/main/java/org/springframework/boot/buildpack/platform/io/Owner.java</t>
        </is>
      </c>
      <c r="C2326">
        <f>HYPERLINK("https://github.com/spring-projects/spring-boot/blob/master/buildpack/spring-boot-buildpack-platform/src/main/java/org/springframework/boot/buildpack/platform/io/Owner.java")</f>
        <v/>
      </c>
      <c r="D2326" t="inlineStr">
        <is>
          <t>The code provided is a Java interface named 'Owner'. It defines two constants for user and group IDs that can be used to indicate file ownership. The owner of the root directory (which has UID 0, GID 0) is represented as Owner.ROOT. There's also an abstract method getId() which returns the user identifier (UID). This implementation seems to</t>
        </is>
      </c>
      <c r="E2326" t="n">
        <v>0.0037</v>
      </c>
      <c r="F2326" t="n">
        <v>0.0588</v>
      </c>
      <c r="G2326" t="n">
        <v>0.1538</v>
      </c>
      <c r="H2326" t="inlineStr">
        <is>
          <t>The code provided is a Java interface named `Owner` with two static fields and one method. The first field, `ROOT`, represents the owner of root ownership. This can be used to indicate file ownership. 
The second field, `USER_AND_GROUP_ID`, appears not to have been defined in this snippet. It could represent user and group</t>
        </is>
      </c>
      <c r="I2326" t="n">
        <v>0.0041</v>
      </c>
      <c r="J2326" t="n">
        <v>0.0625</v>
      </c>
      <c r="K2326" t="n">
        <v>0.12</v>
      </c>
      <c r="L2326" t="inlineStr">
        <is>
          <t>The code provided is a Java interface named `Owner` in the Spring Boot build pack platform IO package. This interface provides methods for obtaining ownership information about files or directories on an operating system level such as user and group IDs. The purpose of this class seems to be managing file permissions and ownership based on Unix systems' concepts.
The main functionality includes defining constants for root ownership (</t>
        </is>
      </c>
      <c r="M2326" t="n">
        <v>0.0035</v>
      </c>
      <c r="N2326" t="n">
        <v>0.0526</v>
      </c>
      <c r="O2326" t="n">
        <v>0.1064</v>
      </c>
    </row>
    <row r="2327">
      <c r="A2327" t="inlineStr">
        <is>
          <t>springboot</t>
        </is>
      </c>
      <c r="B2327" t="inlineStr">
        <is>
          <t>buildpack/spring-boot-buildpack-platform/src/main/java/org/springframework/boot/buildpack/platform/io/IOBiConsumer.java</t>
        </is>
      </c>
      <c r="C2327">
        <f>HYPERLINK("https://github.com/spring-projects/spring-boot/blob/master/buildpack/spring-boot-buildpack-platform/src/main/java/org/springframework/boot/buildpack/platform/io/IOBiConsumer.java")</f>
        <v/>
      </c>
      <c r="D2327" t="inlineStr">
        <is>
          <t>The provided code is a functional interface named IOBiConsumer that extends the Java built-in Functional Interface BiConsumer. It represents an operation upon two input arguments (both of type T and U respectively). The operation does not return any result but can safely throw IOException in case of I/O exceptions. This interface has been designed to be used with Spring Boot build pack for platform io applications.</t>
        </is>
      </c>
      <c r="E2327" t="n">
        <v>0.0033</v>
      </c>
      <c r="F2327" t="n">
        <v>0.0526</v>
      </c>
      <c r="G2327" t="n">
        <v>0.1087</v>
      </c>
      <c r="H2327" t="inlineStr">
        <is>
          <t>The provided code is a Java function named `add` that takes two parameters and returns their sum. It operates under the complexity of O(1), meaning it performs constant time operations regardless of input size. The function does not throw any exceptions related to IO as per Apache license conditions given in comments.
Here's a concise summary: 
```plaintext
Name:</t>
        </is>
      </c>
      <c r="I2327" t="n">
        <v>0.0031</v>
      </c>
      <c r="J2327" t="n">
        <v>0.0588</v>
      </c>
      <c r="K2327" t="n">
        <v>0.0769</v>
      </c>
      <c r="L2327" t="inlineStr">
        <is>
          <t>The code provided is a Java function interface named `IOBiConsumer` that represents a BiConsumer which takes two inputs (both of type T and U) and returns no result. The purpose of this consumer is to perform an operation on the given arguments without throwing any exceptions related to IO operations. 
It's designed by Phillip Webb as part of Spring Boot Build Pack Platform</t>
        </is>
      </c>
      <c r="M2327" t="n">
        <v>0.0029</v>
      </c>
      <c r="N2327" t="n">
        <v>0.0556</v>
      </c>
      <c r="O2327" t="n">
        <v>0.1111</v>
      </c>
    </row>
    <row r="2328">
      <c r="A2328" t="inlineStr">
        <is>
          <t>springboot</t>
        </is>
      </c>
      <c r="B2328" t="inlineStr">
        <is>
          <t>buildpack/spring-boot-buildpack-platform/src/main/java/org/springframework/boot/buildpack/platform/io/FilePermissions.java</t>
        </is>
      </c>
      <c r="C2328">
        <f>HYPERLINK("https://github.com/spring-projects/spring-boot/blob/master/buildpack/spring-boot-buildpack-platform/src/main/java/org/springframework/boot/buildpack/platform/io/FilePermissions.java")</f>
        <v/>
      </c>
      <c r="D2328" t="inlineStr">
        <is>
          <t>The provided code is a Java class that deals with file permissions and attributes using the java.nio package. The class imports necessary classes for handling files (`java.nio.file.Files`), paths to those files (`java.nio.file.Path`), POSIX file attribute views (`java.nio.file.attribute.PosixFileAttribute</t>
        </is>
      </c>
      <c r="E2328" t="n">
        <v>0.005</v>
      </c>
      <c r="F2328" t="n">
        <v>0.0357</v>
      </c>
      <c r="G2328" t="n">
        <v>0.0917</v>
      </c>
      <c r="H2328" t="inlineStr">
        <is>
          <t>The provided code is a Java function named `add` that performs addition operation on two numbers and returns the result. The complexity of this function is O(1), meaning it takes constant time to execute regardless of input size. This function does not repeat any code from previous commits or other parts of the repository. It's licensed under Apache License 2.0 which means you can use,</t>
        </is>
      </c>
      <c r="I2328" t="n">
        <v>0.0033</v>
      </c>
      <c r="J2328" t="n">
        <v>0.0526</v>
      </c>
      <c r="K2328" t="n">
        <v>0.1095</v>
      </c>
      <c r="L2328" t="inlineStr">
        <is>
          <t>The provided code is a Java class that deals with file permissions in the context of Spring Boot application. The main purpose of this class seems to be to manipulate and retrieve Posix (Linux) style file permissions for files on disk using java.nio APIs.
Here's what it does: 
It imports necessary packages including `java.io`, `</t>
        </is>
      </c>
      <c r="M2328" t="n">
        <v>0.0033</v>
      </c>
      <c r="N2328" t="n">
        <v>0.0615</v>
      </c>
      <c r="O2328" t="n">
        <v>0.1181</v>
      </c>
    </row>
    <row r="2329">
      <c r="A2329" t="inlineStr">
        <is>
          <t>springboot</t>
        </is>
      </c>
      <c r="B2329" t="inlineStr">
        <is>
          <t>buildpack/spring-boot-buildpack-platform/src/main/java/org/springframework/boot/buildpack/platform/io/Content.java</t>
        </is>
      </c>
      <c r="C2329">
        <f>HYPERLINK("https://github.com/spring-projects/spring-boot/blob/master/buildpack/spring-boot-buildpack-platform/src/main/java/org/springframework/boot/buildpack/platform/io/Content.java")</f>
        <v/>
      </c>
      <c r="D2329" t="inlineStr">
        <is>
          <t>The code provided is a Java class that handles file operations such as reading and writing to files using Apache License 2.0. It provides methods for copying input streams into output streams with various encoding options. The license details are also included at the top of the file which ensures compliance with the terms set out in the license.
The main method seems to be missing from this code snip</t>
        </is>
      </c>
      <c r="E2329" t="n">
        <v>0.0026</v>
      </c>
      <c r="F2329" t="n">
        <v>0.0253</v>
      </c>
      <c r="G2329" t="n">
        <v>0.1056</v>
      </c>
      <c r="H2329" t="inlineStr">
        <is>
          <t>The provided code is a Java package that contains backend software components for Spring Boot applications. The main component in this package appears to be an implementation of core algorithms related to file handling and copying. It includes classes such as `ByteArrayInputStream`, `FileInputStream`, `InputStream`, `OutputStream`, etc., which are used for input/output operations with files or byte arrays respectively.</t>
        </is>
      </c>
      <c r="I2329" t="n">
        <v>0.0041</v>
      </c>
      <c r="J2329" t="n">
        <v>0.1194</v>
      </c>
      <c r="K2329" t="n">
        <v>0.2308</v>
      </c>
      <c r="L2329" t="inlineStr">
        <is>
          <t>The provided code is a Java class named "TemporaryDirectory". This class has the responsibility of creating temporary files and directories for testing purposes in Spring Boot applications. It does so by implementing methods to create an input stream from byte array data or file system resources like other files. The purpose of this class seems to be primarily focused on providing test support with respect to handling I/O operations within unit tests</t>
        </is>
      </c>
      <c r="M2329" t="n">
        <v>0.003</v>
      </c>
      <c r="N2329" t="n">
        <v>0.0494</v>
      </c>
      <c r="O2329" t="n">
        <v>0.1042</v>
      </c>
    </row>
    <row r="2330">
      <c r="A2330" t="inlineStr">
        <is>
          <t>springboot</t>
        </is>
      </c>
      <c r="B2330" t="inlineStr">
        <is>
          <t>buildpack/spring-boot-buildpack-platform/src/main/java/org/springframework/boot/buildpack/platform/io/ZipFileTarArchive.java</t>
        </is>
      </c>
      <c r="C2330">
        <f>HYPERLINK("https://github.com/spring-projects/spring-boot/blob/master/buildpack/spring-boot-buildpack-platform/src/main/java/org/springframework/boot/buildpack/platform/io/ZipFileTarArchive.java")</f>
        <v/>
      </c>
      <c r="D2330" t="inlineStr">
        <is>
          <t>The code provided is a Java class that handles file operations related to the Apache Commons Compress library for Tar files. The main functionality of this class revolves around creating and writing tar files from input streams or files. It also includes handling permissions and licensing information about the software package it's part of.
It has methods such as `createEmptyRootTar` (creates</t>
        </is>
      </c>
      <c r="E2330" t="n">
        <v>0.0039</v>
      </c>
      <c r="F2330" t="n">
        <v>0.0571</v>
      </c>
      <c r="G2330" t="n">
        <v>0.1504</v>
      </c>
      <c r="H2330" t="inlineStr">
        <is>
          <t>The provided code is a Java package that contains backend software components for handling file operations in the Apache Commons Compress library. The main class `org.springframework.boot.buildpack.platform.io` has methods related to working with tar files (archive format). 
In particular, it includes classes and methods for reading from an input stream into a TarArchiveOutputStream object, writing</t>
        </is>
      </c>
      <c r="I2330" t="n">
        <v>0.004</v>
      </c>
      <c r="J2330" t="n">
        <v>0.0597</v>
      </c>
      <c r="K2330" t="n">
        <v>0.119</v>
      </c>
      <c r="L2330" t="inlineStr">
        <is>
          <t>The provided code is a Java class that handles the creation of TAR files using Apache Commons Compress library's TarArchiveOutputStream. The main purpose of this class seems to be creating an archive file from input streams and writing them into output stream in a .tar format.
It takes as inputs File objects representing directories or individual files which it then writes out as entries within a tar</t>
        </is>
      </c>
      <c r="M2330" t="n">
        <v>0.0027</v>
      </c>
      <c r="N2330" t="n">
        <v>0.0526</v>
      </c>
      <c r="O2330" t="n">
        <v>0.1079</v>
      </c>
    </row>
    <row r="2331">
      <c r="A2331" t="inlineStr">
        <is>
          <t>springboot</t>
        </is>
      </c>
      <c r="B2331" t="inlineStr">
        <is>
          <t>buildpack/spring-boot-buildpack-platform/src/main/java/org/springframework/boot/buildpack/platform/io/IOConsumer.java</t>
        </is>
      </c>
      <c r="C2331">
        <f>HYPERLINK("https://github.com/spring-projects/spring-boot/blob/master/buildpack/spring-boot-buildpack-platform/src/main/java/org/springframework/boot/buildpack/platform/io/IOConsumer.java")</f>
        <v/>
      </c>
      <c r="D2331" t="inlineStr">
        <is>
          <t>The code provided is a functional interface named IOConsumer that represents an operation on a single input argument which may throw IOException. It's used to safely consume the given argument and can potentially throw IOException if something goes wrong during the execution of this operation. The author of the code is Phillip Webb, who has been contributing to Spring Boot since version 2.3.0.</t>
        </is>
      </c>
      <c r="E2331" t="n">
        <v>0.0029</v>
      </c>
      <c r="F2331" t="n">
        <v>0.0541</v>
      </c>
      <c r="G2331" t="n">
        <v>0.1111</v>
      </c>
      <c r="H2331" t="inlineStr">
        <is>
          <t>The provided code is a Java function that represents an IO Consumer which takes in one parameter and performs some operation on it without returning any result. The functionality of this function appears to be the addition of two numbers (presumably integers or floats). It's using Apache License 2.0 for copyright information.
Please note that I can only provide summaries based on the</t>
        </is>
      </c>
      <c r="I2331" t="n">
        <v>0.0034</v>
      </c>
      <c r="J2331" t="n">
        <v>0.0548</v>
      </c>
      <c r="K2331" t="n">
        <v>0.1111</v>
      </c>
      <c r="L2331" t="inlineStr">
        <is>
          <t>The provided code is a functional interface named `IOConsumer` that represents an operation on a single input argument and does not throw any exceptions related to IO operations (like IOException). The purpose of this consumer is to perform some operation with the given argument without returning anything. It's designed for use in scenarios where you have a resource that needs cleanup after usage but cannot handle potential errors during its execution</t>
        </is>
      </c>
      <c r="M2331" t="n">
        <v>0.0026</v>
      </c>
      <c r="N2331" t="n">
        <v>0.05</v>
      </c>
      <c r="O2331" t="n">
        <v>0.1049</v>
      </c>
    </row>
    <row r="2332">
      <c r="A2332" t="inlineStr">
        <is>
          <t>springboot</t>
        </is>
      </c>
      <c r="B2332" t="inlineStr">
        <is>
          <t>buildpack/spring-boot-buildpack-platform/src/main/java/org/springframework/boot/buildpack/platform/io/Layout.java</t>
        </is>
      </c>
      <c r="C2332">
        <f>HYPERLINK("https://github.com/spring-projects/spring-boot/blob/master/buildpack/spring-boot-buildpack-platform/src/main/java/org/springframework/boot/buildpack/platform/io/Layout.java")</f>
        <v/>
      </c>
      <c r="D2332" t="inlineStr">
        <is>
          <t>The provided code is an interface named "Layout". This interface has one method called addDirectory which adds a directory to the content of the layout. The parameter name represents the full name of the directory and owner represents its ownership. It's licensed under Apache License 2.0 and it can be used in compliance with this license only.
Please note that without seeing the actual implementation or</t>
        </is>
      </c>
      <c r="E2332" t="n">
        <v>0.0033</v>
      </c>
      <c r="F2332" t="n">
        <v>0.0526</v>
      </c>
      <c r="G2332" t="n">
        <v>0.1449</v>
      </c>
      <c r="H2332" t="inlineStr">
        <is>
          <t>The function `add` in the provided code is a simple addition operation that takes two parameters and returns their sum. The functionality of this code revolves around adding numbers together. It's complexity is O(1), meaning it performs one single operation regardless of input size. This code does not contain any loops or recursive calls which makes it efficient for large inputs as well.
```</t>
        </is>
      </c>
      <c r="I2332" t="n">
        <v>0.0037</v>
      </c>
      <c r="J2332" t="n">
        <v>0.0548</v>
      </c>
      <c r="K2332" t="n">
        <v>0.1103</v>
      </c>
      <c r="L2332" t="inlineStr">
        <is>
          <t>The provided code is a Java interface named `Layout` that can be used to write a file or directory layout in Spring Boot applications. The purpose of this interface appears to be creating and managing directories within the application's content. 
It has one method, `addDirectory()`, which adds a new directory with a given name and owner (presumably specifying who owns</t>
        </is>
      </c>
      <c r="M2332" t="n">
        <v>0.003</v>
      </c>
      <c r="N2332" t="n">
        <v>0.058</v>
      </c>
      <c r="O2332" t="n">
        <v>0.1136</v>
      </c>
    </row>
    <row r="2333">
      <c r="A2333" t="inlineStr">
        <is>
          <t>springboot</t>
        </is>
      </c>
      <c r="B2333" t="inlineStr">
        <is>
          <t>buildpack/spring-boot-buildpack-platform/src/main/java/org/springframework/boot/buildpack/platform/io/TarLayoutWriter.java</t>
        </is>
      </c>
      <c r="C2333">
        <f>HYPERLINK("https://github.com/spring-projects/spring-boot/blob/master/buildpack/spring-boot-buildpack-platform/src/main/java/org/springframework/boot/buildpack/platform/io/TarLayoutWriter.java")</f>
        <v/>
      </c>
      <c r="D2333" t="inlineStr">
        <is>
          <t>The code provided is a Java class that implements the functionality of creating TAR files using Apache Commons Compress library's TarArchiveOutputStream class from Spring Boot Build Pack Platform IO package. The file contains license information and comments explaining its usage. It also defines an OutputStream which can be used to write data into the archive in a tar format.
It uses Apache License 2.</t>
        </is>
      </c>
      <c r="E2333" t="n">
        <v>0.0037</v>
      </c>
      <c r="F2333" t="n">
        <v>0.0822</v>
      </c>
      <c r="G2333" t="n">
        <v>0.1103</v>
      </c>
      <c r="H2333" t="inlineStr">
        <is>
          <t>The provided code is a Java package that contains backend software components for handling tar files using Apache Commons Compress library's TarArchiveOutputStream class. The function `writeTo` in this package writes the given content to an output stream as a TAR entry with specified file name and permissions. 
Here are some key details about it:
- This code operates on streams of</t>
        </is>
      </c>
      <c r="I2333" t="n">
        <v>0.0039</v>
      </c>
      <c r="J2333" t="n">
        <v>0.08699999999999999</v>
      </c>
      <c r="K2333" t="n">
        <v>0.1504</v>
      </c>
      <c r="L2333" t="inlineStr">
        <is>
          <t>The provided code is a Java class that implements the creation of TAR files using Apache Commons Compress library's TarArchiveOutputStream class. The main purpose of this class seems to be creating and writing entries into a tar file from an input stream or byte array data. 
It accepts inputs in form of Closeable objects (like FileInputStream) which it writes as separate entries inside</t>
        </is>
      </c>
      <c r="M2333" t="n">
        <v>0.0034</v>
      </c>
      <c r="N2333" t="n">
        <v>0.0556</v>
      </c>
      <c r="O2333" t="n">
        <v>0.1481</v>
      </c>
    </row>
    <row r="2334">
      <c r="A2334" t="inlineStr">
        <is>
          <t>springboot</t>
        </is>
      </c>
      <c r="B2334" t="inlineStr">
        <is>
          <t>buildpack/spring-boot-buildpack-platform/src/main/java/org/springframework/boot/buildpack/platform/io/DefaultOwner.java</t>
        </is>
      </c>
      <c r="C2334">
        <f>HYPERLINK("https://github.com/spring-projects/spring-boot/blob/master/buildpack/spring-boot-buildpack-platform/src/main/java/org/springframework/boot/buildpack/platform/io/DefaultOwner.java")</f>
        <v/>
      </c>
      <c r="D2334" t="inlineStr">
        <is>
          <t>```java
// This is a Java code snippet for the DefaultOwner class in Spring Boot build pack platform IO package. 
// The purpose of this class is to represent an owner with uid and gid properties.
// It implements the Owner interface which has methods getUid() and getGid().
// The constructor takes two long parameters (uid</t>
        </is>
      </c>
      <c r="E2334" t="n">
        <v>0.0043</v>
      </c>
      <c r="F2334" t="n">
        <v>0.1</v>
      </c>
      <c r="G2334" t="n">
        <v>0.1172</v>
      </c>
      <c r="H2334" t="inlineStr">
        <is>
          <t>The provided code is a Java class implementing an interface named "Owner". This class has two private final long variables 'uid' and 'gid'. The constructor of the class takes in these two values as arguments and assigns them to their respective instance variables. There are also getter methods for both 'uid' and 'gid', which return their corresponding value.
In summary,</t>
        </is>
      </c>
      <c r="I2334" t="n">
        <v>0.0036</v>
      </c>
      <c r="J2334" t="n">
        <v>0.0588</v>
      </c>
      <c r="K2334" t="n">
        <v>0.1136</v>
      </c>
      <c r="L2334" t="inlineStr">
        <is>
          <t>The provided code is a Java class named `DefaultOwner` that implements the interface `Owner` from Spring Boot's build pack platform IO package. This class has two private final long variables `uid` and `gid` which represent user ID (UID) and group ID (GID). The constructor of this class takes in these two values as parameters to initialize them.</t>
        </is>
      </c>
      <c r="M2334" t="n">
        <v>0.0042</v>
      </c>
      <c r="N2334" t="n">
        <v>0.0606</v>
      </c>
      <c r="O2334" t="n">
        <v>0.1163</v>
      </c>
    </row>
    <row r="2335">
      <c r="A2335" t="inlineStr">
        <is>
          <t>springboot</t>
        </is>
      </c>
      <c r="B2335" t="inlineStr">
        <is>
          <t>buildpack/spring-boot-buildpack-platform/src/main/java/org/springframework/boot/buildpack/platform/system/package-info.java</t>
        </is>
      </c>
      <c r="C2335">
        <f>HYPERLINK("https://github.com/spring-projects/spring-boot/blob/master/buildpack/spring-boot-buildpack-platform/src/main/java/org/springframework/boot/buildpack/platform/system/package-info.java")</f>
        <v/>
      </c>
      <c r="D2335" t="inlineStr">
        <is>
          <t>The provided code appears to be a Java class with package declaration and imports for Spring Boot build pack platform system abstractions. It also contains license information at the top of the file which is Apache 2.0 licensed. The code does not contain any functionality or method implementation as it's just an abstract base class marked with @NullMarked annotation from jspecify library.</t>
        </is>
      </c>
      <c r="E2335" t="n">
        <v>0.0035</v>
      </c>
      <c r="F2335" t="n">
        <v>0.0278</v>
      </c>
      <c r="G2335" t="n">
        <v>0.1119</v>
      </c>
      <c r="H2335" t="inlineStr">
        <is>
          <t>The function provided is a simple addition operation which takes two numbers as arguments and returns their sum. The functionality of the code can be summarized in one line: "Takes two numbers as input parameters and returns their sum." It has a time complexity of O(1), meaning it performs a constant number of operations regardless of the size of the inputs.
Please note that this summary does</t>
        </is>
      </c>
      <c r="I2335" t="n">
        <v>0.0032</v>
      </c>
      <c r="J2335" t="n">
        <v>0.0526</v>
      </c>
      <c r="K2335" t="n">
        <v>0.1079</v>
      </c>
      <c r="L2335" t="inlineStr">
        <is>
          <t>The provided code is a Spring Boot application that uses the Apache License 2.0 for distribution and licensing purposes. It's designed to provide system abstractions by using an annotation called @NullMarked from package org.springframework.boot.buildpack.platform.system. The main purpose of this software seems to be managing null values in order to prevent potential issues related to them.</t>
        </is>
      </c>
      <c r="M2335" t="n">
        <v>0.004</v>
      </c>
      <c r="N2335" t="n">
        <v>0.0571</v>
      </c>
      <c r="O2335" t="n">
        <v>0.2485</v>
      </c>
    </row>
    <row r="2336">
      <c r="A2336" t="inlineStr">
        <is>
          <t>springboot</t>
        </is>
      </c>
      <c r="B2336" t="inlineStr">
        <is>
          <t>buildpack/spring-boot-buildpack-platform/src/main/java/org/springframework/boot/buildpack/platform/system/Environment.java</t>
        </is>
      </c>
      <c r="C2336">
        <f>HYPERLINK("https://github.com/spring-projects/spring-boot/blob/master/buildpack/spring-boot-buildpack-platform/src/main/java/org/springframework/boot/buildpack/platform/system/Environment.java")</f>
        <v/>
      </c>
      <c r="D2336" t="inlineStr">
        <is>
          <t>The code you provided is a functional interface `Environment` that provides access to environment variable values in Java using the System class's getenv() method. The implementation of this interface relies on the underlying system and may have different implementations based on the specific operating system or platform it runs on. It also uses JSpecify annotations for nullability which means it can handle scenarios where variables might be</t>
        </is>
      </c>
      <c r="E2336" t="n">
        <v>0.0027</v>
      </c>
      <c r="F2336" t="n">
        <v>0.0526</v>
      </c>
      <c r="G2336" t="n">
        <v>0.1439</v>
      </c>
      <c r="H2336" t="inlineStr">
        <is>
          <t>The code you provided is a Java function for addition of two numbers `add` which takes in parameters `a` and `b` and returns their sum. The complexity of this operation is O(1), as it involves only one arithmetic operation regardless of the size of inputs. This means that the time taken to execute does not increase with input size.
Here's the summary</t>
        </is>
      </c>
      <c r="I2336" t="n">
        <v>0.0035</v>
      </c>
      <c r="J2336" t="n">
        <v>0.0556</v>
      </c>
      <c r="K2336" t="n">
        <v>0.1119</v>
      </c>
      <c r="L2336" t="inlineStr">
        <is>
          <t>The code provided is a functional interface named `Environment` that provides access to environment variable values in Java using the system's getenv method from the System class. The purpose of this interface seems to be providing an abstraction layer for accessing these variables and potentially allowing different implementations based on deployment environments (like local development vs production).
```java
@FunctionalInterface
public interface</t>
        </is>
      </c>
      <c r="M2336" t="n">
        <v>0.003</v>
      </c>
      <c r="N2336" t="n">
        <v>0.0571</v>
      </c>
      <c r="O2336" t="n">
        <v>0.1504</v>
      </c>
    </row>
    <row r="2337">
      <c r="A2337" t="inlineStr">
        <is>
          <t>springboot</t>
        </is>
      </c>
      <c r="B2337" t="inlineStr">
        <is>
          <t>buildpack/spring-boot-buildpack-platform/src/main/java/org/springframework/boot/buildpack/platform/build/BuildpackResolver.java</t>
        </is>
      </c>
      <c r="C2337">
        <f>HYPERLINK("https://github.com/spring-projects/spring-boot/blob/master/buildpack/spring-boot-buildpack-platform/src/main/java/org/springframework/boot/buildpack/platform/build/BuildpackResolver.java")</f>
        <v/>
      </c>
      <c r="D2337" t="inlineStr">
        <is>
          <t>The provided code is an interface named `BuildpackResolver` that defines a strategy for resolving a `BuildpackReference` to a `Buildpack`. The implementation of this interface will determine how the reference gets resolved into a buildpack. It also contains comments about the repository's content and complexity level (complexity O(N)).
Please note that without seeing the actual code</t>
        </is>
      </c>
      <c r="E2337" t="n">
        <v>0.0033</v>
      </c>
      <c r="F2337" t="n">
        <v>0.0615</v>
      </c>
      <c r="G2337" t="n">
        <v>0.1181</v>
      </c>
      <c r="H2337" t="inlineStr">
        <is>
          <t>The given code is a Java interface named `BuildpackResolver` that has one method declaration for resolving a `BuildpackReference` to a `Buildpack`. The implementation of this core algorithm resides in the class implementing this interface.
The function definition doesn't appear to be complete or correct as it lacks its body and parameters. It seems like there may have been</t>
        </is>
      </c>
      <c r="I2337" t="n">
        <v>0.0037</v>
      </c>
      <c r="J2337" t="n">
        <v>0.1194</v>
      </c>
      <c r="K2337" t="n">
        <v>0.1923</v>
      </c>
      <c r="L2337" t="inlineStr">
        <is>
          <t>The provided code is a Java interface named `BuildpackResolver` which appears to be part of Spring Boot's build pack resolver system. This interface has one method declaration for resolving a given `BuildpackReference` into an actual `Buildpack` object. The purpose of this class or interface seems to be to provide the ability to resolve different types of Buildpack objects based on their references</t>
        </is>
      </c>
      <c r="M2337" t="n">
        <v>0.0029</v>
      </c>
      <c r="N2337" t="n">
        <v>0.0282</v>
      </c>
      <c r="O2337" t="n">
        <v>0.0746</v>
      </c>
    </row>
    <row r="2338">
      <c r="A2338" t="inlineStr">
        <is>
          <t>springboot</t>
        </is>
      </c>
      <c r="B2338" t="inlineStr">
        <is>
          <t>buildpack/spring-boot-buildpack-platform/src/main/java/org/springframework/boot/buildpack/platform/build/BuildLog.java</t>
        </is>
      </c>
      <c r="C2338">
        <f>HYPERLINK("https://github.com/spring-projects/spring-boot/blob/master/buildpack/spring-boot-buildpack-platform/src/main/java/org/springframework/boot/buildpack/platform/build/BuildLog.java")</f>
        <v/>
      </c>
      <c r="D2338" t="inlineStr">
        <is>
          <t>The code provided appears to be a Java class implementing the core algorithms of an application with complexity O(N). It is licensed under Apache License 2.0 and contains comments explaining its implementation. The repository also mentions that it contains backend software components. However, without seeing the actual code or more context, this summary may not provide enough specifics about what exactly is being implemented in the given code sn</t>
        </is>
      </c>
      <c r="E2338" t="n">
        <v>0.0035</v>
      </c>
      <c r="F2338" t="n">
        <v>0.0759</v>
      </c>
      <c r="G2338" t="n">
        <v>0.1773</v>
      </c>
      <c r="H2338" t="inlineStr">
        <is>
          <t>The provided code is a Java package that contains the implementation of core algorithms and utilities for building Docker images on Spring Boot platform. It also includes logging functionalities to monitor build progress. The copyright notice at the top indicates compliance with Apache License 2.0.
The main function in this repository appears to be responsible for adding two numbers (`add()`). This function takes</t>
        </is>
      </c>
      <c r="I2338" t="n">
        <v>0.0038</v>
      </c>
      <c r="J2338" t="n">
        <v>0.0833</v>
      </c>
      <c r="K2338" t="n">
        <v>0.1852</v>
      </c>
      <c r="L2338" t="inlineStr">
        <is>
          <t>The provided code is a Java class that builds Docker images using Spring Boot's platform capabilities. It imports necessary packages and classes for working with Docker containers like ImagePlatform, LogUpdateEvent etc.
The main purpose of this class seems to be building an image from source code or existing docker container by applying various buildpacks on it based on the specified configuration. The inputs</t>
        </is>
      </c>
      <c r="M2338" t="n">
        <v>0.0029</v>
      </c>
      <c r="N2338" t="n">
        <v>0.0278</v>
      </c>
      <c r="O2338" t="n">
        <v>0.1111</v>
      </c>
    </row>
    <row r="2339">
      <c r="A2339" t="inlineStr">
        <is>
          <t>springboot</t>
        </is>
      </c>
      <c r="B2339" t="inlineStr">
        <is>
          <t>buildpack/spring-boot-buildpack-platform/src/main/java/org/springframework/boot/buildpack/platform/build/BuildpackReference.java</t>
        </is>
      </c>
      <c r="C2339">
        <f>HYPERLINK("https://github.com/spring-projects/spring-boot/blob/master/buildpack/spring-boot-buildpack-platform/src/main/java/org/springframework/boot/buildpack/platform/build/BuildpackReference.java")</f>
        <v/>
      </c>
      <c r="D2339" t="inlineStr">
        <is>
          <t>The provided code is a Java class that represents the configuration for building a Spring Boot application using build packs. It defines an interface `Buildpack` and implements it to create instances of Builders which are responsible for creating executable artifacts from source code repositories (buildpacks). The implementation adheres to Apache 2.0 License and can be used in compliance with this license. This repository contains</t>
        </is>
      </c>
      <c r="E2339" t="n">
        <v>0.0037</v>
      </c>
      <c r="F2339" t="n">
        <v>0.0548</v>
      </c>
      <c r="G2339" t="n">
        <v>0.1471</v>
      </c>
      <c r="H2339" t="inlineStr">
        <is>
          <t>The provided code is for a simple addition function in Java named `add` which takes two parameters and returns their sum. The complexity of this operation is O(1), meaning it performs the same number of operations regardless of input size. This function does not contain any loops or recursive calls that could increase its time complexity. It also doesn't use external libraries or dependencies so there are no network</t>
        </is>
      </c>
      <c r="I2339" t="n">
        <v>0.0031</v>
      </c>
      <c r="J2339" t="n">
        <v>0.0506</v>
      </c>
      <c r="K2339" t="n">
        <v>0.1064</v>
      </c>
      <c r="L2339" t="inlineStr">
        <is>
          <t>ThegivenJava8sourcecodefileappearsstocontainabackendcomponentthatusesSpringBoot'sBuildpackPlatformforbuildingapplications.Ithasacommentsectionindicatingcopyrightdetailsandsomeotherlegalrestrictions.Thereisalsoanimportstatementcontaininganopaquereferencetoa`Buildpack`classwhichdoesntseemtotbefoundelsewhere</t>
        </is>
      </c>
      <c r="M2339" t="n">
        <v>0</v>
      </c>
      <c r="N2339" t="n">
        <v>0</v>
      </c>
      <c r="O2339" t="n">
        <v>0</v>
      </c>
    </row>
    <row r="2340">
      <c r="A2340" t="inlineStr">
        <is>
          <t>springboot</t>
        </is>
      </c>
      <c r="B2340" t="inlineStr">
        <is>
          <t>buildpack/spring-boot-buildpack-platform/src/main/java/org/springframework/boot/buildpack/platform/build/BuildpackResolverContext.java</t>
        </is>
      </c>
      <c r="C2340">
        <f>HYPERLINK("https://github.com/spring-projects/spring-boot/blob/master/buildpack/spring-boot-buildpack-platform/src/main/java/org/springframework/boot/buildpack/platform/build/BuildpackResolverContext.java")</f>
        <v/>
      </c>
      <c r="D2340" t="inlineStr">
        <is>
          <t>The provided code is a Java class that appears to be part of the Spring Boot Build Pack project for building Docker images. It's licensed under Apache License 2.0 and contains comments explaining its functionality. The copyright notice at the top indicates it was written by authors listed in the file header. This class seems to handle image creation process with some complex algorithms implemented within methods like</t>
        </is>
      </c>
      <c r="E2340" t="n">
        <v>0.0032</v>
      </c>
      <c r="F2340" t="n">
        <v>0.0513</v>
      </c>
      <c r="G2340" t="n">
        <v>0.1429</v>
      </c>
      <c r="H2340" t="inlineStr">
        <is>
          <t>The provided code is a Java package that contains backend software components related to Docker image handling and manipulation. The main component of interest appears to be the Image class which seems to represent an abstract representation of a Docker image with methods for inspecting its properties or modifying it using various algorithms implemented in other classes within this package. 
In terms of functionality, I can summarize</t>
        </is>
      </c>
      <c r="I2340" t="n">
        <v>0.0032</v>
      </c>
      <c r="J2340" t="n">
        <v>0.08</v>
      </c>
      <c r="K2340" t="n">
        <v>0.1799</v>
      </c>
      <c r="L2340" t="inlineStr">
        <is>
          <t>The provided code is a Java class that appears to be part of the Spring Boot build pack project. The main purpose of this class seems to be related to building and managing Docker images using various operations such as pulling, tagging, pushing etc. It uses Apache License 2.0 for distribution which requires compliance with any applicable law or agreed conditions before usage.
The class imports</t>
        </is>
      </c>
      <c r="M2340" t="n">
        <v>0.0028</v>
      </c>
      <c r="N2340" t="n">
        <v>0.0533</v>
      </c>
      <c r="O2340" t="n">
        <v>0.1087</v>
      </c>
    </row>
    <row r="2341">
      <c r="A2341" t="inlineStr">
        <is>
          <t>springboot</t>
        </is>
      </c>
      <c r="B2341" t="inlineStr">
        <is>
          <t>buildpack/spring-boot-buildpack-platform/src/main/java/org/springframework/boot/buildpack/platform/build/Buildpack.java</t>
        </is>
      </c>
      <c r="C2341">
        <f>HYPERLINK("https://github.com/spring-projects/spring-boot/blob/master/buildpack/spring-boot-buildpack-platform/src/main/java/org/springframework/boot/buildpack/platform/build/Buildpack.java")</f>
        <v/>
      </c>
      <c r="D2341" t="inlineStr">
        <is>
          <t>The code provided is a Java interface named `BuildPack` that extends from the class `Object` in java standard library. This interface seems to be used as an abstraction for different types of build packs which are tools or libraries designed by developers to assist with building applications and deploying them on various platforms such as Docker containers. The purpose of this interface isn't clear without additional context but</t>
        </is>
      </c>
      <c r="E2341" t="n">
        <v>0.0032</v>
      </c>
      <c r="F2341" t="n">
        <v>0.0519</v>
      </c>
      <c r="G2341" t="n">
        <v>0.1071</v>
      </c>
      <c r="H2341" t="inlineStr">
        <is>
          <t>The provided code is a Java interface for a build pack that should be invoked by the builder during image building. The license at the top of the file specifies conditions under which this software can and cannot be used. It's designed to handle core algorithms related to platform operations such as Docker images.
It appears you are looking for concise summary about its functionality without repeating the whole</t>
        </is>
      </c>
      <c r="I2341" t="n">
        <v>0.0037</v>
      </c>
      <c r="J2341" t="n">
        <v>0.1026</v>
      </c>
      <c r="K2341" t="n">
        <v>0.2638</v>
      </c>
      <c r="L2341" t="inlineStr">
        <is>
          <t>The provided code is a Java interface named "Buildpack". This interface appears to be part of the Spring Boot platform and likely used for building Docker images during image creation processes. It's designed to be invoked by the builder during image building process. The purpose of this build pack resolver seems to be related with handling layers in Docker containers and performing I/O operations on them.</t>
        </is>
      </c>
      <c r="M2341" t="n">
        <v>0.0033</v>
      </c>
      <c r="N2341" t="n">
        <v>0.0526</v>
      </c>
      <c r="O2341" t="n">
        <v>0.1087</v>
      </c>
    </row>
    <row r="2342">
      <c r="A2342" t="inlineStr">
        <is>
          <t>springboot</t>
        </is>
      </c>
      <c r="B2342" t="inlineStr">
        <is>
          <t>buildpack/spring-boot-buildpack-platform/src/main/java/org/springframework/boot/buildpack/platform/build/ImageType.java</t>
        </is>
      </c>
      <c r="C2342">
        <f>HYPERLINK("https://github.com/spring-projects/spring-boot/blob/master/buildpack/spring-boot-buildpack-platform/src/main/java/org/springframework/boot/buildpack/platform/build/ImageType.java")</f>
        <v/>
      </c>
      <c r="D2342" t="inlineStr">
        <is>
          <t>The provided code is a Java enum named `ImageType` which represents the different types of images that can be built by Spring Boot Build Pack Platform's build system. The three possible values are for Builder image (which could represent something like a base environment), Runner image (representing an application running in this environment), and Buildpack image (indicating a specific version or flavor of the builder</t>
        </is>
      </c>
      <c r="E2342" t="n">
        <v>0.0028</v>
      </c>
      <c r="F2342" t="n">
        <v>0.0541</v>
      </c>
      <c r="G2342" t="n">
        <v>0.1095</v>
      </c>
      <c r="H2342" t="inlineStr">
        <is>
          <t>The provided code is a Java enum named `ImageType` that represents three different types of images in an application - "builder image", "runner image", and "build pack image". Each type has its own description which corresponds to the string value it holds. The complexity here is O(N), where N refers to the number of enumeration constants (i.e., 3). This code</t>
        </is>
      </c>
      <c r="I2342" t="n">
        <v>0.0036</v>
      </c>
      <c r="J2342" t="n">
        <v>0.029</v>
      </c>
      <c r="K2342" t="n">
        <v>0.07580000000000001</v>
      </c>
      <c r="L2342" t="inlineStr">
        <is>
          <t>The provided code is a Java enum named `ImageType` that represents the types of images used in Spring Boot build pack platform's building and running processes. It has three possible values corresponding to different image categories - "builder", "runner", or "buildpack". The purpose of this enum seems to be to provide clear identification for these various image types which could help with managing and processing them more</t>
        </is>
      </c>
      <c r="M2342" t="n">
        <v>0.0027</v>
      </c>
      <c r="N2342" t="n">
        <v>0.0533</v>
      </c>
      <c r="O2342" t="n">
        <v>0.1079</v>
      </c>
    </row>
    <row r="2343">
      <c r="A2343" t="inlineStr">
        <is>
          <t>springboot</t>
        </is>
      </c>
      <c r="B2343" t="inlineStr">
        <is>
          <t>buildpack/spring-boot-buildpack-platform/src/main/java/org/springframework/boot/buildpack/platform/build/PrintStreamBuildLog.java</t>
        </is>
      </c>
      <c r="C2343">
        <f>HYPERLINK("https://github.com/spring-projects/spring-boot/blob/master/buildpack/spring-boot-buildpack-platform/src/main/java/org/springframework/boot/buildpack/platform/build/PrintStreamBuildLog.java")</f>
        <v/>
      </c>
      <c r="D2343" t="inlineStr">
        <is>
          <t>The code provided is a Java implementation of the {@link BuildLog} interface that prints output to a given {@link PrintStream}. The build log implementation uses a total progress bar for tracking and displaying the progress of building Docker images. It's designed with complexity O(n), where n represents the number of events being processed in real time. This means it processes each event individually without storing any</t>
        </is>
      </c>
      <c r="E2343" t="n">
        <v>0.0033</v>
      </c>
      <c r="F2343" t="n">
        <v>0.0526</v>
      </c>
      <c r="G2343" t="n">
        <v>0.1449</v>
      </c>
      <c r="H2343" t="inlineStr">
        <is>
          <t>The provided code is a Java implementation of the function add(), which takes two numbers as input and returns their sum. The complexity of this operation is O(1), meaning it performs constant time operations regardless of the size of the inputs. This function does not use any loops or recursion to calculate the result, hence its efficiency is high.
This code also includes license information at the top</t>
        </is>
      </c>
      <c r="I2343" t="n">
        <v>0.0032</v>
      </c>
      <c r="J2343" t="n">
        <v>0.0779</v>
      </c>
      <c r="K2343" t="n">
        <v>0.1429</v>
      </c>
      <c r="L2343" t="inlineStr">
        <is>
          <t>ThegivenJavacodeisforaloggingprogressbarwhilebuildingspringbootsapplicationusingdocker.ItusesSpringBoot'sinternalclassesandinterfacesrelatedtothedockerizationprocess.
Theprimaryclassdefinedinthiscase,`BuildLogImpl`,extendsfromabstractclass`AbstractBuildLog`whichhasbeenimplemented.Itsconstructoracceptsthreearguments</t>
        </is>
      </c>
      <c r="M2343" t="n">
        <v>0</v>
      </c>
      <c r="N2343" t="n">
        <v>0</v>
      </c>
      <c r="O2343" t="n">
        <v>0</v>
      </c>
    </row>
    <row r="2344">
      <c r="A2344" t="inlineStr">
        <is>
          <t>springboot</t>
        </is>
      </c>
      <c r="B2344" t="inlineStr">
        <is>
          <t>buildpack/spring-boot-buildpack-platform/src/main/java/org/springframework/boot/buildpack/platform/build/package-info.java</t>
        </is>
      </c>
      <c r="C2344">
        <f>HYPERLINK("https://github.com/spring-projects/spring-boot/blob/master/buildpack/spring-boot-buildpack-platform/src/main/java/org/springframework/boot/buildpack/platform/build/package-info.java")</f>
        <v/>
      </c>
      <c r="D2344" t="inlineStr">
        <is>
          <t>The provided code is a Java class for performing a build pack build operation in the Spring Boot framework. The copyright information and license details are included at the top of this file which states that it's licensed under Apache License Version 2.0. This software may be used except as per compliance with the terms mentioned there.
The central API or functionality of this package seems to revolve</t>
        </is>
      </c>
      <c r="E2344" t="n">
        <v>0.0067</v>
      </c>
      <c r="F2344" t="n">
        <v>0.0769</v>
      </c>
      <c r="G2344" t="n">
        <v>0.1429</v>
      </c>
      <c r="H2344" t="inlineStr">
        <is>
          <t>The provided code is a Java function for adding two numbers (`add()`). It takes in two parameters `a` and `b` which are the numbers to be added together. The complexity of this operation is O(1), meaning it always performs the same number of operations regardless of input size.
&lt;jupyter_output&gt;
&lt;empty_output&gt;</t>
        </is>
      </c>
      <c r="I2344" t="n">
        <v>0.0037</v>
      </c>
      <c r="J2344" t="n">
        <v>0.06560000000000001</v>
      </c>
      <c r="K2344" t="n">
        <v>0.123</v>
      </c>
      <c r="L2344" t="inlineStr">
        <is>
          <t>The provided code is a Java class named "BuildService". It's part of the Spring Boot build pack platform and its main purpose appears to be performing operations related to building applications using various tools or technologies. The BuildService class has methods for creating, updating, deleting, and retrieving information about builds in an application repository. This functionality could involve interacting with databases, executing shell commands, handling file</t>
        </is>
      </c>
      <c r="M2344" t="n">
        <v>0.0036</v>
      </c>
      <c r="N2344" t="n">
        <v>0.0533</v>
      </c>
      <c r="O2344" t="n">
        <v>0.1087</v>
      </c>
    </row>
    <row r="2345">
      <c r="A2345" t="inlineStr">
        <is>
          <t>springboot</t>
        </is>
      </c>
      <c r="B2345" t="inlineStr">
        <is>
          <t>buildpack/spring-boot-buildpack-platform/src/main/java/org/springframework/boot/buildpack/platform/build/BuilderException.java</t>
        </is>
      </c>
      <c r="C2345">
        <f>HYPERLINK("https://github.com/spring-projects/spring-boot/blob/master/buildpack/spring-boot-buildpack-platform/src/main/java/org/springframework/boot/buildpack/platform/build/BuilderException.java")</f>
        <v/>
      </c>
      <c r="D2345" t="inlineStr">
        <is>
          <t>The provided code is a custom exception class in Java that extends the `RuntimeException` base class to represent build errors. This exception type has two fields (instance variables): 
- A string operation which represents an error message related to some specific action during building process. It's annotated with @Nullable indicating it can be null and StringUtils.hasText() method checks if this</t>
        </is>
      </c>
      <c r="E2345" t="n">
        <v>0.0036</v>
      </c>
      <c r="F2345" t="n">
        <v>0.058</v>
      </c>
      <c r="G2345" t="n">
        <v>0.07580000000000001</v>
      </c>
      <c r="H2345" t="inlineStr">
        <is>
          <t>The provided code is a Java class for handling exceptions in the Spring Boot build pack platform builder project. It extends from RuntimeException and includes two private fields to store information about an operation that failed (nullable string) and its line number (integer). The license at the top of this file states under which conditions you may use it. This repository contains backend software components implementing core algorithms. Now summarize</t>
        </is>
      </c>
      <c r="I2345" t="n">
        <v>0.0037</v>
      </c>
      <c r="J2345" t="n">
        <v>0.1026</v>
      </c>
      <c r="K2345" t="n">
        <v>0.3003</v>
      </c>
      <c r="L2345" t="inlineStr">
        <is>
          <t>The provided code is a custom exception class `BuilderException` in Java that extends the built-in `RuntimeException` class. This class represents an error during the execution of build operations.
Here's what it does: 
It has two private fields (`operation` and `summary`) to store information about the operation causing the exception and a summary message related to</t>
        </is>
      </c>
      <c r="M2345" t="n">
        <v>0.004</v>
      </c>
      <c r="N2345" t="n">
        <v>0.0615</v>
      </c>
      <c r="O2345" t="n">
        <v>0.07870000000000001</v>
      </c>
    </row>
    <row r="2346">
      <c r="A2346" t="inlineStr">
        <is>
          <t>springboot</t>
        </is>
      </c>
      <c r="B2346" t="inlineStr">
        <is>
          <t>buildpack/spring-boot-buildpack-platform/src/main/java/org/springframework/boot/buildpack/platform/build/Lifecycle.java</t>
        </is>
      </c>
      <c r="C2346">
        <f>HYPERLINK("https://github.com/spring-projects/spring-boot/blob/master/buildpack/spring-boot-buildpack-platform/src/main/java/org/springframework/boot/buildpack/platform/build/Lifecycle.java")</f>
        <v/>
      </c>
      <c r="D2346" t="inlineStr">
        <is>
          <t>The code provided is a Java class for building and managing the build process of Spring Boot applications using platform-specific libraries (JNA). It's licensed under Apache License 2.0 which means it can be used freely in any project as long as proper attribution is given. The license allows derivative works but requires that all modifications to the original must also remain open source.
It</t>
        </is>
      </c>
      <c r="E2346" t="n">
        <v>0.0028</v>
      </c>
      <c r="F2346" t="n">
        <v>0.0267</v>
      </c>
      <c r="G2346" t="n">
        <v>0.0735</v>
      </c>
      <c r="H2346" t="inlineStr">
        <is>
          <t>The provided code is a Java implementation of the addition operation between two numbers using Apache License 2.0 for copyright and license information. The function `add` takes in two integers as parameters and returns their sum. This functionality operates with constant time complexity O(1), meaning it performs a fixed number of operations regardless of input size.
Please provide more specific details about the problem you'</t>
        </is>
      </c>
      <c r="I2346" t="n">
        <v>0.0037</v>
      </c>
      <c r="J2346" t="n">
        <v>0.08</v>
      </c>
      <c r="K2346" t="n">
        <v>0.146</v>
      </c>
      <c r="L2346" t="inlineStr">
        <is>
          <t>The provided code is a Java class named `Build` that appears to be part of the Spring Boot project's build pack platform. The main purpose of this class seems to be managing and executing tasks related to building applications using various tools or libraries depending on the operating system (OS) it runs on.
Here are some key operations performed in this code:
1. It uses</t>
        </is>
      </c>
      <c r="M2346" t="n">
        <v>0.0028</v>
      </c>
      <c r="N2346" t="n">
        <v>0.0541</v>
      </c>
      <c r="O2346" t="n">
        <v>0.1095</v>
      </c>
    </row>
    <row r="2347">
      <c r="A2347" t="inlineStr">
        <is>
          <t>springboot</t>
        </is>
      </c>
      <c r="B2347" t="inlineStr">
        <is>
          <t>buildpack/spring-boot-buildpack-platform/src/main/java/org/springframework/boot/buildpack/platform/build/ImageBuildpack.java</t>
        </is>
      </c>
      <c r="C2347">
        <f>HYPERLINK("https://github.com/spring-projects/spring-boot/blob/master/buildpack/spring-boot-buildpack-platform/src/main/java/org/springframework/boot/buildpack/platform/build/ImageBuildpack.java")</f>
        <v/>
      </c>
      <c r="D2347" t="inlineStr">
        <is>
          <t>The provided code appears to be a Java class that is part of the Spring Boot build pack platform's build module. It seems to handle operations related to creating and manipulating tar files using Apache Commons Compress library for archiving purposes. The file contains a license header at the top which states it can be used under the terms specified in the Apache License 2.0.
There</t>
        </is>
      </c>
      <c r="E2347" t="n">
        <v>0.0028</v>
      </c>
      <c r="F2347" t="n">
        <v>0.0526</v>
      </c>
      <c r="G2347" t="n">
        <v>0.0725</v>
      </c>
      <c r="H2347" t="inlineStr">
        <is>
          <t>The provided code is a Java package that contains backend software components for building and processing tar files. The main class `Build` has methods to build the tar file from input directory path (`create()`), read the contents of an existing tar file (`read()`), add new entries or update existing ones in the archive (`updateOrCreateEntriesInExistingFile()`),</t>
        </is>
      </c>
      <c r="I2347" t="n">
        <v>0.004</v>
      </c>
      <c r="J2347" t="n">
        <v>0.0645</v>
      </c>
      <c r="K2347" t="n">
        <v>0.0794</v>
      </c>
      <c r="L2347" t="inlineStr">
        <is>
          <t>The provided code is a Java class that handles the creation of tarball archives using Apache Commons Compress library's TarArchiveEntry class.
It has two main methods to add files and directories into an archive (addFile) and addStream). The input for these methods are either file paths or directory paths which it then adds to the output stream as part of the tarball</t>
        </is>
      </c>
      <c r="M2347" t="n">
        <v>0.0029</v>
      </c>
      <c r="N2347" t="n">
        <v>0.0282</v>
      </c>
      <c r="O2347" t="n">
        <v>0.0746</v>
      </c>
    </row>
    <row r="2348">
      <c r="A2348" t="inlineStr">
        <is>
          <t>springboot</t>
        </is>
      </c>
      <c r="B2348" t="inlineStr">
        <is>
          <t>buildpack/spring-boot-buildpack-platform/src/main/java/org/springframework/boot/buildpack/platform/build/LifecycleVersion.java</t>
        </is>
      </c>
      <c r="C2348">
        <f>HYPERLINK("https://github.com/spring-projects/spring-boot/blob/master/buildpack/spring-boot-buildpack-platform/src/main/java/org/springframework/boot/buildpack/platform/build/LifecycleVersion.java")</f>
        <v/>
      </c>
      <c r="D2348" t="inlineStr">
        <is>
          <t>The code provided is a Java class named LifecycleVersion that implements the Comparable interface for objects of type LifecycleVersion. This class represents a version number composed of major, minor and patch values. The license information at the top indicates it's licensed under Apache 2.0 License.
Please note this summary does not include any actual implementation details as per</t>
        </is>
      </c>
      <c r="E2348" t="n">
        <v>0.0041</v>
      </c>
      <c r="F2348" t="n">
        <v>0.0588</v>
      </c>
      <c r="G2348" t="n">
        <v>0.1154</v>
      </c>
      <c r="H2348" t="inlineStr">
        <is>
          <t>The provided code is a Java class named `LifecycleVersion` that implements the Comparable interface for objects of this type. The class represents a version number composed of major, minor and patch values. It also includes methods to compare two LifecycleVersions based on their versions. 
It's licensed under Apache License Version 2.0 which means you</t>
        </is>
      </c>
      <c r="I2348" t="n">
        <v>0.004</v>
      </c>
      <c r="J2348" t="n">
        <v>0.0625</v>
      </c>
      <c r="K2348" t="n">
        <v>0.119</v>
      </c>
      <c r="L2348" t="inlineStr">
        <is>
          <t>The provided code is a Java class named `LifecycleVersion` that represents a version number for software components or libraries in the form of major, minor and patch values. It implements the Comparable interface so it can be compared to other instances of this class based on their versions. The class has three private final fields representing the major, minor and patch numbers respectively.</t>
        </is>
      </c>
      <c r="M2348" t="n">
        <v>0.0038</v>
      </c>
      <c r="N2348" t="n">
        <v>0.08450000000000001</v>
      </c>
      <c r="O2348" t="n">
        <v>0.1481</v>
      </c>
    </row>
    <row r="2349">
      <c r="A2349" t="inlineStr">
        <is>
          <t>springboot</t>
        </is>
      </c>
      <c r="B2349" t="inlineStr">
        <is>
          <t>buildpack/spring-boot-buildpack-platform/src/main/java/org/springframework/boot/buildpack/platform/build/BuildpackResolvers.java</t>
        </is>
      </c>
      <c r="C2349">
        <f>HYPERLINK("https://github.com/spring-projects/spring-boot/blob/master/buildpack/spring-boot-buildpack-platform/src/main/java/org/springframework/boot/buildpack/platform/build/BuildpackResolvers.java")</f>
        <v/>
      </c>
      <c r="D2349" t="inlineStr">
        <is>
          <t>The code is a Java implementation of the Buildpack Resolver which resolves buildpacks based on provided criteria and conditions. It uses Apache License 2.0 for distribution under certain conditions. The license requires compliance with any applicable law or agreed to in writing before distributing software distributed "AS IS". There are no warranties or conditions attached to this licensed software. See the specific language governing permissions</t>
        </is>
      </c>
      <c r="E2349" t="n">
        <v>0.0033</v>
      </c>
      <c r="F2349" t="n">
        <v>0.0541</v>
      </c>
      <c r="G2349" t="n">
        <v>0.1825</v>
      </c>
      <c r="H2349" t="inlineStr">
        <is>
          <t>The function provided is a simple addition operation between two numbers 'a' and 'b'. It returns the sum of these two numbers. The complexity of this function is O(1), meaning it performs a constant number of operations regardless of the size of input data. This function does not use any external libraries or dependencies outside of what comes with Java itself.
Here are some additional details about</t>
        </is>
      </c>
      <c r="I2349" t="n">
        <v>0.0032</v>
      </c>
      <c r="J2349" t="n">
        <v>0.0526</v>
      </c>
      <c r="K2349" t="n">
        <v>0.1439</v>
      </c>
      <c r="L2349" t="inlineStr">
        <is>
          <t>The provided code is a Java class named `BuildpackResolver` which appears to be part of the Spring Boot framework for building applications. It's responsible for resolving buildpack references and returning summaries about them.
Here are some key points from this class:
1. The main purpose of this class seems to be to resolve buildpack references based on certain criteria (pres</t>
        </is>
      </c>
      <c r="M2349" t="n">
        <v>0.003</v>
      </c>
      <c r="N2349" t="n">
        <v>0.029</v>
      </c>
      <c r="O2349" t="n">
        <v>0.1136</v>
      </c>
    </row>
    <row r="2350">
      <c r="A2350" t="inlineStr">
        <is>
          <t>springboot</t>
        </is>
      </c>
      <c r="B2350" t="inlineStr">
        <is>
          <t>buildpack/spring-boot-buildpack-platform/src/main/java/org/springframework/boot/buildpack/platform/build/EphemeralBuilder.java</t>
        </is>
      </c>
      <c r="C2350">
        <f>HYPERLINK("https://github.com/spring-projects/spring-boot/blob/master/buildpack/spring-boot-buildpack-platform/src/main/java/org/springframework/boot/buildpack/platform/build/EphemeralBuilder.java")</f>
        <v/>
      </c>
      <c r="D2350" t="inlineStr">
        <is>
          <t>```
The code provided is a Java class that builds Docker images using Spring Boot Build Pack platform. It's licensed under Apache License 2.0 and contains comments explaining the functionality of different parts of the code. The main function seems to be responsible for building an image from a given source directory (`srcDir`), with optional build arguments specified in `args` map</t>
        </is>
      </c>
      <c r="E2350" t="n">
        <v>0.0036</v>
      </c>
      <c r="F2350" t="n">
        <v>0.0286</v>
      </c>
      <c r="G2350" t="n">
        <v>0.0752</v>
      </c>
      <c r="H2350" t="inlineStr">
        <is>
          <t>The provided code is a Java implementation of the Docker image building process from Spring Boot build pack platform. It contains several classes and methods related to handling different types of images (like Image class), creating archives for these images (like ImageArchive class), specifying permissions and limitations under various licenses etc. The main functionality it provides is in terms of manipulating docker images based on specific requirements</t>
        </is>
      </c>
      <c r="I2350" t="n">
        <v>0.0032</v>
      </c>
      <c r="J2350" t="n">
        <v>0.0533</v>
      </c>
      <c r="K2350" t="n">
        <v>0.1079</v>
      </c>
      <c r="L2350" t="inlineStr">
        <is>
          <t>The provided code is a Java class named "BuildService". This class appears to be part of the Spring Boot project and it's responsible for building Docker images using various build strategies.
It has methods such as `create` (which creates an image from source files) and `inspect` (which retrieves metadata about existing images). The purpose of these functions could vary depending</t>
        </is>
      </c>
      <c r="M2350" t="n">
        <v>0.0036</v>
      </c>
      <c r="N2350" t="n">
        <v>0.058</v>
      </c>
      <c r="O2350" t="n">
        <v>0.1136</v>
      </c>
    </row>
    <row r="2351">
      <c r="A2351" t="inlineStr">
        <is>
          <t>springboot</t>
        </is>
      </c>
      <c r="B2351" t="inlineStr">
        <is>
          <t>buildpack/spring-boot-buildpack-platform/src/main/java/org/springframework/boot/buildpack/platform/build/Cache.java</t>
        </is>
      </c>
      <c r="C2351">
        <f>HYPERLINK("https://github.com/spring-projects/spring-boot/blob/master/buildpack/spring-boot-buildpack-platform/src/main/java/org/springframework/boot/buildpack/platform/build/Cache.java")</f>
        <v/>
      </c>
      <c r="D2351" t="inlineStr">
        <is>
          <t>The code provided is a Java class that represents the configuration for a Docker volume in Spring Boot build pack platform. It includes details about cache usage by the CNB builder and implements core algorithms to handle complex tasks. The complexity of this code seems to be O(n), but without more context it's hard to say exactly what each line does.
From reading through this code</t>
        </is>
      </c>
      <c r="E2351" t="n">
        <v>0.0065</v>
      </c>
      <c r="F2351" t="n">
        <v>0.0526</v>
      </c>
      <c r="G2351" t="n">
        <v>0.2287</v>
      </c>
      <c r="H2351" t="inlineStr">
        <is>
          <t>The function provided is a simple addition operation between two numbers 'a' and 'b'. It returns the sum of these two numbers. The time complexity of this function is O(1), meaning it performs constant amount of work regardless of input size.
```python
def add(a, b):
    return a + b
``` 
It takes in two parameters (</t>
        </is>
      </c>
      <c r="I2351" t="n">
        <v>0.0033</v>
      </c>
      <c r="J2351" t="n">
        <v>0.0635</v>
      </c>
      <c r="K2351" t="n">
        <v>0.1563</v>
      </c>
      <c r="L2351" t="inlineStr">
        <is>
          <t>The provided code is a Java class named `BuildConfiguration` that appears to be part of the Spring Boot project's build pack platform module. This class seems to manage configuration for building Docker images using cloud native Buildpacks. The purpose of this class might include managing and configuring various aspects related to volume mounting in Docker containers, such as caching mechanisms or specific volumes associated with certain</t>
        </is>
      </c>
      <c r="M2351" t="n">
        <v>0.0033</v>
      </c>
      <c r="N2351" t="n">
        <v>0.0533</v>
      </c>
      <c r="O2351" t="n">
        <v>0.1087</v>
      </c>
    </row>
    <row r="2352">
      <c r="A2352" t="inlineStr">
        <is>
          <t>springboot</t>
        </is>
      </c>
      <c r="B2352" t="inlineStr">
        <is>
          <t>buildpack/spring-boot-buildpack-platform/src/main/java/org/springframework/boot/buildpack/platform/build/Phase.java</t>
        </is>
      </c>
      <c r="C2352">
        <f>HYPERLINK("https://github.com/spring-projects/spring-boot/blob/master/buildpack/spring-boot-buildpack-platform/src/main/java/org/springframework/boot/buildpack/platform/build/Phase.java")</f>
        <v/>
      </c>
      <c r="D2352" t="inlineStr">
        <is>
          <t>```java
// This repository contains backend software components written in Java and Spring Boot platform. 
// The code is licensed under Apache License Version 2.0. It provides a set of core algorithms implemented for various tasks such as building Docker images with specific configurations.
// The complexity of the implementation seems to be O(N), where N represents some kind of data size</t>
        </is>
      </c>
      <c r="E2352" t="n">
        <v>0.0042</v>
      </c>
      <c r="F2352" t="n">
        <v>0.08699999999999999</v>
      </c>
      <c r="G2352" t="n">
        <v>0.1866</v>
      </c>
      <c r="H2352" t="inlineStr">
        <is>
          <t>The code provided is a Java function that performs addition of two numbers using the '+' operator. The functionality of this code can be summarized as follows:
It takes in two parameters (numbers), adds them together and returns the result. This operation has a time complexity of O(1). 
Here it is again for your reference: ```Java
public int</t>
        </is>
      </c>
      <c r="I2352" t="n">
        <v>0.0041</v>
      </c>
      <c r="J2352" t="n">
        <v>0.0606</v>
      </c>
      <c r="K2352" t="n">
        <v>0.1154</v>
      </c>
      <c r="L2352" t="inlineStr">
        <is>
          <t>The provided code is a part of the Spring Boot Build Pack Platform that deals with Docker container binding and configuration. The main purpose of this module seems to be managing bindings between containers in a platform environment.
It takes as input an array of Binding objects (which seem to represent configurations for mapping ports or volumes from one container to another) and returns a Map object where each key</t>
        </is>
      </c>
      <c r="M2352" t="n">
        <v>0.0031</v>
      </c>
      <c r="N2352" t="n">
        <v>0.0769</v>
      </c>
      <c r="O2352" t="n">
        <v>0.1408</v>
      </c>
    </row>
    <row r="2353">
      <c r="A2353" t="inlineStr">
        <is>
          <t>springboot</t>
        </is>
      </c>
      <c r="B2353" t="inlineStr">
        <is>
          <t>buildpack/spring-boot-buildpack-platform/src/main/java/org/springframework/boot/buildpack/platform/build/BuildRequest.java</t>
        </is>
      </c>
      <c r="C2353">
        <f>HYPERLINK("https://github.com/spring-projects/spring-boot/blob/master/buildpack/spring-boot-buildpack-platform/src/main/java/org/springframework/boot/buildpack/platform/build/BuildRequest.java")</f>
        <v/>
      </c>
      <c r="D2353" t="inlineStr">
        <is>
          <t>```plaintext
The provided code is a Java class that defines the structure of an object representing a build artifact in Spring Boot's platform. It includes fields for various properties such as version, timestamp, and dependencies. The file also contains Apache License information at the top indicating its open source nature under Apache 2.0 license. This software component handles core algorithms related to building software</t>
        </is>
      </c>
      <c r="E2353" t="n">
        <v>0.0072</v>
      </c>
      <c r="F2353" t="n">
        <v>0.08110000000000001</v>
      </c>
      <c r="G2353" t="n">
        <v>0.1471</v>
      </c>
      <c r="H2353" t="inlineStr">
        <is>
          <t>The provided code is a Java function that adds two numbers together and returns the result. The functionality of this code can be summarized as follows: This function takes in two parameters (numbers), performs an addition operation on them, and then returns the result. It has a time complexity of O(1), meaning it executes in constant time regardless of the size of input data.</t>
        </is>
      </c>
      <c r="I2353" t="n">
        <v>0.0037</v>
      </c>
      <c r="J2353" t="n">
        <v>0.0822</v>
      </c>
      <c r="K2353" t="n">
        <v>0.1103</v>
      </c>
      <c r="L2353" t="inlineStr">
        <is>
          <t>ThegivenJavaSpringBootsourcecodefileusesvariousclassesfromspringsframeworkforbuildingabuildpack.IthasamainclassnamedBuildPackBuilderwhichacceptsfilesystempathsasargumentsandreturnsaBuildResultobjectcontainingdetailsaboutthebuiltartifactincludingtimetooktotakeplace.Thereareadditionalutilitymethodsinthetemplatesfolderthatcanbepars</t>
        </is>
      </c>
      <c r="M2353" t="n">
        <v>0</v>
      </c>
      <c r="N2353" t="n">
        <v>0</v>
      </c>
      <c r="O2353" t="n">
        <v>0</v>
      </c>
    </row>
    <row r="2354">
      <c r="A2354" t="inlineStr">
        <is>
          <t>springboot</t>
        </is>
      </c>
      <c r="B2354" t="inlineStr">
        <is>
          <t>buildpack/spring-boot-buildpack-platform/src/main/java/org/springframework/boot/buildpack/platform/build/BuilderBuildpack.java</t>
        </is>
      </c>
      <c r="C2354">
        <f>HYPERLINK("https://github.com/spring-projects/spring-boot/blob/master/buildpack/spring-boot-buildpack-platform/src/main/java/org/springframework/boot/buildpack/platform/build/BuilderBuildpack.java")</f>
        <v/>
      </c>
      <c r="D2354" t="inlineStr">
        <is>
          <t>The code provided appears to be a Java class that defines the structure of a Buildpack object and its methods for handling Docker layers related to buildpacks. The main purpose seems to be managing the README file in the repository containing backend software components. This is likely part of a larger project where this readme file might contain documentation about how to use or deploy these components. It's also</t>
        </is>
      </c>
      <c r="E2354" t="n">
        <v>0.0035</v>
      </c>
      <c r="F2354" t="n">
        <v>0.0256</v>
      </c>
      <c r="G2354" t="n">
        <v>0.1418</v>
      </c>
      <c r="H2354" t="inlineStr">
        <is>
          <t>The provided code is a Java class that implements a build pack for Spring Boot platform to handle backend software components. The complexity of this implementation seems to be O(N), where N represents the number of algorithms implemented in the project. This includes operations such as Docker layer creation and IO consumption. It also has Apache License 2.0 which states it can be used without any restrictions except compliance with</t>
        </is>
      </c>
      <c r="I2354" t="n">
        <v>0.0037</v>
      </c>
      <c r="J2354" t="n">
        <v>0.075</v>
      </c>
      <c r="K2354" t="n">
        <v>0.1761</v>
      </c>
      <c r="L2354" t="inlineStr">
        <is>
          <t>The provided code is a Java class named `Buildpack` that appears to be part of the Spring Boot project's build pack platform module. This class seems to encapsulate functionality related to building and managing software components using Docker containers. 
It imports several classes from different packages such as `java.io`, `org.jspecify.annotations`,</t>
        </is>
      </c>
      <c r="M2354" t="n">
        <v>0.0052</v>
      </c>
      <c r="N2354" t="n">
        <v>0.0968</v>
      </c>
      <c r="O2354" t="n">
        <v>0.1639</v>
      </c>
    </row>
    <row r="2355">
      <c r="A2355" t="inlineStr">
        <is>
          <t>springboot</t>
        </is>
      </c>
      <c r="B2355" t="inlineStr">
        <is>
          <t>buildpack/spring-boot-buildpack-platform/src/main/java/org/springframework/boot/buildpack/platform/build/BuildOwner.java</t>
        </is>
      </c>
      <c r="C2355">
        <f>HYPERLINK("https://github.com/spring-projects/spring-boot/blob/master/buildpack/spring-boot-buildpack-platform/src/main/java/org/springframework/boot/buildpack/platform/build/BuildOwner.java")</f>
        <v/>
      </c>
      <c r="D2355" t="inlineStr">
        <is>
          <t>```plaintext
// Copyright 2012-present the original author or authors.
// Licensed under the Apache License, Version 2.0 (the "License");
// you may not use this file except in compliance with the License.
// You can obtain a copy of the License at https://www.apache.org/licenses/LICENSE</t>
        </is>
      </c>
      <c r="E2355" t="n">
        <v>0</v>
      </c>
      <c r="F2355" t="n">
        <v>0.037</v>
      </c>
      <c r="G2355" t="n">
        <v>0.08699999999999999</v>
      </c>
      <c r="H2355" t="inlineStr">
        <is>
          <t>The code you provided is a simple function for addition of two numbers in Python named `add` which takes two parameters and returns their sum. It has a time complexity of O(1), meaning it performs a constant number of operations regardless of the size of input data.
Here's the summary: 
```python
# Copyright (C) 2019 - present</t>
        </is>
      </c>
      <c r="I2355" t="n">
        <v>0.0032</v>
      </c>
      <c r="J2355" t="n">
        <v>0.0615</v>
      </c>
      <c r="K2355" t="n">
        <v>0.0775</v>
      </c>
      <c r="L2355" t="inlineStr">
        <is>
          <t>ThisJavaSpringBootapplicationcomponentusesaPlatformBuildclassfromspringspring-boot-buildpack-platformlibrarytowebbildoperationsthatrequireownerdetails.ItacceptsanOwnerobjectcontainingnameandsomeotherpropertiesaboutthem.Thebuildprocesscanfailiftherearenovalidownernameortheowneralreadyexistsinthedatabase.
```</t>
        </is>
      </c>
      <c r="M2355" t="n">
        <v>0</v>
      </c>
      <c r="N2355" t="n">
        <v>0</v>
      </c>
      <c r="O2355" t="n">
        <v>0</v>
      </c>
    </row>
    <row r="2356">
      <c r="A2356" t="inlineStr">
        <is>
          <t>springboot</t>
        </is>
      </c>
      <c r="B2356" t="inlineStr">
        <is>
          <t>buildpack/spring-boot-buildpack-platform/src/main/java/org/springframework/boot/buildpack/platform/build/BuilderDockerConfiguration.java</t>
        </is>
      </c>
      <c r="C2356">
        <f>HYPERLINK("https://github.com/spring-projects/spring-boot/blob/master/buildpack/spring-boot-buildpack-platform/src/main/java/org/springframework/boot/buildpack/platform/build/BuilderDockerConfiguration.java")</f>
        <v/>
      </c>
      <c r="D2356" t="inlineStr">
        <is>
          <t>The provided code is a Java class that configures Docker build options using annotations and interfaces from the org.springframework.boot.buildpack.platform package. The configuration includes connection details to a Docker registry (DockerConnectionConfiguration), as well as authentication details for accessing this registry (DockerRegistryAuthentication). This information could be used by Spring Boot's platform build pack to create or</t>
        </is>
      </c>
      <c r="E2356" t="n">
        <v>0.004</v>
      </c>
      <c r="F2356" t="n">
        <v>0.0299</v>
      </c>
      <c r="G2356" t="n">
        <v>0.119</v>
      </c>
      <c r="H2356" t="inlineStr">
        <is>
          <t>The provided code is a Java class that configures Docker build and deployment options using the Spring Boot platform. The main functionality of this code involves setting up various configuration options for Docker like connection settings and registry authentication details. This setup allows developers to deploy their applications onto a Docker environment easily without having to manually configure each detail every time they want to run or deploy an application on different environments.</t>
        </is>
      </c>
      <c r="I2356" t="n">
        <v>0.0033</v>
      </c>
      <c r="J2356" t="n">
        <v>0.0494</v>
      </c>
      <c r="K2356" t="n">
        <v>0.1034</v>
      </c>
      <c r="L2356" t="inlineStr">
        <is>
          <t>The provided code is part of a Spring Boot application that deals with the configuration options for Docker and its connection to different registries. The main purpose of this class seems to be managing connections to remote or local Docker Registry servers using {@link Builder} patterns. It provides methods for setting various properties such as authentication details (username &amp; password) and server URLs which are used in establishing these</t>
        </is>
      </c>
      <c r="M2356" t="n">
        <v>0.0026</v>
      </c>
      <c r="N2356" t="n">
        <v>0.0526</v>
      </c>
      <c r="O2356" t="n">
        <v>0.1064</v>
      </c>
    </row>
    <row r="2357">
      <c r="A2357" t="inlineStr">
        <is>
          <t>springboot</t>
        </is>
      </c>
      <c r="B2357" t="inlineStr">
        <is>
          <t>buildpack/spring-boot-buildpack-platform/src/main/java/org/springframework/boot/buildpack/platform/build/DirectoryBuildpack.java</t>
        </is>
      </c>
      <c r="C2357">
        <f>HYPERLINK("https://github.com/spring-projects/spring-boot/blob/master/buildpack/spring-boot-buildpack-platform/src/main/java/org/springframework/boot/buildpack/platform/build/DirectoryBuildpack.java")</f>
        <v/>
      </c>
      <c r="D2357" t="inlineStr">
        <is>
          <t>The code provided is a Java class for managing the deletion of files in a directory and its subdirectories. The complexity of this function is O(N), where N represents the number of files in the specified directory. It uses Apache License 2.0 to ensure that it can be used freely under certain conditions as stated by the license text at https://www.apache.org/lic</t>
        </is>
      </c>
      <c r="E2357" t="n">
        <v>0.003</v>
      </c>
      <c r="F2357" t="n">
        <v>0.0533</v>
      </c>
      <c r="G2357" t="n">
        <v>0.1128</v>
      </c>
      <c r="H2357" t="inlineStr">
        <is>
          <t>The provided code is a Java implementation of the addition function `add` which takes two numbers as input and returns their sum. The complexity of this operation is O(1), meaning it performs a constant number of operations regardless of the size of the inputs (a, b).
In terms of license information at the top of the file, it's Apache License Version 2.0</t>
        </is>
      </c>
      <c r="I2357" t="n">
        <v>0.0029</v>
      </c>
      <c r="J2357" t="n">
        <v>0.0822</v>
      </c>
      <c r="K2357" t="n">
        <v>0.1493</v>
      </c>
      <c r="L2357" t="inlineStr">
        <is>
          <t>The provided code is a Java implementation of an algorithm for building and packing Spring Boot applications using platform builders. The main purpose of this code is to traverse directories recursively and process files based on their attributes while maintaining the Apache License 2.0.
It takes in input as paths (either absolute or relative) which are used to navigate through different directories looking for .class files</t>
        </is>
      </c>
      <c r="M2357" t="n">
        <v>0.0028</v>
      </c>
      <c r="N2357" t="n">
        <v>0.0533</v>
      </c>
      <c r="O2357" t="n">
        <v>0.1449</v>
      </c>
    </row>
    <row r="2358">
      <c r="A2358" t="inlineStr">
        <is>
          <t>springboot</t>
        </is>
      </c>
      <c r="B2358" t="inlineStr">
        <is>
          <t>buildpack/spring-boot-buildpack-platform/src/main/java/org/springframework/boot/buildpack/platform/build/BuilderMetadata.java</t>
        </is>
      </c>
      <c r="C2358">
        <f>HYPERLINK("https://github.com/spring-projects/spring-boot/blob/master/buildpack/spring-boot-buildpack-platform/src/main/java/org/springframework/boot/buildpack/platform/build/BuilderMetadata.java")</f>
        <v/>
      </c>
      <c r="D2358" t="inlineStr">
        <is>
          <t>```plaintext
The code you've provided is a Java class that appears to be part of the Spring Boot build pack platform for building applications. It contains an implementation of core algorithms and utilizes Jackson library for JSON parsing. The copyright information at the top indicates it may have been written by original authors or contributors under Apache License 2.0. This license requires compliance</t>
        </is>
      </c>
      <c r="E2358" t="n">
        <v>0.0038</v>
      </c>
      <c r="F2358" t="n">
        <v>0.0822</v>
      </c>
      <c r="G2358" t="n">
        <v>0.1852</v>
      </c>
      <c r="H2358" t="inlineStr">
        <is>
          <t>The provided code is a simple function for addition of two numbers in Java. The functionality of the add method takes two parameters (numbers), adds them together and returns the result. This operation has a time complexity of O(1).
Here's an example of how it might look like: 
```Java
public class Main {
    public static int add(int num</t>
        </is>
      </c>
      <c r="I2358" t="n">
        <v>0.0041</v>
      </c>
      <c r="J2358" t="n">
        <v>0.0588</v>
      </c>
      <c r="K2358" t="n">
        <v>0.1154</v>
      </c>
      <c r="L2358" t="inlineStr">
        <is>
          <t>ThegivenJavaSpringBootsourcecodeusesclassesfrompackageslikejavautilfunctionalinterfaceconsumerandjavainvokemethodhandlersforaccessingprivatemethods.ItalsousesclassestoolsjacksoncorejacksonexceptionandtoolsjacksondatabindjsonnodeformaterializingJSONdataobjects.
The main purpose of this code is to build a custom Jackson JSON</t>
        </is>
      </c>
      <c r="M2358" t="n">
        <v>0</v>
      </c>
      <c r="N2358" t="n">
        <v>0.08699999999999999</v>
      </c>
      <c r="O2358" t="n">
        <v>0.0581</v>
      </c>
    </row>
    <row r="2359">
      <c r="A2359" t="inlineStr">
        <is>
          <t>springboot</t>
        </is>
      </c>
      <c r="B2359" t="inlineStr">
        <is>
          <t>buildpack/spring-boot-buildpack-platform/src/main/java/org/springframework/boot/buildpack/platform/build/BuildpackLayersMetadata.java</t>
        </is>
      </c>
      <c r="C2359">
        <f>HYPERLINK("https://github.com/spring-projects/spring-boot/blob/master/buildpack/spring-boot-buildpack-platform/src/main/java/org/springframework/boot/buildpack/platform/build/BuildpackLayersMetadata.java")</f>
        <v/>
      </c>
      <c r="D2359" t="inlineStr">
        <is>
          <t>The code provided is a Java class that appears to be part of the Spring Boot build pack platform's Docker image building functionality. It defines an ImageBuilder class which builds and manages Docker images using Jackson databind library for JSON manipulation. The license at the top indicates it is licensed under Apache License 2.0.
Please note that this summary does not include</t>
        </is>
      </c>
      <c r="E2359" t="n">
        <v>0.0029</v>
      </c>
      <c r="F2359" t="n">
        <v>0.0556</v>
      </c>
      <c r="G2359" t="n">
        <v>0.1119</v>
      </c>
      <c r="H2359" t="inlineStr">
        <is>
          <t>The provided code is a Java implementation of the add function which takes two numbers as input and returns their sum. The complexity of this operation is O(1), meaning it performs constant time operations regardless of the size of the inputs. This means that no matter how large these numbers are (beyond what can be held in memory), adding them together will still take the same amount of time.</t>
        </is>
      </c>
      <c r="I2359" t="n">
        <v>0.0031</v>
      </c>
      <c r="J2359" t="n">
        <v>0.0769</v>
      </c>
      <c r="K2359" t="n">
        <v>0.1418</v>
      </c>
      <c r="L2359" t="inlineStr">
        <is>
          <t>The provided code is a part of the Spring Boot build pack platform's Docker image building module. It imports necessary classes and packages for handling JSON data and manipulating images in Java. The main purpose of this class seems to be creating or modifying Docker images based on inputted JSON configuration files.
However, without seeing the actual code it's hard to provide more</t>
        </is>
      </c>
      <c r="M2359" t="n">
        <v>0.0029</v>
      </c>
      <c r="N2359" t="n">
        <v>0.0548</v>
      </c>
      <c r="O2359" t="n">
        <v>0.1111</v>
      </c>
    </row>
    <row r="2360">
      <c r="A2360" t="inlineStr">
        <is>
          <t>springboot</t>
        </is>
      </c>
      <c r="B2360" t="inlineStr">
        <is>
          <t>buildpack/spring-boot-buildpack-platform/src/main/java/org/springframework/boot/buildpack/platform/build/Buildpacks.java</t>
        </is>
      </c>
      <c r="C2360">
        <f>HYPERLINK("https://github.com/spring-projects/spring-boot/blob/master/buildpack/spring-boot-buildpack-platform/src/main/java/org/springframework/boot/buildpack/platform/build/Buildpacks.java")</f>
        <v/>
      </c>
      <c r="D2360" t="inlineStr">
        <is>
          <t>```
The code provided is a Java class that appears to be part of the Spring Boot Build Pack project for platform build and docker layer handling. It defines methods related to reading content from an input stream (`readFromInputStream()`), writing content into an output stream (`writeToOutputStream()`), creating layers based on given contents (`createLayers()`), and adding</t>
        </is>
      </c>
      <c r="E2360" t="n">
        <v>0.0033</v>
      </c>
      <c r="F2360" t="n">
        <v>0.0323</v>
      </c>
      <c r="G2360" t="n">
        <v>0.07870000000000001</v>
      </c>
      <c r="H2360" t="inlineStr">
        <is>
          <t>The code provided is a simple function for addition of two numbers in Java language. The functionality of this code can be summarized as follows: This function takes two parameters 'a' and 'b', performs an operation to add these two numbers together and returns the result. It operates under O(1) complexity meaning it has constant time complexity i.e., its performance does not change with increase in</t>
        </is>
      </c>
      <c r="I2360" t="n">
        <v>0.0036</v>
      </c>
      <c r="J2360" t="n">
        <v>0.0789</v>
      </c>
      <c r="K2360" t="n">
        <v>0.1087</v>
      </c>
      <c r="L2360" t="inlineStr">
        <is>
          <t>The provided code is part of a Spring Boot application that deals with the creation and management of Docker layers. The main purpose of this class seems to be creating Layers from given Content objects. 
Here's an overview of its functionality:
1. It takes in a list of `Content` objects as input which represent different pieces of content (like source files or directories</t>
        </is>
      </c>
      <c r="M2360" t="n">
        <v>0.0029</v>
      </c>
      <c r="N2360" t="n">
        <v>0.0556</v>
      </c>
      <c r="O2360" t="n">
        <v>0.1111</v>
      </c>
    </row>
    <row r="2361">
      <c r="A2361" t="inlineStr">
        <is>
          <t>springboot</t>
        </is>
      </c>
      <c r="B2361" t="inlineStr">
        <is>
          <t>buildpack/spring-boot-buildpack-platform/src/main/java/org/springframework/boot/buildpack/platform/build/Builder.java</t>
        </is>
      </c>
      <c r="C2361">
        <f>HYPERLINK("https://github.com/spring-projects/spring-boot/blob/master/buildpack/spring-boot-buildpack-platform/src/main/java/org/springframework/boot/buildpack/platform/build/Builder.java")</f>
        <v/>
      </c>
      <c r="D2361" t="inlineStr">
        <is>
          <t>The code provided is a Java class that contains the implementation of core algorithms related to Docker container operations such as building and running containers using an Apache License 2.0. It defines several methods for interacting with a Docker API instance (`DockerApi`), handling logs from these interactions (`DockerLog`), and managing lists of images or containers (`List&lt;T&gt;`).</t>
        </is>
      </c>
      <c r="E2361" t="n">
        <v>0.0039</v>
      </c>
      <c r="F2361" t="n">
        <v>0.09089999999999999</v>
      </c>
      <c r="G2361" t="n">
        <v>0.1563</v>
      </c>
      <c r="H2361" t="inlineStr">
        <is>
          <t>The provided code is a Java class that implements the Docker API for interacting with docker containers and images in an application built on Spring Boot platform. It contains methods to build, run, stop, remove etc., docker containers using the Docker API. The complexity of this implementation seems to be O(n), where n represents the number of operations performed by the user or other components within the system.</t>
        </is>
      </c>
      <c r="I2361" t="n">
        <v>0.0032</v>
      </c>
      <c r="J2361" t="n">
        <v>0.0519</v>
      </c>
      <c r="K2361" t="n">
        <v>0.1429</v>
      </c>
      <c r="L2361" t="inlineStr">
        <is>
          <t>The code provided is a part of the Spring Boot Build Pack project. It deals with building and packaging applications using Docker containers. The main purpose of this module seems to be creating build plans for different types of platforms (like Heroku or AWS) by utilizing Docker API calls.
It takes in inputs like Docker API object, list of commands which are executed on docker,</t>
        </is>
      </c>
      <c r="M2361" t="n">
        <v>0.0033</v>
      </c>
      <c r="N2361" t="n">
        <v>0.0548</v>
      </c>
      <c r="O2361" t="n">
        <v>0.146</v>
      </c>
    </row>
    <row r="2362">
      <c r="A2362" t="inlineStr">
        <is>
          <t>springboot</t>
        </is>
      </c>
      <c r="B2362" t="inlineStr">
        <is>
          <t>buildpack/spring-boot-buildpack-platform/src/main/java/org/springframework/boot/buildpack/platform/build/BuildpackCoordinates.java</t>
        </is>
      </c>
      <c r="C2362">
        <f>HYPERLINK("https://github.com/spring-projects/spring-boot/blob/master/buildpack/spring-boot-buildpack-platform/src/main/java/org/springframework/boot/buildpack/platform/build/BuildpackCoordinates.java")</f>
        <v/>
      </c>
      <c r="D2362" t="inlineStr">
        <is>
          <t>The code provided is a Java class that deals with reading and parsing TOML configuration files in the context of Spring Boot build pack platform. It handles file IO operations to read input streams and also utilizes Apache Toml library for parsing these configurations into objects. The license at the top indicates it's licensed under Apache 2.0 which means you can use this software freely but must</t>
        </is>
      </c>
      <c r="E2362" t="n">
        <v>0.0032</v>
      </c>
      <c r="F2362" t="n">
        <v>0.0519</v>
      </c>
      <c r="G2362" t="n">
        <v>0.2271</v>
      </c>
      <c r="H2362" t="inlineStr">
        <is>
          <t>The provided code is a Java implementation of the addition function (`add()`). It takes two numbers as input and returns their sum. The time complexity of this operation is O(1), meaning it performs a fixed number of operations regardless of the size of the inputs.
Here's the summary of its functionality: 
```java
public int add(int a,</t>
        </is>
      </c>
      <c r="I2362" t="n">
        <v>0.0033</v>
      </c>
      <c r="J2362" t="n">
        <v>0.0896</v>
      </c>
      <c r="K2362" t="n">
        <v>0.1563</v>
      </c>
      <c r="L2362" t="inlineStr">
        <is>
          <t>ThegivenJavaSpringBootsourcecodefilehasbeenanalyzedforreadability,maintainability,andprogramcomprehension.ItsprimaryroleisprocessingTOMLconfigurationfilesintotheprojectdirectory.IttakesaPathobjectrepresentingsomepathindirectoryandreturnsaTomlParseResultcontainingparseddatafromtheconfigurafilesfoundthere.Ifno</t>
        </is>
      </c>
      <c r="M2362" t="n">
        <v>0</v>
      </c>
      <c r="N2362" t="n">
        <v>0</v>
      </c>
      <c r="O2362" t="n">
        <v>0</v>
      </c>
    </row>
    <row r="2363">
      <c r="A2363" t="inlineStr">
        <is>
          <t>springboot</t>
        </is>
      </c>
      <c r="B2363" t="inlineStr">
        <is>
          <t>buildpack/spring-boot-buildpack-platform/src/main/java/org/springframework/boot/buildpack/platform/build/Creator.java</t>
        </is>
      </c>
      <c r="C2363">
        <f>HYPERLINK("https://github.com/spring-projects/spring-boot/blob/master/buildpack/spring-boot-buildpack-platform/src/main/java/org/springframework/boot/buildpack/platform/build/Creator.java")</f>
        <v/>
      </c>
      <c r="D2363" t="inlineStr">
        <is>
          <t>The provided code is a Java class named `Creator` that represents identifying information about the tooling used to create a builder in Spring Boot. The class has one field (`version`), which stores the version of the build tool being utilized. There are no methods defined for this class and it does not seem to be part of any larger system or application as its package name doesn't match</t>
        </is>
      </c>
      <c r="E2363" t="n">
        <v>0.0027</v>
      </c>
      <c r="F2363" t="n">
        <v>0.0519</v>
      </c>
      <c r="G2363" t="n">
        <v>0.1071</v>
      </c>
      <c r="H2363" t="inlineStr">
        <is>
          <t>The provided code is a Java class named "Creator". This class has one method called "getBuilderName()" which returns the name of the build tool that created it. The complexity of this function is O(1), meaning it executes in constant time regardless of input size. It also contains some license information at the top and identifying information about the author.
Please provide more context</t>
        </is>
      </c>
      <c r="I2363" t="n">
        <v>0.0034</v>
      </c>
      <c r="J2363" t="n">
        <v>0.0833</v>
      </c>
      <c r="K2363" t="n">
        <v>0.1111</v>
      </c>
      <c r="L2363" t="inlineStr">
        <is>
          <t>The provided code is a Java class named "Creator". This class has one field called 'version' and two methods (constructors). The constructor takes in a String parameter which sets the value of the 'version' field. There are no other classes or dependencies imported at this time. 
The purpose of this class seems to be for storing information about the creator of a builder</t>
        </is>
      </c>
      <c r="M2363" t="n">
        <v>0.0034</v>
      </c>
      <c r="N2363" t="n">
        <v>0.0563</v>
      </c>
      <c r="O2363" t="n">
        <v>0.0741</v>
      </c>
    </row>
    <row r="2364">
      <c r="A2364" t="inlineStr">
        <is>
          <t>springboot</t>
        </is>
      </c>
      <c r="B2364" t="inlineStr">
        <is>
          <t>buildpack/spring-boot-buildpack-platform/src/main/java/org/springframework/boot/buildpack/platform/build/StackId.java</t>
        </is>
      </c>
      <c r="C2364">
        <f>HYPERLINK("https://github.com/spring-projects/spring-boot/blob/master/buildpack/spring-boot-buildpack-platform/src/main/java/org/springframework/boot/buildpack/platform/build/StackId.java")</f>
        <v/>
      </c>
      <c r="D2364" t="inlineStr">
        <is>
          <t>```plaintext
The provided code is a Java class that represents an image in the Docker ecosystem of Spring Boot Build Pack Platform. It's annotated with Apache License 2.0 and contains comments explaining its functionality as well as some JSpecify annotations for nullability checks. The class has several methods related to manipulating images which may be used by developers who are</t>
        </is>
      </c>
      <c r="E2364" t="n">
        <v>0.0036</v>
      </c>
      <c r="F2364" t="n">
        <v>0.0286</v>
      </c>
      <c r="G2364" t="n">
        <v>0.07580000000000001</v>
      </c>
      <c r="H2364" t="inlineStr">
        <is>
          <t>The provided code is a Java class that contains the definition of an add method for two integers. The function takes in two parameters (`int a` and `int b`), performs addition operation on them and returns the result. This functionality can be summarized as follows: "Defines an 'add' method to perform arithmetic addition between two numbers."
The time complexity of this</t>
        </is>
      </c>
      <c r="I2364" t="n">
        <v>0.0039</v>
      </c>
      <c r="J2364" t="n">
        <v>0.058</v>
      </c>
      <c r="K2364" t="n">
        <v>0.1128</v>
      </c>
      <c r="L2364" t="inlineStr">
        <is>
          <t>The provided code is a Java class named `PlatformBuild` which appears to be part of the Spring Boot project's build pack platform module. This class seems to handle Docker image creation and configuration related tasks.
It has several methods including constructors for initialization, getters and setters for various properties such as Image object (which could represent an image in a container registry) and</t>
        </is>
      </c>
      <c r="M2364" t="n">
        <v>0.0034</v>
      </c>
      <c r="N2364" t="n">
        <v>0.0556</v>
      </c>
      <c r="O2364" t="n">
        <v>0.1111</v>
      </c>
    </row>
    <row r="2365">
      <c r="A2365" t="inlineStr">
        <is>
          <t>springboot</t>
        </is>
      </c>
      <c r="B2365" t="inlineStr">
        <is>
          <t>buildpack/spring-boot-buildpack-platform/src/main/java/org/springframework/boot/buildpack/platform/build/TarGzipBuildpack.java</t>
        </is>
      </c>
      <c r="C2365">
        <f>HYPERLINK("https://github.com/spring-projects/spring-boot/blob/master/buildpack/spring-boot-buildpack-platform/src/main/java/org/springframework/boot/buildpack/platform/build/TarGzipBuildpack.java")</f>
        <v/>
      </c>
      <c r="D2365" t="inlineStr">
        <is>
          <t>The provided code appears to be a Java class that is part of the Spring Boot build pack platform's build module. It provides functionality for creating an archive file in TAR format from a directory path specified by the user. The Apache Commons Compress library is used to handle the creation and manipulation of this tarball. 
It starts with copyright information about its license (</t>
        </is>
      </c>
      <c r="E2365" t="n">
        <v>0.0033</v>
      </c>
      <c r="F2365" t="n">
        <v>0.0822</v>
      </c>
      <c r="G2365" t="n">
        <v>0.1095</v>
      </c>
      <c r="H2365" t="inlineStr">
        <is>
          <t>The code you provided is a simple function for addition of two numbers in Python language. It takes as input parameters 'a' and 'b', performs the operation of adding them together, and returns the result. The time complexity of this function is O(1), meaning it always executes in constant time regardless of the size or content of the inputs.
In terms of comments, there</t>
        </is>
      </c>
      <c r="I2365" t="n">
        <v>0.0028</v>
      </c>
      <c r="J2365" t="n">
        <v>0.0548</v>
      </c>
      <c r="K2365" t="n">
        <v>0.1103</v>
      </c>
      <c r="L2365" t="inlineStr">
        <is>
          <t>The provided code is a Java implementation of the TarBuilder class from Apache Commons Compress library. This class generates tar files by compressing and writing them to an output stream or file system path.
The main purpose of this code is to create TAR archives which are used for packaging data in Unix systems. The input can be any type of file (regular file, directory etc</t>
        </is>
      </c>
      <c r="M2365" t="n">
        <v>0.0033</v>
      </c>
      <c r="N2365" t="n">
        <v>0.0541</v>
      </c>
      <c r="O2365" t="n">
        <v>0.1449</v>
      </c>
    </row>
    <row r="2366">
      <c r="A2366" t="inlineStr">
        <is>
          <t>springboot</t>
        </is>
      </c>
      <c r="B2366" t="inlineStr">
        <is>
          <t>buildpack/spring-boot-buildpack-platform/src/main/java/org/springframework/boot/buildpack/platform/build/PullPolicy.java</t>
        </is>
      </c>
      <c r="C2366">
        <f>HYPERLINK("https://github.com/spring-projects/spring-boot/blob/master/buildpack/spring-boot-buildpack-platform/src/main/java/org/springframework/boot/buildpack/platform/build/PullPolicy.java")</f>
        <v/>
      </c>
      <c r="D2366" t="inlineStr">
        <is>
          <t>The provided code is a Java enum named `PullPolicy` which represents the policy for pulling an image from Docker registry in Spring Boot build pack platform. The three options are ALWAYS (always pulls the image), NEVER (never pulls the image), and IF_NOT_EXISTS (pulls if it does not exist locally). It's used to control how</t>
        </is>
      </c>
      <c r="E2366" t="n">
        <v>0.0034</v>
      </c>
      <c r="F2366" t="n">
        <v>0.0308</v>
      </c>
      <c r="G2366" t="n">
        <v>0.0794</v>
      </c>
      <c r="H2366" t="inlineStr">
        <is>
          <t>The provided code is a Java class that defines an enumeration named `PullPolicy` with three possible values:
- ALWAYS - always pull the image from the registry even if it exists locally.
- NEVER - never pull the image from the registry.
- IF_NOT_PRESENT - only pull the image from the registry if it does not exist</t>
        </is>
      </c>
      <c r="I2366" t="n">
        <v>0</v>
      </c>
      <c r="J2366" t="n">
        <v>0</v>
      </c>
      <c r="K2366" t="n">
        <v>0</v>
      </c>
      <c r="L2366" t="inlineStr">
        <is>
          <t>The provided code is a Java class that represents an enumerated type called PullPolicy with three possible values - ALWAYS, NEVER and IF_NOT_PRESENT. The purpose of this enum seems to be related to container image management in the context of Spring Boot build pack platform. It defines policies for pulling images from Docker registries based on their existence locally. This functionality</t>
        </is>
      </c>
      <c r="M2366" t="n">
        <v>0.0039</v>
      </c>
      <c r="N2366" t="n">
        <v>0.0571</v>
      </c>
      <c r="O2366" t="n">
        <v>0.1128</v>
      </c>
    </row>
    <row r="2367">
      <c r="A2367" t="inlineStr">
        <is>
          <t>springboot</t>
        </is>
      </c>
      <c r="B2367" t="inlineStr">
        <is>
          <t>buildpack/spring-boot-buildpack-platform/src/main/java/org/springframework/boot/buildpack/platform/build/BuildpackMetadata.java</t>
        </is>
      </c>
      <c r="C2367">
        <f>HYPERLINK("https://github.com/spring-projects/spring-boot/blob/master/buildpack/spring-boot-buildpack-platform/src/main/java/org/springframework/boot/buildpack/platform/build/BuildpackMetadata.java")</f>
        <v/>
      </c>
      <c r="D2367" t="inlineStr">
        <is>
          <t>The code provided is a Java class that deals with building Docker images using Spring Boot build pack platform and Jackson library for JSON processing. It includes methods to obtain an image configuration from the given image or set it if required. The copyright information at the top of the file specifies licensing details under Apache License 2.0 which requires compliance in any modified versions of this software.
The</t>
        </is>
      </c>
      <c r="E2367" t="n">
        <v>0.0026</v>
      </c>
      <c r="F2367" t="n">
        <v>0.0513</v>
      </c>
      <c r="G2367" t="n">
        <v>0.1064</v>
      </c>
      <c r="H2367" t="inlineStr">
        <is>
          <t>The function provided is a simple addition operation that takes two parameters and returns their sum. The complexity of this function is O(1), meaning it performs the same number of operations regardless of the size of input data. It does not involve any loops or recursive calls which would increase its time complexity to O(n). Therefore, the summary can be as follows: "A concise, clear,</t>
        </is>
      </c>
      <c r="I2367" t="n">
        <v>0.0028</v>
      </c>
      <c r="J2367" t="n">
        <v>0.0533</v>
      </c>
      <c r="K2367" t="n">
        <v>0.1095</v>
      </c>
      <c r="L2367" t="inlineStr">
        <is>
          <t>The provided code is a Java class that appears to be part of the Spring Boot project's build process for Docker images. It imports various dependencies and uses them in conjunction with Jackson library for JSON parsing. The main purpose of this class seems to be building or modifying Docker image configurations based on input parameters.
Here are some key operations performed by the `Build`</t>
        </is>
      </c>
      <c r="M2367" t="n">
        <v>0.0028</v>
      </c>
      <c r="N2367" t="n">
        <v>0.027</v>
      </c>
      <c r="O2367" t="n">
        <v>0.1095</v>
      </c>
    </row>
    <row r="2368">
      <c r="A2368" t="inlineStr">
        <is>
          <t>springboot</t>
        </is>
      </c>
      <c r="B2368" t="inlineStr">
        <is>
          <t>buildpack/spring-boot-buildpack-platform/src/main/java/org/springframework/boot/buildpack/platform/build/ApiVersions.java</t>
        </is>
      </c>
      <c r="C2368">
        <f>HYPERLINK("https://github.com/spring-projects/spring-boot/blob/master/buildpack/spring-boot-buildpack-platform/src/main/java/org/springframework/boot/buildpack/platform/build/ApiVersions.java")</f>
        <v/>
      </c>
      <c r="D2368" t="inlineStr">
        <is>
          <t>```plaintext
The provided code is a Java class that represents a set of API version numbers comprising major and minor values. The class has been licensed under the Apache License 2.0. It contains methods for adding new versions to the set, checking if a specific version exists in the set, and getting all available versions as an array. This implementation uses streams from java.</t>
        </is>
      </c>
      <c r="E2368" t="n">
        <v>0.0034</v>
      </c>
      <c r="F2368" t="n">
        <v>0.0548</v>
      </c>
      <c r="G2368" t="n">
        <v>0.1471</v>
      </c>
      <c r="H2368" t="inlineStr">
        <is>
          <t>The provided code is a simple function named `add` that takes two parameters (`a` and `b`), performs an addition operation on them, and returns the result. The complexity of this function is O(1). It's important to note that it doesn't repeat any code from previous versions or commits.
Here are some key points about the license at the</t>
        </is>
      </c>
      <c r="I2368" t="n">
        <v>0.0031</v>
      </c>
      <c r="J2368" t="n">
        <v>0.058</v>
      </c>
      <c r="K2368" t="n">
        <v>0.1154</v>
      </c>
      <c r="L2368" t="inlineStr">
        <is>
          <t>The provided code is a Java class named `APIVersion` that represents API version numbers as major and minor values. The class has three fields for the major, minor, and patch versions of an API respectively. It also includes methods to get these versions, set them, compare two instances of this class based on their versions, and check if they are equal or not. This functionality allows developers to</t>
        </is>
      </c>
      <c r="M2368" t="n">
        <v>0.0035</v>
      </c>
      <c r="N2368" t="n">
        <v>0.0526</v>
      </c>
      <c r="O2368" t="n">
        <v>0.1071</v>
      </c>
    </row>
    <row r="2369">
      <c r="A2369" t="inlineStr">
        <is>
          <t>springboot</t>
        </is>
      </c>
      <c r="B2369" t="inlineStr">
        <is>
          <t>buildpack/spring-boot-buildpack-platform/src/main/java/org/springframework/boot/buildpack/platform/build/AbstractBuildLog.java</t>
        </is>
      </c>
      <c r="C2369">
        <f>HYPERLINK("https://github.com/spring-projects/spring-boot/blob/master/buildpack/spring-boot-buildpack-platform/src/main/java/org/springframework/boot/buildpack/platform/build/AbstractBuildLog.java")</f>
        <v/>
      </c>
      <c r="D2369" t="inlineStr">
        <is>
          <t>&lt;!-- This repository contains backend software components written in Java. It implements core algorithms and data structures used by the Spring Boot build pack platform for Docker image building. The complexity of this code is O(N), where N represents the number of images being built concurrently. --&gt;
```python
# Copyright 2012-present the original author or authors.</t>
        </is>
      </c>
      <c r="E2369" t="n">
        <v>0.008699999999999999</v>
      </c>
      <c r="F2369" t="n">
        <v>0.1587</v>
      </c>
      <c r="G2369" t="n">
        <v>0.3331</v>
      </c>
      <c r="H2369" t="inlineStr">
        <is>
          <t>The provided code is a Java implementation of the add function for two numbers. The complexity of this operation is O(1), meaning it takes constant time to perform regardless of input size. This function does not use any external libraries or packages and follows standard coding practices such as proper commenting, formatting, and license headers. It's also worth noting that this repository appears to contain backend software components</t>
        </is>
      </c>
      <c r="I2369" t="n">
        <v>0.0035</v>
      </c>
      <c r="J2369" t="n">
        <v>0.0769</v>
      </c>
      <c r="K2369" t="n">
        <v>0.1786</v>
      </c>
      <c r="L2369" t="inlineStr">
        <is>
          <t>The provided code is part of a Spring Boot application that builds Docker images using platform-specific builders and docker clients. The main purpose of this module seems to be creating an image builder based on the given ImagePlatform. It also includes functionalities for handling log update events and summarizing total progress updates.
Here's a concise summary without repeating any lines from the original source</t>
        </is>
      </c>
      <c r="M2369" t="n">
        <v>0.0034</v>
      </c>
      <c r="N2369" t="n">
        <v>0.1081</v>
      </c>
      <c r="O2369" t="n">
        <v>0.1471</v>
      </c>
    </row>
    <row r="2370">
      <c r="A2370" t="inlineStr">
        <is>
          <t>springboot</t>
        </is>
      </c>
      <c r="B2370" t="inlineStr">
        <is>
          <t>buildpack/spring-boot-buildpack-platform/src/main/java/org/springframework/boot/buildpack/platform/docker/UpdateEvent.java</t>
        </is>
      </c>
      <c r="C2370">
        <f>HYPERLINK("https://github.com/spring-projects/spring-boot/blob/master/buildpack/spring-boot-buildpack-platform/src/main/java/org/springframework/boot/buildpack/platform/docker/UpdateEvent.java")</f>
        <v/>
      </c>
      <c r="D2370" t="inlineStr">
        <is>
          <t>The code provided is a base class for update events published by Docker in the Spring Boot Build Pack Platform. It's licensed under Apache License 2.0 and contains no functionality as it appears to be an abstract class with no methods or properties defined yet. The license details are also present at the top of the file which states that any use not compliant with this license may result in legal</t>
        </is>
      </c>
      <c r="E2370" t="n">
        <v>0.003</v>
      </c>
      <c r="F2370" t="n">
        <v>0.0247</v>
      </c>
      <c r="G2370" t="n">
        <v>0.1049</v>
      </c>
      <c r="H2370" t="inlineStr">
        <is>
          <t>The function provided is a simple addition operation that takes two numbers as input and returns their sum. The functionality of the code can be summarized in three points:
1. It defines an add function which accepts two parameters (numbers). 
2. This function performs an arithmetic operation to return the result of adding these two numbers together.
3. In terms of complexity,</t>
        </is>
      </c>
      <c r="I2370" t="n">
        <v>0.0039</v>
      </c>
      <c r="J2370" t="n">
        <v>0.0571</v>
      </c>
      <c r="K2370" t="n">
        <v>0.1119</v>
      </c>
      <c r="L2370" t="inlineStr">
        <is>
          <t>The provided code is a Java class named `UpdateEvent` in the package `org.springframework.boot.buildpack.platform.docker` of a Spring Boot application. This class acts as a base for update events published by Docker and extends from an abstract class. The purpose of this class seems to be unknown without more context or implementation details. It's licensed under Apache License 2</t>
        </is>
      </c>
      <c r="M2370" t="n">
        <v>0.0038</v>
      </c>
      <c r="N2370" t="n">
        <v>0.0563</v>
      </c>
      <c r="O2370" t="n">
        <v>0.1163</v>
      </c>
    </row>
    <row r="2371">
      <c r="A2371" t="inlineStr">
        <is>
          <t>springboot</t>
        </is>
      </c>
      <c r="B2371" t="inlineStr">
        <is>
          <t>buildpack/spring-boot-buildpack-platform/src/main/java/org/springframework/boot/buildpack/platform/docker/ProgressUpdateEvent.java</t>
        </is>
      </c>
      <c r="C2371">
        <f>HYPERLINK("https://github.com/spring-projects/spring-boot/blob/master/buildpack/spring-boot-buildpack-platform/src/main/java/org/springframework/boot/buildpack/platform/docker/ProgressUpdateEvent.java")</f>
        <v/>
      </c>
      <c r="D2371" t="inlineStr">
        <is>
          <t>```java
// This repository contains backend software components. 
// The complexity of the code is O(n), where n represents the number of elements in a collection or array.
// Implementing core algorithms and data structures are present in this project.
// Initial commit for the code base can be considered as committing at https://github.com/spring-project</t>
        </is>
      </c>
      <c r="E2371" t="n">
        <v>0.0048</v>
      </c>
      <c r="F2371" t="n">
        <v>0.1587</v>
      </c>
      <c r="G2371" t="n">
        <v>0.2952</v>
      </c>
      <c r="H2371" t="inlineStr">
        <is>
          <t>The provided code is a Java class named `ProgressUpdateEvent` that extends an abstract class called `UpdateEvent` and includes progress information in the form of private fields. The class has been annotated with Jackson's `@JsonCreator` annotation to mark it as a creator method for JSON deserialization. 
It also uses JSpecify's `@Nullable</t>
        </is>
      </c>
      <c r="I2371" t="n">
        <v>0.0037</v>
      </c>
      <c r="J2371" t="n">
        <v>0.0333</v>
      </c>
      <c r="K2371" t="n">
        <v>0.082</v>
      </c>
      <c r="L2371" t="inlineStr">
        <is>
          <t>The provided code is a Java class named `ProgressUpdateEvent` that extends the abstract class `UpdateEvent` from Spring Boot's build pack platform docker module. This class represents an update event with progress information. The author of this code seems to be Phillip Webb and Wolfgang Kronberg.
It has private field `summary` which holds summary text related to the</t>
        </is>
      </c>
      <c r="M2371" t="n">
        <v>0.0038</v>
      </c>
      <c r="N2371" t="n">
        <v>0.0606</v>
      </c>
      <c r="O2371" t="n">
        <v>0.0775</v>
      </c>
    </row>
    <row r="2372">
      <c r="A2372" t="inlineStr">
        <is>
          <t>springboot</t>
        </is>
      </c>
      <c r="B2372" t="inlineStr">
        <is>
          <t>buildpack/spring-boot-buildpack-platform/src/main/java/org/springframework/boot/buildpack/platform/docker/PushImageUpdateEvent.java</t>
        </is>
      </c>
      <c r="C2372">
        <f>HYPERLINK("https://github.com/spring-projects/spring-boot/blob/master/buildpack/spring-boot-buildpack-platform/src/main/java/org/springframework/boot/buildpack/platform/docker/PushImageUpdateEvent.java")</f>
        <v/>
      </c>
      <c r="D2372" t="inlineStr">
        <is>
          <t>```java
// Copyright 2012-present the original author or authors.
// Licensed under the Apache License, Version 2.0 (the "License");
// you may not use this file except in compliance with the License.
// You may obtain a copy of the License at
// https://www.apache.org/licenses/LIC</t>
        </is>
      </c>
      <c r="E2372" t="n">
        <v>0</v>
      </c>
      <c r="F2372" t="n">
        <v>0.037</v>
      </c>
      <c r="G2372" t="n">
        <v>0.0862</v>
      </c>
      <c r="H2372" t="inlineStr">
        <is>
          <t>The function provided is a simple addition operation between two numbers 'a' and 'b'. It does not contain any complex algorithms or data structures used for the calculation. The complexity of this code snippet is O(1), meaning it only performs one operation regardless of input size. This includes adding two integers together which is an elementary arithmetic operation in most programming languages.
#include</t>
        </is>
      </c>
      <c r="I2372" t="n">
        <v>0.0034</v>
      </c>
      <c r="J2372" t="n">
        <v>0.0556</v>
      </c>
      <c r="K2372" t="n">
        <v>0.1111</v>
      </c>
      <c r="L2372" t="inlineStr">
        <is>
          <t>The code provided is a Java class named `PushImageUpdateEvent` that represents an event fired when an image is pushed to a registry. This class has three main attributes and one constructor method. The class is annotated with the Jackson library's `@JsonCreator` which indicates it can be used as a factory for creating instances of this object during deserialization from JSON format.</t>
        </is>
      </c>
      <c r="M2372" t="n">
        <v>0.0036</v>
      </c>
      <c r="N2372" t="n">
        <v>0.0571</v>
      </c>
      <c r="O2372" t="n">
        <v>0.1128</v>
      </c>
    </row>
    <row r="2373">
      <c r="A2373" t="inlineStr">
        <is>
          <t>springboot</t>
        </is>
      </c>
      <c r="B2373" t="inlineStr">
        <is>
          <t>buildpack/spring-boot-buildpack-platform/src/main/java/org/springframework/boot/buildpack/platform/docker/LoadImageUpdateEvent.java</t>
        </is>
      </c>
      <c r="C2373">
        <f>HYPERLINK("https://github.com/spring-projects/spring-boot/blob/master/buildpack/spring-boot-buildpack-platform/src/main/java/org/springframework/boot/buildpack/platform/docker/LoadImageUpdateEvent.java")</f>
        <v/>
      </c>
      <c r="D2373" t="inlineStr">
        <is>
          <t>The provided code is a Java class named `LoadImageUpdateEvent` that extends the `ProgressUpdateEvent` class from Spring Boot's build pack platform docker module. This class represents an event fired when an image has been loaded into memory. The author of this code is Phillip Webb and it was written since version 2.3.0 of Spring Boot. It follows Apache License Version</t>
        </is>
      </c>
      <c r="E2373" t="n">
        <v>0.0037</v>
      </c>
      <c r="F2373" t="n">
        <v>0.0571</v>
      </c>
      <c r="G2373" t="n">
        <v>0.07630000000000001</v>
      </c>
      <c r="H2373" t="inlineStr">
        <is>
          <t>The provided code is a Java class that represents an event for updating the progress of loading an image in Spring Boot's Docker platform. The copyright notice at the top indicates it may be subject to Apache License 2.0 terms and conditions. This class extends from Progress and uses Jackson annotation for JSON serialization. It has been designed with modularity in mind by using interfaces instead of concrete classes</t>
        </is>
      </c>
      <c r="I2373" t="n">
        <v>0.0031</v>
      </c>
      <c r="J2373" t="n">
        <v>0.0506</v>
      </c>
      <c r="K2373" t="n">
        <v>0.1064</v>
      </c>
      <c r="L2373" t="inlineStr">
        <is>
          <t>The code provided is a Java class named `LoadImageUpdateEvent` that extends the `ProgressSummary` class from Spring Boot's build pack platform docker module. This class represents an event fired when an image has been loaded into memory by Docker.
It contains two fields - author and since which are annotated with @JsonProperty for JSON serialization purposes. The constructor of this</t>
        </is>
      </c>
      <c r="M2373" t="n">
        <v>0.0037</v>
      </c>
      <c r="N2373" t="n">
        <v>0.0597</v>
      </c>
      <c r="O2373" t="n">
        <v>0.07630000000000001</v>
      </c>
    </row>
    <row r="2374">
      <c r="A2374" t="inlineStr">
        <is>
          <t>springboot</t>
        </is>
      </c>
      <c r="B2374" t="inlineStr">
        <is>
          <t>buildpack/spring-boot-buildpack-platform/src/main/java/org/springframework/boot/buildpack/platform/docker/LogUpdateEvent.java</t>
        </is>
      </c>
      <c r="C2374">
        <f>HYPERLINK("https://github.com/spring-projects/spring-boot/blob/master/buildpack/spring-boot-buildpack-platform/src/main/java/org/springframework/boot/buildpack/platform/docker/LogUpdateEvent.java")</f>
        <v/>
      </c>
      <c r="D2374" t="inlineStr">
        <is>
          <t>The code provided is a Java class that handles Apache License 2.0 and its conditions of use. It's part of the Spring Boot build pack for Docker project which deals with handling docker images in various platforms. The license states that users may not use this file except in compliance with the terms specified by the license. Users can obtain a copy of the license at https://www.apache</t>
        </is>
      </c>
      <c r="E2374" t="n">
        <v>0.0027</v>
      </c>
      <c r="F2374" t="n">
        <v>0.0253</v>
      </c>
      <c r="G2374" t="n">
        <v>0.1079</v>
      </c>
      <c r="H2374" t="inlineStr">
        <is>
          <t>The provided code is a Java implementation of an add function that adds two numbers together. The complexity of this operation is O(1), meaning it takes constant time to execute regardless of the size of the input values (a and b). This function does not use any external libraries or dependencies, making it lightweight and efficient. It also includes Apache License 2.0 comments at the top indicating its open</t>
        </is>
      </c>
      <c r="I2374" t="n">
        <v>0.0031</v>
      </c>
      <c r="J2374" t="n">
        <v>0.0759</v>
      </c>
      <c r="K2374" t="n">
        <v>0.1418</v>
      </c>
      <c r="L2374" t="inlineStr">
        <is>
          <t>ThegivenJavasourcecodeisforhandlingHTTPrequestsinSpringBootenvironmentusingDockercontainers.Itusesaheadergeneratedfromtherequesttosetuplogginglevelsinthedifferentpackagesbasedonthem.
```java
package org.springframework.boot.buildpack.platform.docker;
import java.io.IOException;
import java.</t>
        </is>
      </c>
      <c r="M2374" t="n">
        <v>0</v>
      </c>
      <c r="N2374" t="n">
        <v>0</v>
      </c>
      <c r="O2374" t="n">
        <v>0</v>
      </c>
    </row>
    <row r="2375">
      <c r="A2375" t="inlineStr">
        <is>
          <t>springboot</t>
        </is>
      </c>
      <c r="B2375" t="inlineStr">
        <is>
          <t>buildpack/spring-boot-buildpack-platform/src/main/java/org/springframework/boot/buildpack/platform/docker/TotalProgressPushListener.java</t>
        </is>
      </c>
      <c r="C2375">
        <f>HYPERLINK("https://github.com/spring-projects/spring-boot/blob/master/buildpack/spring-boot-buildpack-platform/src/main/java/org/springframework/boot/buildpack/platform/docker/TotalProgressPushListener.java")</f>
        <v/>
      </c>
      <c r="D2375" t="inlineStr">
        <is>
          <t>The code provided is a Java class named TotalProgressPushListener that extends the TotalProgressListener and calculates the total progress of an entire push operation by publishing TotalProgressEvent objects. The listener updates its state based on incoming PushImageUpdateEvents from Docker image pushes. It then publishes these events to any registered listeners with a method like publish().
The copyright notice</t>
        </is>
      </c>
      <c r="E2375" t="n">
        <v>0.0032</v>
      </c>
      <c r="F2375" t="n">
        <v>0.0308</v>
      </c>
      <c r="G2375" t="n">
        <v>0.0388</v>
      </c>
      <c r="H2375" t="inlineStr">
        <is>
          <t>The provided code is a Java class named `TotalProgressPushListener` that extends the base class `TotalProgressListener`. This class has been designed to listen for updates on an image push operation and calculate the total progress of this operation. The listener then publishes events indicating the current state of the process through {@link TotalProgressEvent}'s. 
The license at the</t>
        </is>
      </c>
      <c r="I2375" t="n">
        <v>0.0039</v>
      </c>
      <c r="J2375" t="n">
        <v>0.0615</v>
      </c>
      <c r="K2375" t="n">
        <v>0.0781</v>
      </c>
      <c r="L2375" t="inlineStr">
        <is>
          <t>The provided code is a Java class named `TotalProgressPushListener` that extends the abstract base class `TotalProgressListener`. This class calculates and publishes total progress of an entire push operation by listening to updates from Docker image pushes.
It has one field (a consumer object) which will be used for processing each update event asynchronously. The purpose</t>
        </is>
      </c>
      <c r="M2375" t="n">
        <v>0.004</v>
      </c>
      <c r="N2375" t="n">
        <v>0.0635</v>
      </c>
      <c r="O2375" t="n">
        <v>0.1181</v>
      </c>
    </row>
    <row r="2376">
      <c r="A2376" t="inlineStr">
        <is>
          <t>springboot</t>
        </is>
      </c>
      <c r="B2376" t="inlineStr">
        <is>
          <t>buildpack/spring-boot-buildpack-platform/src/main/java/org/springframework/boot/buildpack/platform/docker/package-info.java</t>
        </is>
      </c>
      <c r="C2376">
        <f>HYPERLINK("https://github.com/spring-projects/spring-boot/blob/master/buildpack/spring-boot-buildpack-platform/src/main/java/org/springframework/boot/buildpack/platform/docker/package-info.java")</f>
        <v/>
      </c>
      <c r="D2376" t="inlineStr">
        <is>
          <t>The provided code is a Java class that represents the operations needed by pack for interacting with Docker API using Spring Boot Build Pack Platform. It's annotated to indicate nullability and marked as @NullMarked package org.springframework.boot.buildpack.platform.docker. The complexity of this code seems to be O(N), where N could represent any number depending on how many operations</t>
        </is>
      </c>
      <c r="E2376" t="n">
        <v>0.0033</v>
      </c>
      <c r="F2376" t="n">
        <v>0.0282</v>
      </c>
      <c r="G2376" t="n">
        <v>0.1172</v>
      </c>
      <c r="H2376" t="inlineStr">
        <is>
          <t>The provided code is a simple function for addition of two numbers in Java named `add` which takes two parameters and returns their sum. The time complexity of this operation is O(1), meaning it performs constant amount of work regardless of the size of input data.
Here's an example of how you can use this function:
```java
int result = add(5,</t>
        </is>
      </c>
      <c r="I2376" t="n">
        <v>0.003</v>
      </c>
      <c r="J2376" t="n">
        <v>0.0563</v>
      </c>
      <c r="K2376" t="n">
        <v>0.1128</v>
      </c>
      <c r="L2376" t="inlineStr">
        <is>
          <t>The provided code is a Java class that implements the Docker API operations using Spring Boot's build pack platform for docker. The main purpose of this class seems to be providing methods needed by other parts of an application to interact with Docker containers and images. It uses Apache License 2.0 which requires attribution in any derivative works. This implementation appears to follow best practices regarding readability,</t>
        </is>
      </c>
      <c r="M2376" t="n">
        <v>0.0036</v>
      </c>
      <c r="N2376" t="n">
        <v>0.0519</v>
      </c>
      <c r="O2376" t="n">
        <v>0.1439</v>
      </c>
    </row>
    <row r="2377">
      <c r="A2377" t="inlineStr">
        <is>
          <t>springboot</t>
        </is>
      </c>
      <c r="B2377" t="inlineStr">
        <is>
          <t>buildpack/spring-boot-buildpack-platform/src/main/java/org/springframework/boot/buildpack/platform/docker/TotalProgressPullListener.java</t>
        </is>
      </c>
      <c r="C2377">
        <f>HYPERLINK("https://github.com/spring-projects/spring-boot/blob/master/buildpack/spring-boot-buildpack-platform/src/main/java/org/springframework/boot/buildpack/platform/docker/TotalProgressPullListener.java")</f>
        <v/>
      </c>
      <c r="D2377" t="inlineStr">
        <is>
          <t>The code provided is a Java class named `TotalProgressPullListener` that extends the functionality of another class called `TotalProgressListener`. This class calculates and publishes total progress events during pull operations in Docker containers using Spring Boot Build Pack Platform. The license for this software is Apache 2.0 which allows it to be used without restrictions under certain conditions as stated at https</t>
        </is>
      </c>
      <c r="E2377" t="n">
        <v>0.0042</v>
      </c>
      <c r="F2377" t="n">
        <v>0.0571</v>
      </c>
      <c r="G2377" t="n">
        <v>0.2373</v>
      </c>
      <c r="H2377" t="inlineStr">
        <is>
          <t>The provided code is a Java class named TotalProgressPullListener that extends the TotalProgressListener class from Spring Boot's build pack and Docker package. This class contains an {@link UpdateListener}, which calculates the total progress of the entire pull operation and publishes {@link TotalProgressEvent}. The license for this software can be found at https://www.apache.org/lic</t>
        </is>
      </c>
      <c r="I2377" t="n">
        <v>0.0046</v>
      </c>
      <c r="J2377" t="n">
        <v>0.0615</v>
      </c>
      <c r="K2377" t="n">
        <v>0.2061</v>
      </c>
      <c r="L2377" t="inlineStr">
        <is>
          <t>The code provided is a Java class named `TotalProgressPullListener` that extends the abstract class `TotalProgressListener` from Spring Boot's build pack platform docker package. This class calculates and publishes total progress of an entire pull operation using a {@link UpdateListener}, which listens for updates on the progress of certain operations (like pulling Docker images). The purpose of this</t>
        </is>
      </c>
      <c r="M2377" t="n">
        <v>0.0038</v>
      </c>
      <c r="N2377" t="n">
        <v>0.0606</v>
      </c>
      <c r="O2377" t="n">
        <v>0.1163</v>
      </c>
    </row>
    <row r="2378">
      <c r="A2378" t="inlineStr">
        <is>
          <t>springboot</t>
        </is>
      </c>
      <c r="B2378" t="inlineStr">
        <is>
          <t>buildpack/spring-boot-buildpack-platform/src/main/java/org/springframework/boot/buildpack/platform/docker/ImagePlatform.java</t>
        </is>
      </c>
      <c r="C2378">
        <f>HYPERLINK("https://github.com/spring-projects/spring-boot/blob/master/buildpack/spring-boot-buildpack-platform/src/main/java/org/springframework/boot/buildpack/platform/docker/ImagePlatform.java")</f>
        <v/>
      </c>
      <c r="D2378" t="inlineStr">
        <is>
          <t>The code provided appears to be a Java class for working with Docker images using Spring Boot Build Pack and Jackson JSON mapper library. It defines methods related to creating, inspecting, or modifying Docker image objects based on their properties. The license at the top of this file states that it is licensed under Apache License 2.0. This means you can freely use, modify, and</t>
        </is>
      </c>
      <c r="E2378" t="n">
        <v>0.0033</v>
      </c>
      <c r="F2378" t="n">
        <v>0.0541</v>
      </c>
      <c r="G2378" t="n">
        <v>0.1095</v>
      </c>
      <c r="H2378" t="inlineStr">
        <is>
          <t>The code provided is a Java function named `add` that takes two parameters and returns their sum. The complexity of this operation is O(1), meaning it performs the same number of operations regardless of input size. This function does not repeat any code from its implementation as per best practices in software engineering.
In terms of licensing, there are conditions specified under Apache License 2.</t>
        </is>
      </c>
      <c r="I2378" t="n">
        <v>0.0037</v>
      </c>
      <c r="J2378" t="n">
        <v>0.0541</v>
      </c>
      <c r="K2378" t="n">
        <v>0.1825</v>
      </c>
      <c r="L2378" t="inlineStr">
        <is>
          <t>The code provided is a Java class that handles the creation and manipulation of Docker images using Spring Boot's platform tools. It uses Jackson for JSON mapping and validation. 
It has two main methods: `create` which creates an image from either a local directory or URL, and `inspect` which inspects an existing image by its ID or name. The input parameters</t>
        </is>
      </c>
      <c r="M2378" t="n">
        <v>0.003</v>
      </c>
      <c r="N2378" t="n">
        <v>0.0286</v>
      </c>
      <c r="O2378" t="n">
        <v>0.0752</v>
      </c>
    </row>
    <row r="2379">
      <c r="A2379" t="inlineStr">
        <is>
          <t>springboot</t>
        </is>
      </c>
      <c r="B2379" t="inlineStr">
        <is>
          <t>buildpack/spring-boot-buildpack-platform/src/main/java/org/springframework/boot/buildpack/platform/docker/TotalProgressListener.java</t>
        </is>
      </c>
      <c r="C2379">
        <f>HYPERLINK("https://github.com/spring-projects/spring-boot/blob/master/buildpack/spring-boot-buildpack-platform/src/main/java/org/springframework/boot/buildpack/platform/docker/TotalProgressListener.java")</f>
        <v/>
      </c>
      <c r="D2379" t="inlineStr">
        <is>
          <t>The code provided appears to be a Java class file for managing Docker progress updates with Spring Boot Build Pack Platform. It includes methods and classes related to handling progress details of an update event in concurrency scenarios. The license at the top indicates that this software is licensed under Apache License 2.0.
Please provide more specific information about what you need help summarizing or understanding from this</t>
        </is>
      </c>
      <c r="E2379" t="n">
        <v>0.0032</v>
      </c>
      <c r="F2379" t="n">
        <v>0.0519</v>
      </c>
      <c r="G2379" t="n">
        <v>0.1071</v>
      </c>
      <c r="H2379" t="inlineStr">
        <is>
          <t>The provided code is a Java implementation of the add function which performs addition operation on two numbers 'a' and 'b'. The time complexity of this function is O(1), meaning it takes constant time to execute regardless of input size. This function does not repeat any code from its definition or comments as per best practices for software engineering.
The README file explains that this repository contains</t>
        </is>
      </c>
      <c r="I2379" t="n">
        <v>0.0036</v>
      </c>
      <c r="J2379" t="n">
        <v>0.0789</v>
      </c>
      <c r="K2379" t="n">
        <v>0.1799</v>
      </c>
      <c r="L2379" t="inlineStr">
        <is>
          <t>The code provided is a Java class named `DockerBuildPack` which seems to be part of the Spring Boot framework for building Docker images. This class has several import statements at the top indicating its dependencies and uses.
It includes methods related to calculating total progress updates in a multi-threading environment using concurrency features from java.util.concurrent package. The main purpose</t>
        </is>
      </c>
      <c r="M2379" t="n">
        <v>0.0037</v>
      </c>
      <c r="N2379" t="n">
        <v>0.0571</v>
      </c>
      <c r="O2379" t="n">
        <v>0.1145</v>
      </c>
    </row>
    <row r="2380">
      <c r="A2380" t="inlineStr">
        <is>
          <t>wordpress</t>
        </is>
      </c>
      <c r="B2380" t="inlineStr">
        <is>
          <t>WordPress/src/jetpack/assets/support_chat_widget.js</t>
        </is>
      </c>
      <c r="C2380">
        <f>HYPERLINK("https://github.com/wordpress-mobile/WordPress-Android/blob/master/WordPress/src/jetpack/assets/support_chat_widget.js")</f>
        <v/>
      </c>
      <c r="D2380" t="inlineStr">
        <is>
          <t>The provided code is a JavaScript function that initializes the Docs Bot AI with certain parameters based on URL query params and provides support for callbacks related to chat history events. The complexity of this implementation appears to be O(N), where N represents some aspect of the data being processed or manipulated by the algorithm. It's not immediately clear what specific operations are involved in terms of computational complexity</t>
        </is>
      </c>
      <c r="E2380" t="n">
        <v>0.0026</v>
      </c>
      <c r="F2380" t="n">
        <v>0.0506</v>
      </c>
      <c r="G2380" t="n">
        <v>0.1418</v>
      </c>
      <c r="H2380" t="inlineStr">
        <is>
          <t>The code you provided is a JavaScript function that initializes and sets up the Docs Bot AI with various options such as bot name, description, color, support link labels for input placeholder etc., based on query parameters from the URL. The complexity of this operation is O(N), where N represents the number of key-value pairs in the URL's query string. It also includes preventing default</t>
        </is>
      </c>
      <c r="I2380" t="n">
        <v>0.0028</v>
      </c>
      <c r="J2380" t="n">
        <v>0.0526</v>
      </c>
      <c r="K2380" t="n">
        <v>0.1095</v>
      </c>
      <c r="L2380" t="inlineStr">
        <is>
          <t>The provided code appears to be a JavaScript function that initializes and sets up the Docs Bot AI (a chat bot for documentation). The main purpose of this code is to load the Docs Bot AI based on URL parameters such as 'id' and 'chatId'. It also includes support callback functionality which allows you to prevent default behavior when an event occurs related to history data.</t>
        </is>
      </c>
      <c r="M2380" t="n">
        <v>0.0033</v>
      </c>
      <c r="N2380" t="n">
        <v>0.0541</v>
      </c>
      <c r="O2380" t="n">
        <v>0.1087</v>
      </c>
    </row>
    <row r="2381">
      <c r="A2381" t="inlineStr">
        <is>
          <t>wordpress</t>
        </is>
      </c>
      <c r="B2381" t="inlineStr">
        <is>
          <t>WordPress/src/jetpack/assets/bot_widget.js</t>
        </is>
      </c>
      <c r="C2381">
        <f>HYPERLINK("https://github.com/wordpress-mobile/WordPress-Android/blob/master/WordPress/src/jetpack/assets/bot_widget.js")</f>
        <v/>
      </c>
      <c r="D2381" t="inlineStr">
        <is>
          <t>The provided code is a JavaScript snippet that initializes the Docs Bot AI chat widget on a webpage. It creates a script element and sets its properties to load an asynchronous JavaScript file from 'https://widget.docsbot.ai/chat.js'. The script loads a function named `mount` which takes in parameters such as id (for identification of the chat), support callback</t>
        </is>
      </c>
      <c r="E2381" t="n">
        <v>0.0033</v>
      </c>
      <c r="F2381" t="n">
        <v>0.029</v>
      </c>
      <c r="G2381" t="n">
        <v>0.0781</v>
      </c>
      <c r="H2381" t="inlineStr">
        <is>
          <t>The code you provided is a JavaScript function for adding two numbers together. The functionality of this code can be summarized as follows: it takes in two parameters (numbers), adds them together and returns the result. Its time complexity is O(1) which means that its execution time does not change with an increase in input size. It's used to perform basic arithmetic operation. Now let</t>
        </is>
      </c>
      <c r="I2381" t="n">
        <v>0.0033</v>
      </c>
      <c r="J2381" t="n">
        <v>0.0533</v>
      </c>
      <c r="K2381" t="n">
        <v>0.1095</v>
      </c>
      <c r="L2381" t="inlineStr">
        <is>
          <t>The provided code is a JavaScript implementation of an AI chat widget for customer support using the Docs Bot platform. It creates and inserts a script tag into the HTML document to load the chat functionality from the Docs Bot server. The purpose of this code is to provide real time communication with customers through a live chat interface. 
It uses core algorithms such as Promise for handling async operations</t>
        </is>
      </c>
      <c r="M2381" t="n">
        <v>0.0034</v>
      </c>
      <c r="N2381" t="n">
        <v>0.0513</v>
      </c>
      <c r="O2381" t="n">
        <v>0.1761</v>
      </c>
    </row>
    <row r="2382">
      <c r="A2382" t="inlineStr">
        <is>
          <t>wordpress</t>
        </is>
      </c>
      <c r="B2382" t="inlineStr">
        <is>
          <t>WordPress/src/jetpack/assets/reader_text_events.js</t>
        </is>
      </c>
      <c r="C2382">
        <f>HYPERLINK("https://github.com/wordpress-mobile/WordPress-Android/blob/master/WordPress/src/jetpack/assets/reader_text_events.js")</f>
        <v/>
      </c>
      <c r="D2382" t="inlineStr">
        <is>
          <t>The code provided is a JavaScript implementation that uses the debounce function to limit how often `postMessage` calls are made from the WebView handler (named wvHandler). The debounce function limits the execution of an arbitrary function call by delaying it until after some time has passed without it being called again. In this case, it's used for handling 'selectionchange' and 'copy</t>
        </is>
      </c>
      <c r="E2382" t="n">
        <v>0.003</v>
      </c>
      <c r="F2382" t="n">
        <v>0.0857</v>
      </c>
      <c r="G2382" t="n">
        <v>0.1504</v>
      </c>
      <c r="H2382" t="inlineStr">
        <is>
          <t>The function debounce is used to limit the frequency of a function call in JavaScript. It's often used for event handling where we want to ensure that an action doesn't happen too frequently and instead only when certain conditions are met (like user inactivity). The provided code sets up two listeners on the document - 'selectionchange' and 'copy'. When these events occur, it debounces</t>
        </is>
      </c>
      <c r="I2382" t="n">
        <v>0.0028</v>
      </c>
      <c r="J2382" t="n">
        <v>0.0548</v>
      </c>
      <c r="K2382" t="n">
        <v>0.0735</v>
      </c>
      <c r="L2382" t="inlineStr">
        <is>
          <t>ThegivenJavaScriptsourcecodefilerepresentstheimplementationofaDebouncingtechniqueinconjunctionwithwebsocketcommunication.Itfunctionsbydealingwithuserselectionsmadeindocumentselectionchangedeventsandcopypasteactions.Whentheseeventstrigger,itusesadebouncedfunctiontocallapostMessagemethodontothewebviewobject.Thesemethodsenableinteraction</t>
        </is>
      </c>
      <c r="M2382" t="n">
        <v>0</v>
      </c>
      <c r="N2382" t="n">
        <v>0</v>
      </c>
      <c r="O2382" t="n">
        <v>0</v>
      </c>
    </row>
    <row r="2383">
      <c r="A2383" t="inlineStr">
        <is>
          <t>wordpress</t>
        </is>
      </c>
      <c r="B2383" t="inlineStr">
        <is>
          <t>WordPress/src/jetpack/java/org/wordpress/android/ui/accounts/login/LoginPrologueRevampedViewModel.kt</t>
        </is>
      </c>
      <c r="C2383">
        <f>HYPERLINK("https://github.com/wordpress-mobile/WordPress-Android/blob/master/WordPress/src/jetpack/java/org/wordpress/android/ui/accounts/login/LoginPrologueRevampedViewModel.kt")</f>
        <v/>
      </c>
      <c r="D2383" t="inlineStr">
        <is>
          <t>The provided code is a part of the Android application which uses Dagger Hilt for dependency injection and observes sensor data using Sensor API. The main functionality it provides includes observing sensor events like rotation (PITCH), and tracking user interactions with login prologue view. It also utilizes LiveData to observe changes in UI components' states. This code has been written in Kotlin</t>
        </is>
      </c>
      <c r="E2383" t="n">
        <v>0.0039</v>
      </c>
      <c r="F2383" t="n">
        <v>0.0571</v>
      </c>
      <c r="G2383" t="n">
        <v>0.1119</v>
      </c>
      <c r="H2383" t="inlineStr">
        <is>
          <t>The code provided is a Java function for addition of two numbers `a` and `b`. The functionality it provides includes taking in two parameters (numbers), adding them together, and returning the result. This operation has a time complexity of O(1).
The package statement indicates that this piece of software belongs to an Android application which uses Dagger Hilt as its dependency injection</t>
        </is>
      </c>
      <c r="I2383" t="n">
        <v>0.0042</v>
      </c>
      <c r="J2383" t="n">
        <v>0.0563</v>
      </c>
      <c r="K2383" t="n">
        <v>0.1493</v>
      </c>
      <c r="L2383" t="inlineStr">
        <is>
          <t>ThegivenJavaAndroidsourcecodeincludesaViewModelclassnamedLoginPrologueViewModelthatusesDaggerHILTdependencyinjectionframeworktogetdependencies.Italsohasamethodcalled'trackLoginPrologueShown()',whichtracksalogisticsthatindicateaprogressintotheunifiedloginprocess.Thereismaintennismentoccurringinsid</t>
        </is>
      </c>
      <c r="M2383" t="n">
        <v>0</v>
      </c>
      <c r="N2383" t="n">
        <v>0</v>
      </c>
      <c r="O2383" t="n">
        <v>0</v>
      </c>
    </row>
    <row r="2384">
      <c r="A2384" t="inlineStr">
        <is>
          <t>wordpress</t>
        </is>
      </c>
      <c r="B2384" t="inlineStr">
        <is>
          <t>WordPress/src/jetpack/java/org/wordpress/android/ui/accounts/login/LoginPrologueRevampedFragment.kt</t>
        </is>
      </c>
      <c r="C2384">
        <f>HYPERLINK("https://github.com/wordpress-mobile/WordPress-Android/blob/master/WordPress/src/jetpack/java/org/wordpress/android/ui/accounts/login/LoginPrologueRevampedFragment.kt")</f>
        <v/>
      </c>
      <c r="D2384" t="inlineStr">
        <is>
          <t>The code you've provided appears to be a part of the Android application using Jetpack Compose for UI rendering and LiveData from androidx library for observing data changes in ViewModel classes. The main functionality seems to involve handling login operations with user input validation and error messages display based on different states (e.g., loading state while waiting for server response). It also includes setting up dark</t>
        </is>
      </c>
      <c r="E2384" t="n">
        <v>0.0033</v>
      </c>
      <c r="F2384" t="n">
        <v>0.0526</v>
      </c>
      <c r="G2384" t="n">
        <v>0.0725</v>
      </c>
      <c r="H2384" t="inlineStr">
        <is>
          <t>The code you provided is a Java function for adding two numbers together (`def add(a, b): return a + b`). The functionality of this code is simple math - addition. It takes in two parameters `a` and `b` which are added together to produce the result. This operation has a time complexity of O(1), meaning it performs a constant number of operations regardless</t>
        </is>
      </c>
      <c r="I2384" t="n">
        <v>0.0038</v>
      </c>
      <c r="J2384" t="n">
        <v>0.0563</v>
      </c>
      <c r="K2384" t="n">
        <v>0.1111</v>
      </c>
      <c r="L2384" t="inlineStr">
        <is>
          <t>Thegivencodefileappears to be implementing a login screen for an Android application using Jetpack Compose. The main purpose of the code is to display a UI component that allows users to enter their credentials (username and password) into text fields. It also includes validation logic to ensure both fields are filled before allowing submission.
The inputs would include user input in these two text fields</t>
        </is>
      </c>
      <c r="M2384" t="n">
        <v>0.0028</v>
      </c>
      <c r="N2384" t="n">
        <v>0.0833</v>
      </c>
      <c r="O2384" t="n">
        <v>0.1103</v>
      </c>
    </row>
    <row r="2385">
      <c r="A2385" t="inlineStr">
        <is>
          <t>wordpress</t>
        </is>
      </c>
      <c r="B2385" t="inlineStr">
        <is>
          <t>WordPress/src/jetpack/java/org/wordpress/android/ui/accounts/login/components/RepeatingColumn.kt</t>
        </is>
      </c>
      <c r="C2385">
        <f>HYPERLINK("https://github.com/wordpress-mobile/WordPress-Android/blob/master/WordPress/src/jetpack/java/org/wordpress/android/ui/accounts/login/components/RepeatingColumn.kt")</f>
        <v/>
      </c>
      <c r="D2385" t="inlineStr">
        <is>
          <t>```
The provided code is a Jetpack Compose composable function named `RepeatingColumn` that accepts four parameters - an offset position for the content (which defaults to 0), a modifier object, number of times to repeat the child composable (defaults to 3), and README information about this repository. The complexity of this implementation is O(n) where</t>
        </is>
      </c>
      <c r="E2385" t="n">
        <v>0.0033</v>
      </c>
      <c r="F2385" t="n">
        <v>0.0645</v>
      </c>
      <c r="G2385" t="n">
        <v>0.1575</v>
      </c>
      <c r="H2385" t="inlineStr">
        <is>
          <t>The provided code is a Composable function in Jetpack Compose that accepts two parameters - `position` and `repeat`. The purpose of this composable is to repeat a child composable (which defaults to Column) for the specified number of times (three by default), offsetting each repetition from position on the vertical axis. This negative direction indicates downward movement towards larger y</t>
        </is>
      </c>
      <c r="I2385" t="n">
        <v>0.0036</v>
      </c>
      <c r="J2385" t="n">
        <v>0.0597</v>
      </c>
      <c r="K2385" t="n">
        <v>0.1136</v>
      </c>
      <c r="L2385" t="inlineStr">
        <is>
          <t>&lt;!-- This composable accepts a child composable and repeats that composable `repeat` times (default 3) in a column. It places the resulting column at position offset by `position`, then moves it negatively on the vertical axis. The repeat parameter is useful to ensure content still fills the screen when offset by the entire height of repeated child composables. --&gt;</t>
        </is>
      </c>
      <c r="M2385" t="n">
        <v>0.0037</v>
      </c>
      <c r="N2385" t="n">
        <v>0.0615</v>
      </c>
      <c r="O2385" t="n">
        <v>0.1145</v>
      </c>
    </row>
    <row r="2386">
      <c r="A2386" t="inlineStr">
        <is>
          <t>wordpress</t>
        </is>
      </c>
      <c r="B2386" t="inlineStr">
        <is>
          <t>WordPress/src/jetpack/java/org/wordpress/android/ui/accounts/login/components/LoopingText.kt</t>
        </is>
      </c>
      <c r="C2386">
        <f>HYPERLINK("https://github.com/wordpress-mobile/WordPress-Android/blob/master/WordPress/src/jetpack/java/org/wordpress/android/ui/accounts/login/components/LoopingText.kt")</f>
        <v/>
      </c>
      <c r="D2386" t="inlineStr">
        <is>
          <t>The provided code appears to be a part of an Android application using Jetpack Compose for UI development. It seems to contain functionalities related to user login and account management in the WordPress platform. The main component is likely a composable function that displays text with different styles (e.g., font weight, color), possibly indicating some status or information about the current state of the</t>
        </is>
      </c>
      <c r="E2386" t="n">
        <v>0.0028</v>
      </c>
      <c r="F2386" t="n">
        <v>0.0548</v>
      </c>
      <c r="G2386" t="n">
        <v>0.0735</v>
      </c>
      <c r="H2386" t="inlineStr">
        <is>
          <t>The provided code is a simple addition function in Java named "add". It takes two parameters and returns their sum. The time complexity of this operation is O(1), meaning it performs the same number of operations regardless of input size.
In summary, this function adds two numbers together. Now summarize: Code:```java
public int add(int a, int b){</t>
        </is>
      </c>
      <c r="I2386" t="n">
        <v>0.0032</v>
      </c>
      <c r="J2386" t="n">
        <v>0.0588</v>
      </c>
      <c r="K2386" t="n">
        <v>0.1163</v>
      </c>
      <c r="L2386" t="inlineStr">
        <is>
          <t>Thegivensourcecodefileappears to be a Composable function in an Android application that is used for displaying text with custom styling and formatting options. The main purpose of this code seems to be the implementation of core algorithms related to handling different types of texts (e.g., bold, italic, underlined) within a composable UI component. 
It takes</t>
        </is>
      </c>
      <c r="M2386" t="n">
        <v>0.004</v>
      </c>
      <c r="N2386" t="n">
        <v>0.09520000000000001</v>
      </c>
      <c r="O2386" t="n">
        <v>0.1984</v>
      </c>
    </row>
    <row r="2387">
      <c r="A2387" t="inlineStr">
        <is>
          <t>wordpress</t>
        </is>
      </c>
      <c r="B2387" t="inlineStr">
        <is>
          <t>WordPress/src/jetpack/java/org/wordpress/android/ui/accounts/login/components/LoopingTextWithBackground.kt</t>
        </is>
      </c>
      <c r="C2387">
        <f>HYPERLINK("https://github.com/wordpress-mobile/WordPress-Android/blob/master/WordPress/src/jetpack/java/org/wordpress/android/ui/accounts/login/components/LoopingTextWithBackground.kt")</f>
        <v/>
      </c>
      <c r="D2387" t="inlineStr">
        <is>
          <t>The provided code is a Composable function named LoopingTextWithBackground in the Android application's UI package for WordPress. This function takes two parameters - modifiers and blurModifier which are used to modify its appearance or behavior respectively. It returns a Box composable with some layout properties applied on it such as fillMaxSize, padding etc., and also uses background color resource from AppTheme</t>
        </is>
      </c>
      <c r="E2387" t="n">
        <v>0.0036</v>
      </c>
      <c r="F2387" t="n">
        <v>0.08699999999999999</v>
      </c>
      <c r="G2387" t="n">
        <v>0.1128</v>
      </c>
      <c r="H2387" t="inlineStr">
        <is>
          <t>The provided code is a Composable function in Jetpack Compose that displays text with a background and applies blur effect to it. It takes two parameters - modifier for Box layout and blurModifier for applying the blur effect on the content inside the box. The complexity of this operation can be considered as O(1), meaning it performs constant time operations regardless of input size.</t>
        </is>
      </c>
      <c r="I2387" t="n">
        <v>0.0028</v>
      </c>
      <c r="J2387" t="n">
        <v>0.0556</v>
      </c>
      <c r="K2387" t="n">
        <v>0.1471</v>
      </c>
      <c r="L2387" t="inlineStr">
        <is>
          <t>The provided code is a Composable function named "LoopingTextWithBackground" that takes two parameters - modifiers for the Box layout and blur modifiers. The purpose of this function seems to be to display text in a loop with a background image or color applied using Compose UI. It uses various operations such as setting semantics, painting images/colors, applying layouts etc.</t>
        </is>
      </c>
      <c r="M2387" t="n">
        <v>0.0031</v>
      </c>
      <c r="N2387" t="n">
        <v>0.0597</v>
      </c>
      <c r="O2387" t="n">
        <v>0.1145</v>
      </c>
    </row>
    <row r="2388">
      <c r="A2388" t="inlineStr">
        <is>
          <t>wordpress</t>
        </is>
      </c>
      <c r="B2388" t="inlineStr">
        <is>
          <t>WordPress/src/jetpack/java/org/wordpress/android/ui/accounts/login/components/PrimaryButton.kt</t>
        </is>
      </c>
      <c r="C2388">
        <f>HYPERLINK("https://github.com/wordpress-mobile/WordPress-Android/blob/master/WordPress/src/jetpack/java/org/wordpress/android/ui/accounts/login/components/PrimaryButton.kt")</f>
        <v/>
      </c>
      <c r="D2388" t="inlineStr">
        <is>
          <t>The provided code is a Composable function `funPrimaryButton` that represents a primary button in Jetpack Compose UI. It takes two parameters - an onClick event handler and modifiers for layout customization. The button has no content defined within the function body as it's using default children components of Button from Material 3 library such as Text. When clicked, this button will</t>
        </is>
      </c>
      <c r="E2388" t="n">
        <v>0.003</v>
      </c>
      <c r="F2388" t="n">
        <v>0.058</v>
      </c>
      <c r="G2388" t="n">
        <v>0.1128</v>
      </c>
      <c r="H2388" t="inlineStr">
        <is>
          <t>The code you provided is a Composable function in Jetpack Compose for Android that represents a primary button with an on-click event and modifiers. It uses the Material 3 library's Button component to create this UI element. The complexity of this function is O(1), as it performs a constant amount of work regardless of input size.
Here's a</t>
        </is>
      </c>
      <c r="I2388" t="n">
        <v>0.0031</v>
      </c>
      <c r="J2388" t="n">
        <v>0.0571</v>
      </c>
      <c r="K2388" t="n">
        <v>0.1154</v>
      </c>
      <c r="L2388" t="inlineStr">
        <is>
          <t>The provided code is a Composable function named `FunPrimaryButton` which serves as the primary button component in an Android application using Jetpack Compose for UI development. It takes two parameters - `onClick` and `modifier`. 
The purpose of this function is to create a Material Design compliant Button with elevated elevation that triggers an action when clicked</t>
        </is>
      </c>
      <c r="M2388" t="n">
        <v>0.0033</v>
      </c>
      <c r="N2388" t="n">
        <v>0.0635</v>
      </c>
      <c r="O2388" t="n">
        <v>0.1172</v>
      </c>
    </row>
    <row r="2389">
      <c r="A2389" t="inlineStr">
        <is>
          <t>wordpress</t>
        </is>
      </c>
      <c r="B2389" t="inlineStr">
        <is>
          <t>WordPress/src/jetpack/java/org/wordpress/android/ui/accounts/login/components/WordpressJetpackLogo.kt</t>
        </is>
      </c>
      <c r="C2389">
        <f>HYPERLINK("https://github.com/wordpress-mobile/WordPress-Android/blob/master/WordPress/src/jetpack/java/org/wordpress/android/ui/accounts/login/components/WordpressJetpackLogo.kt")</f>
        <v/>
      </c>
      <c r="D2389" t="inlineStr">
        <is>
          <t>The provided code is a Jetpack Compose function named `WordpressJetpackLogo` that displays the WordPress and Jetpack logos in an image view using Android's compose UI library. The images are loaded from resources (R.drawable.ic_wordpress_jetpack_welcome). 
It takes one parameter 'modifier</t>
        </is>
      </c>
      <c r="E2389" t="n">
        <v>0.0049</v>
      </c>
      <c r="F2389" t="n">
        <v>0.0769</v>
      </c>
      <c r="G2389" t="n">
        <v>0.09089999999999999</v>
      </c>
      <c r="H2389" t="inlineStr">
        <is>
          <t>The provided code is a Composable function in Jetpack Compose for Android that displays the WordPress Jetpack logo using an Image component from Jetpack Compose. The complexity of this function appears to be O(1). It takes two parameters - 'a' and 'b', adds them together, and returns the result. This operation does not depend on any external factors or data</t>
        </is>
      </c>
      <c r="I2389" t="n">
        <v>0.0036</v>
      </c>
      <c r="J2389" t="n">
        <v>0.0882</v>
      </c>
      <c r="K2389" t="n">
        <v>0.1136</v>
      </c>
      <c r="L2389" t="inlineStr">
        <is>
          <t>The provided code is a Composable function called "WordpressJetpackLogo" in the Android application's login components package. This function displays an image of WordPress Jetpack logo using compose UI elements from androidx library. The purpose of this function seems to be to provide visual cues or branding for the app during its onboarding process.</t>
        </is>
      </c>
      <c r="M2389" t="n">
        <v>0.0035</v>
      </c>
      <c r="N2389" t="n">
        <v>0.0645</v>
      </c>
      <c r="O2389" t="n">
        <v>0.08</v>
      </c>
    </row>
    <row r="2390">
      <c r="A2390" t="inlineStr">
        <is>
          <t>wordpress</t>
        </is>
      </c>
      <c r="B2390" t="inlineStr">
        <is>
          <t>WordPress/src/jetpack/java/org/wordpress/android/ui/accounts/login/components/SecondaryButton.kt</t>
        </is>
      </c>
      <c r="C2390">
        <f>HYPERLINK("https://github.com/wordpress-mobile/WordPress-Android/blob/master/WordPress/src/jetpack/java/org/wordpress/android/ui/accounts/login/components/SecondaryButton.kt")</f>
        <v/>
      </c>
      <c r="D2390" t="inlineStr">
        <is>
          <t>The provided code is a Composable function for creating a secondary button in Jetpack Compose. It takes two parameters - an onClick callback and modifiers to customize the appearance of the button. The button has no elevation when not pressed (`ButtonDefaults.buttonElevation(defaultElevation = 0.dp, pressedElevation = README)`). When</t>
        </is>
      </c>
      <c r="E2390" t="n">
        <v>0.0039</v>
      </c>
      <c r="F2390" t="n">
        <v>0.0727</v>
      </c>
      <c r="G2390" t="n">
        <v>0.08400000000000001</v>
      </c>
      <c r="H2390" t="inlineStr">
        <is>
          <t>The provided code is a Composable function in Android Jetpack Compose for creating a secondary button with an on-click event and customizable modifiers. The complexity of this code snippet is O(1), as it performs only one operation (creating the button). It does not depend on any external factors such as input size or other variables to perform its operations. This means</t>
        </is>
      </c>
      <c r="I2390" t="n">
        <v>0.0036</v>
      </c>
      <c r="J2390" t="n">
        <v>0.0563</v>
      </c>
      <c r="K2390" t="n">
        <v>0.1128</v>
      </c>
      <c r="L2390" t="inlineStr">
        <is>
          <t>The provided code snippet is a Composable function named `SecondaryButton` in the Android application's UI package for handling secondary buttons with custom click events and modifiers. 
It takes two parameters - an onClick event handler that triggers when the button is clicked (required) and a Modifier object to modify its appearance or behavior (optional). The default</t>
        </is>
      </c>
      <c r="M2390" t="n">
        <v>0.0033</v>
      </c>
      <c r="N2390" t="n">
        <v>0.0625</v>
      </c>
      <c r="O2390" t="n">
        <v>0.0781</v>
      </c>
    </row>
    <row r="2391">
      <c r="A2391" t="inlineStr">
        <is>
          <t>wordpress</t>
        </is>
      </c>
      <c r="B2391" t="inlineStr">
        <is>
          <t>WordPress/src/jetpack/java/org/wordpress/android/ui/accounts/login/components/TopLinearGradient.kt</t>
        </is>
      </c>
      <c r="C2391">
        <f>HYPERLINK("https://github.com/wordpress-mobile/WordPress-Android/blob/master/WordPress/src/jetpack/java/org/wordpress/android/ui/accounts/login/components/TopLinearGradient.kt")</f>
        <v/>
      </c>
      <c r="D2391" t="inlineStr">
        <is>
          <t>The provided code is a Composable function named TopLinearGradient that uses Jetpack Compose to display an image as the top gradient of a screen or layout. The image used here is 'bg_jetpack_login_splash_top_gradient'. 
It takes in one parameter modifier which allows for modification and customization of its appearance on different</t>
        </is>
      </c>
      <c r="E2391" t="n">
        <v>0.0037</v>
      </c>
      <c r="F2391" t="n">
        <v>0.0645</v>
      </c>
      <c r="G2391" t="n">
        <v>0.08260000000000001</v>
      </c>
      <c r="H2391" t="inlineStr">
        <is>
          <t>The provided code is a Composable function in Jetpack Compose that displays an image with the top part of the screen filled by a linear gradient from left to right using R.drawable.bg_jetpack_login_splash_top_gradient as its source. The complexity of this operation is O(1). It uses Image component for displaying the image and Modifier for</t>
        </is>
      </c>
      <c r="I2391" t="n">
        <v>0.0035</v>
      </c>
      <c r="J2391" t="n">
        <v>0.058</v>
      </c>
      <c r="K2391" t="n">
        <v>0.12</v>
      </c>
      <c r="L2391" t="inlineStr">
        <is>
          <t>ThegivencodeisacomposablesubcomponentwhichdisplaysatoplineargradientimageusingaJetpackComposeframework.Itusesacustomdrawnabledesignresourceforgradientspecification.Theimagehasafillmaxwidthpropertysettofullscreenwidthandhalfheightusedforbottompaddingrepresentedby'0.82'.Thereisalsoapreviewannotationattachedtow</t>
        </is>
      </c>
      <c r="M2391" t="n">
        <v>0</v>
      </c>
      <c r="N2391" t="n">
        <v>0</v>
      </c>
      <c r="O2391" t="n">
        <v>0</v>
      </c>
    </row>
    <row r="2392">
      <c r="A2392" t="inlineStr">
        <is>
          <t>wordpress</t>
        </is>
      </c>
      <c r="B2392" t="inlineStr">
        <is>
          <t>WordPress/src/jetpack/java/org/wordpress/android/util/MissingSplitsUtils.kt</t>
        </is>
      </c>
      <c r="C2392">
        <f>HYPERLINK("https://github.com/wordpress-mobile/WordPress-Android/blob/master/WordPress/src/jetpack/java/org/wordpress/android/util/MissingSplitsUtils.kt")</f>
        <v/>
      </c>
      <c r="D2392" t="inlineStr">
        <is>
          <t>The provided code is a function named `isMissingSplits` which checks if there are missing resource splits in the Android application by trying to access a drawable resource (`R.drawable.bg_jetpack_login_splash`). If this resource cannot be found during runtime, it indicates that there might be missing resources or asset files due to side-</t>
        </is>
      </c>
      <c r="E2392" t="n">
        <v>0</v>
      </c>
      <c r="F2392" t="n">
        <v>0.0317</v>
      </c>
      <c r="G2392" t="n">
        <v>0.082</v>
      </c>
      <c r="H2392" t="inlineStr">
        <is>
          <t>The given code is a function that checks if there are missing splits in the application by trying to access an image resource from R class of Android app. If it fails with NotFoundException then it indicates that there might be some missing resources or split configurations. The complexity here is O(1), as we're just accessing one constant value and not iterating over any data structure.</t>
        </is>
      </c>
      <c r="I2392" t="n">
        <v>0.0028</v>
      </c>
      <c r="J2392" t="n">
        <v>0.0526</v>
      </c>
      <c r="K2392" t="n">
        <v>0.0725</v>
      </c>
      <c r="L2392" t="inlineStr">
        <is>
          <t>The provided code is a function in Kotlin that checks if there are missing splits for the app by trying to access a drawable resource with R.drawable.bg_jetpack_login_splash id from an Android application's resources using context object. If it fails due to Resources.NotFoundException (which means the resource does not exist or has been removed during side loading</t>
        </is>
      </c>
      <c r="M2392" t="n">
        <v>0</v>
      </c>
      <c r="N2392" t="n">
        <v>0.0282</v>
      </c>
      <c r="O2392" t="n">
        <v>0.0391</v>
      </c>
    </row>
    <row r="2393">
      <c r="A2393" t="inlineStr">
        <is>
          <t>wordpress</t>
        </is>
      </c>
      <c r="B2393" t="inlineStr">
        <is>
          <t>WordPress/src/jetpack/java/org/wordpress/android/util/config/InAppUpdateBlockingVersionConfigConstants.kt</t>
        </is>
      </c>
      <c r="C2393">
        <f>HYPERLINK("https://github.com/wordpress-mobile/WordPress-Android/blob/master/WordPress/src/jetpack/java/org/wordpress/android/util/config/InAppUpdateBlockingVersionConfigConstants.kt")</f>
        <v/>
      </c>
      <c r="D2393" t="inlineStr">
        <is>
          <t>The provided code is a constant value named `IN_APP_UPDATE_BLOCKING_VERSION_REMOTE_FIELD` which represents the field name for in-app update blocking version in remote configuration of an android application. It's defined as "jp_in_app_update_blocking_version_android". This means that any updates to this</t>
        </is>
      </c>
      <c r="E2393" t="n">
        <v>0.005</v>
      </c>
      <c r="F2393" t="n">
        <v>0.0339</v>
      </c>
      <c r="G2393" t="n">
        <v>0.0459</v>
      </c>
      <c r="H2393" t="inlineStr">
        <is>
          <t>The provided code is a constant value assignment in Java for the field "jp_in_app_update_blocking_version_android". It's used to prevent updates from versions that may block app functionality. The complexity of this operation is O(1), meaning it takes a fixed amount of time regardless of input size.
Here are some key details about the implementation:</t>
        </is>
      </c>
      <c r="I2393" t="n">
        <v>0</v>
      </c>
      <c r="J2393" t="n">
        <v>0.058</v>
      </c>
      <c r="K2393" t="n">
        <v>0.08</v>
      </c>
      <c r="L2393" t="inlineStr">
        <is>
          <t>The provided code is a constant value named "jp_in_app_update_blocking_version_android". This constant represents the version of an in-app update blocking system for WordPress Android app. It's used to prevent updates from being blocked by older versions of the software. The purpose of this code seems to be managing and controlling the behavior related to updating applications on mobile devices</t>
        </is>
      </c>
      <c r="M2393" t="n">
        <v>0.0037</v>
      </c>
      <c r="N2393" t="n">
        <v>0.08110000000000001</v>
      </c>
      <c r="O2393" t="n">
        <v>0.1154</v>
      </c>
    </row>
    <row r="2394">
      <c r="A2394" t="inlineStr">
        <is>
          <t>wordpress</t>
        </is>
      </c>
      <c r="B2394" t="inlineStr">
        <is>
          <t>WordPress/src/debug/java/org/wordpress/android/WPWellSqlConfig.kt</t>
        </is>
      </c>
      <c r="C2394">
        <f>HYPERLINK("https://github.com/wordpress-mobile/WordPress-Android/blob/master/WordPress/src/debug/java/org/wordpress/android/WPWellSqlConfig.kt")</f>
        <v/>
      </c>
      <c r="D2394" t="inlineStr">
        <is>
          <t>```kotlin
// Summary of the code
/* This class extends WellSqlConfig and overrides onDowngrade method to detect if database is downgraded in debug builds 
   and recreate all tables when build flag is set. It's used for avoiding hassles related to dev switching branches, clearing storage 
   and logging back in due to version</t>
        </is>
      </c>
      <c r="E2394" t="n">
        <v>0.0042</v>
      </c>
      <c r="F2394" t="n">
        <v>0.0678</v>
      </c>
      <c r="G2394" t="n">
        <v>0.121</v>
      </c>
      <c r="H2394" t="inlineStr">
        <is>
          <t>The code you've provided appears to be a Java class that extends the WellSqlConfig class from the well-sql library for Android development. This class is designed to handle database configuration and downgrades in debug builds of an application. 
In this specific instance, it overrides the onDowngrade() method which gets called when there's a version mismatch between the current database</t>
        </is>
      </c>
      <c r="I2394" t="n">
        <v>0.0037</v>
      </c>
      <c r="J2394" t="n">
        <v>0.0571</v>
      </c>
      <c r="K2394" t="n">
        <v>0.07630000000000001</v>
      </c>
      <c r="L2394" t="inlineStr">
        <is>
          <t>&lt;!-- This is a concise and clear summary of the functionality of the provided code --&gt;
```java
public class RasAndroidRclassWPWellSqlConfig extends WellSqlConfig {
    /** 
     * Detect when the database is downgraded in debug builds. If the build flag is set, recreate all tables
     * and show toast alert</t>
        </is>
      </c>
      <c r="M2394" t="n">
        <v>0.005</v>
      </c>
      <c r="N2394" t="n">
        <v>0.12</v>
      </c>
      <c r="O2394" t="n">
        <v>0.125</v>
      </c>
    </row>
    <row r="2395">
      <c r="A2395" t="inlineStr">
        <is>
          <t>wordpress</t>
        </is>
      </c>
      <c r="B2395" t="inlineStr">
        <is>
          <t>WordPress/src/debug/java/org/wordpress/android/WordPressDebug.kt</t>
        </is>
      </c>
      <c r="C2395">
        <f>HYPERLINK("https://github.com/wordpress-mobile/WordPress-Android/blob/master/WordPress/src/debug/java/org/wordpress/android/WordPressDebug.kt")</f>
        <v/>
      </c>
      <c r="D2395" t="inlineStr">
        <is>
          <t>The provided code is for enabling Strict Mode in an Android application using Dagger Hilt. This mode is used primarily during testing to detect potential issues with the app's multithreading and disk I/O operations. It should NEVER be enabled on a release build as it can cause performance degradation or security vulnerabilities. The function `enableStrictMode` sets these policies by logging</t>
        </is>
      </c>
      <c r="E2395" t="n">
        <v>0.0036</v>
      </c>
      <c r="F2395" t="n">
        <v>0.0571</v>
      </c>
      <c r="G2395" t="n">
        <v>0.1136</v>
      </c>
      <c r="H2395" t="inlineStr">
        <is>
          <t>The code you provided is a simple addition function in Python named `add` that takes two parameters and returns their sum. The time complexity of this operation is O(1), meaning it always executes in the same amount of time regardless of the input size.
In Android Java code, there's an import statement for Dagger Hilt which provides dependency injection capabilities to your application.</t>
        </is>
      </c>
      <c r="I2395" t="n">
        <v>0.0029</v>
      </c>
      <c r="J2395" t="n">
        <v>0.0548</v>
      </c>
      <c r="K2395" t="n">
        <v>0.1111</v>
      </c>
      <c r="L2395" t="inlineStr">
        <is>
          <t>The provided code is a part of the WordPress Android application's debug build configuration. The main purpose of this class seems to be enabling "strict mode", which is used for testing and should not be enabled in release builds. It does so by detecting disk reads/writes or network activities that may lead to potential issues with the app performance or security. This information can help developers understand how strict</t>
        </is>
      </c>
      <c r="M2395" t="n">
        <v>0.0031</v>
      </c>
      <c r="N2395" t="n">
        <v>0.0506</v>
      </c>
      <c r="O2395" t="n">
        <v>0.1064</v>
      </c>
    </row>
    <row r="2396">
      <c r="A2396" t="inlineStr">
        <is>
          <t>wordpress</t>
        </is>
      </c>
      <c r="B2396" t="inlineStr">
        <is>
          <t>WordPress/src/debug/java/org/wordpress/android/testing/OpenForTesting.kt</t>
        </is>
      </c>
      <c r="C2396">
        <f>HYPERLINK("https://github.com/wordpress-mobile/WordPress-Android/blob/master/WordPress/src/debug/java/org/wordpress/android/testing/OpenForTesting.kt")</f>
        <v/>
      </c>
      <c r="D2396" t="inlineStr">
        <is>
          <t>The code provided is an annotation class named `OpenClassAnnotation` that can be used to annotate classes in a debug build only for mocking purposes while these are final in release builds. It also contains another annotation class called `OpenForTesting` which when applied to a class allows it to be extendable in debug builds. The repository consists of backend software components implementing core algorithms.</t>
        </is>
      </c>
      <c r="E2396" t="n">
        <v>0.0034</v>
      </c>
      <c r="F2396" t="n">
        <v>0.08450000000000001</v>
      </c>
      <c r="G2396" t="n">
        <v>0.2338</v>
      </c>
      <c r="H2396" t="inlineStr">
        <is>
          <t>The code provided is a Java annotation class named `OpenForTesting` that can be used to annotate classes for testing purposes in debug builds only. The target of this annotation is the CLASS level and it allows the final fields or methods within these classes to be opened for testings. This means they are extendable in release builds but not accessible during tests.
In contrast, there</t>
        </is>
      </c>
      <c r="I2396" t="n">
        <v>0.0033</v>
      </c>
      <c r="J2396" t="n">
        <v>0.0548</v>
      </c>
      <c r="K2396" t="n">
        <v>0.1095</v>
      </c>
      <c r="L2396" t="inlineStr">
        <is>
          <t>The provided code is an annotation class named "OpenForTesting" that can be used to annotate classes in a debug build for testing purposes only and should not be accessible or extendable in release builds. The purpose of this annotation appears to be to facilitate the process of unit testing by allowing certain classes to remain open during debugging but closed when deploying the application. This functionality could potentially improve</t>
        </is>
      </c>
      <c r="M2396" t="n">
        <v>0.0035</v>
      </c>
      <c r="N2396" t="n">
        <v>0.0519</v>
      </c>
      <c r="O2396" t="n">
        <v>0.1064</v>
      </c>
    </row>
    <row r="2397">
      <c r="A2397" t="inlineStr">
        <is>
          <t>wordpress</t>
        </is>
      </c>
      <c r="B2397" t="inlineStr">
        <is>
          <t>WordPress/src/wordpress/java/org/wordpress/android/ui/accounts/login/LoginPrologueRevampedFragment.kt</t>
        </is>
      </c>
      <c r="C2397">
        <f>HYPERLINK("https://github.com/wordpress-mobile/WordPress-Android/blob/master/WordPress/src/wordpress/java/org/wordpress/android/ui/accounts/login/LoginPrologueRevampedFragment.kt")</f>
        <v/>
      </c>
      <c r="D2397" t="inlineStr">
        <is>
          <t>The provided code is a part of the Android application's user interface for logging into an account using Jetpack Compose. The summary can be as follows: 
- It imports necessary libraries and classes such as Context, Bundle, LayoutInflater etc., which are used to handle various tasks related to UI components in Android applications.
-</t>
        </is>
      </c>
      <c r="E2397" t="n">
        <v>0.0034</v>
      </c>
      <c r="F2397" t="n">
        <v>0.0328</v>
      </c>
      <c r="G2397" t="n">
        <v>0.0794</v>
      </c>
      <c r="H2397" t="inlineStr">
        <is>
          <t>The code provided is a simple function for addition in Python named `add`. It takes two parameters (numbers), adds them together and returns the result. The time complexity of this operation is O(1).
Next, there's an example from Android Compose UI where it creates a custom view with some layout constraints using Jetpack Compose. This component displays a column</t>
        </is>
      </c>
      <c r="I2397" t="n">
        <v>0.0037</v>
      </c>
      <c r="J2397" t="n">
        <v>0.058</v>
      </c>
      <c r="K2397" t="n">
        <v>0.1145</v>
      </c>
      <c r="L2397" t="inlineStr">
        <is>
          <t>The provided code appears to be a Composable function in Kotlin/Android that is used for creating the login screen of an Android application using Jetpack Compose. The purpose of this code seems to be to display a form where users can input their credentials (username and password) and submit it via a button click event. 
Here's a concise summary focusing</t>
        </is>
      </c>
      <c r="M2397" t="n">
        <v>0.003</v>
      </c>
      <c r="N2397" t="n">
        <v>0.0571</v>
      </c>
      <c r="O2397" t="n">
        <v>0.1136</v>
      </c>
    </row>
    <row r="2398">
      <c r="A2398" t="inlineStr">
        <is>
          <t>wordpress</t>
        </is>
      </c>
      <c r="B2398" t="inlineStr">
        <is>
          <t>WordPress/src/wordpress/java/org/wordpress/android/ui/accounts/login/LoginPrologueViewModel.kt</t>
        </is>
      </c>
      <c r="C2398">
        <f>HYPERLINK("https://github.com/wordpress-mobile/WordPress-Android/blob/master/WordPress/src/wordpress/java/org/wordpress/android/ui/accounts/login/LoginPrologueViewModel.kt")</f>
        <v/>
      </c>
      <c r="D2398" t="inlineStr">
        <is>
          <t>The provided code is a ViewModel class named LoginPrologueViewModel in the package org.wordpress.android.ui.accounts.login which extends Android's ViewModel class from androidx.lifecycle library. The @Inject annotation indicates that this view model will be injected by Dagger 2 dependency injection framework. It does not contain any specific functionality at</t>
        </is>
      </c>
      <c r="E2398" t="n">
        <v>0.004</v>
      </c>
      <c r="F2398" t="n">
        <v>0.06560000000000001</v>
      </c>
      <c r="G2398" t="n">
        <v>0.0847</v>
      </c>
      <c r="H2398" t="inlineStr">
        <is>
          <t>The provided code is a ViewModel class in Kotlin that uses the @Inject annotation to be managed by Dagger 2. It's part of an Android application and it serves as a prologue for user login. The function add isn't defined here but presumably would perform some kind of addition operation on two numbers.
The complexity of this piece of code</t>
        </is>
      </c>
      <c r="I2398" t="n">
        <v>0.003</v>
      </c>
      <c r="J2398" t="n">
        <v>0.0286</v>
      </c>
      <c r="K2398" t="n">
        <v>0.1136</v>
      </c>
      <c r="L2398" t="inlineStr">
        <is>
          <t>The provided code is a ViewModel class for handling login prologues in an Android application using Kotlin and the Dagger library for dependency injection. The main purpose of this class is to manage the state related to user logins such as authentication status and error messages. It observes changes in data sources (like network responses) and updates its internal states accordingly. This ViewModel has two observable</t>
        </is>
      </c>
      <c r="M2398" t="n">
        <v>0.0033</v>
      </c>
      <c r="N2398" t="n">
        <v>0.0541</v>
      </c>
      <c r="O2398" t="n">
        <v>0.1087</v>
      </c>
    </row>
    <row r="2399">
      <c r="A2399" t="inlineStr">
        <is>
          <t>wordpress</t>
        </is>
      </c>
      <c r="B2399" t="inlineStr">
        <is>
          <t>WordPress/src/wordpress/java/org/wordpress/android/ui/accounts/login/compose/components/PrimaryButton.kt</t>
        </is>
      </c>
      <c r="C2399">
        <f>HYPERLINK("https://github.com/wordpress-mobile/WordPress-Android/blob/master/WordPress/src/wordpress/java/org/wordpress/android/ui/accounts/login/compose/components/PrimaryButton.kt")</f>
        <v/>
      </c>
      <c r="D2399" t="inlineStr">
        <is>
          <t>The provided code appears to be part of a larger system and it doesn't seem to contain any actual functionalities or components that can be summarized in detail due to the lack of specific details about what is being implemented with this package/class. It may include some UI Components for login functionality using Jetpack Compose library from Android development platform. The code imports various necessary libraries like</t>
        </is>
      </c>
      <c r="E2399" t="n">
        <v>0.0032</v>
      </c>
      <c r="F2399" t="n">
        <v>0.0519</v>
      </c>
      <c r="G2399" t="n">
        <v>0.1439</v>
      </c>
      <c r="H2399" t="inlineStr">
        <is>
          <t>The provided code is a simple function named "add" that takes two parameters and returns their sum. It has a time complexity of O(1), meaning it performs a constant number of operations regardless of the input size. The function doesn't repeat any code or use complex algorithms.
Here is its summary in detail: 
- Function Name: add
- Input Parameters:</t>
        </is>
      </c>
      <c r="I2399" t="n">
        <v>0.003</v>
      </c>
      <c r="J2399" t="n">
        <v>0.0588</v>
      </c>
      <c r="K2399" t="n">
        <v>0.07580000000000001</v>
      </c>
      <c r="L2399" t="inlineStr">
        <is>
          <t>ThegivenKotlin/JVM code represents a Composable function named "LoginButton". This button is used for user authentication in the Android application. It takes two parameters - 'modifier' and 'onClick'. The modifier allows customization of layout properties like size or padding while onClick defines what happens when this button is clicked (i.e., it triggers an action).</t>
        </is>
      </c>
      <c r="M2399" t="n">
        <v>0.0041</v>
      </c>
      <c r="N2399" t="n">
        <v>0.0645</v>
      </c>
      <c r="O2399" t="n">
        <v>0.12</v>
      </c>
    </row>
    <row r="2400">
      <c r="A2400" t="inlineStr">
        <is>
          <t>wordpress</t>
        </is>
      </c>
      <c r="B2400" t="inlineStr">
        <is>
          <t>WordPress/src/wordpress/java/org/wordpress/android/ui/accounts/login/compose/components/Tagline.kt</t>
        </is>
      </c>
      <c r="C2400">
        <f>HYPERLINK("https://github.com/wordpress-mobile/WordPress-Android/blob/master/WordPress/src/wordpress/java/org/wordpress/android/ui/accounts/login/compose/components/Tagline.kt")</f>
        <v/>
      </c>
      <c r="D2400" t="inlineStr">
        <is>
          <t>The provided code is a Composable function in Kotlin used for displaying user profile information with an avatar image and username using Jetpack Compose library from Android. The `UserProfile` composable takes two parameters - `avatarUrl` (URL of the user's avatar), and `username` (user name). 
It uses Material Design</t>
        </is>
      </c>
      <c r="E2400" t="n">
        <v>0.0038</v>
      </c>
      <c r="F2400" t="n">
        <v>0.07140000000000001</v>
      </c>
      <c r="G2400" t="n">
        <v>0.0833</v>
      </c>
      <c r="H2400" t="inlineStr">
        <is>
          <t>The provided code is a simple function that adds two numbers together and returns the result. The complexity of this operation is O(1), meaning it takes constant time to perform regardless of the size of the input data.
```kotlin
fun add(a: Int, b: Int): Int {
    return a + b
}
```
In this Kot</t>
        </is>
      </c>
      <c r="I2400" t="n">
        <v>0.0033</v>
      </c>
      <c r="J2400" t="n">
        <v>0.06560000000000001</v>
      </c>
      <c r="K2400" t="n">
        <v>0.1181</v>
      </c>
      <c r="L2400" t="inlineStr">
        <is>
          <t>The provided code is a Composable function in an Android application that displays a user's profile picture and name as well as their email address if available. The purpose of this component is to provide users with a clear overview of their account information. 
It takes two parameters - 'userName', which represents the username or display name of the user, and 'profileP</t>
        </is>
      </c>
      <c r="M2400" t="n">
        <v>0.0029</v>
      </c>
      <c r="N2400" t="n">
        <v>0.0571</v>
      </c>
      <c r="O2400" t="n">
        <v>0.1119</v>
      </c>
    </row>
    <row r="2401">
      <c r="A2401" t="inlineStr">
        <is>
          <t>wordpress</t>
        </is>
      </c>
      <c r="B2401" t="inlineStr">
        <is>
          <t>WordPress/src/wordpress/java/org/wordpress/android/ui/accounts/login/compose/components/SecondaryButton.kt</t>
        </is>
      </c>
      <c r="C2401">
        <f>HYPERLINK("https://github.com/wordpress-mobile/WordPress-Android/blob/master/WordPress/src/wordpress/java/org/wordpress/android/ui/accounts/login/compose/components/SecondaryButton.kt")</f>
        <v/>
      </c>
      <c r="D2401" t="inlineStr">
        <is>
          <t>The provided code is a Composable function named `SecondaryButton` in the Android application's UI package for WordPress. This function takes three parameters - text (a string), onClick (a lambda function that represents an action to be performed when the button is clicked), and modifier (which can modify the appearance of the button). It also has an optional parameter enabled which determines whether</t>
        </is>
      </c>
      <c r="E2401" t="n">
        <v>0.0035</v>
      </c>
      <c r="F2401" t="n">
        <v>0.0857</v>
      </c>
      <c r="G2401" t="n">
        <v>0.1119</v>
      </c>
      <c r="H2401" t="inlineStr">
        <is>
          <t>The provided code is a Composable function in Jetpack Compose for Android that represents a secondary button with text and an on-click action. The complexity of the code is O(1), meaning it has constant time complexity as there are no loops or recursive calls involved.
Here's a concise summary of its functionality:
```kotlin
@</t>
        </is>
      </c>
      <c r="I2401" t="n">
        <v>0.0034</v>
      </c>
      <c r="J2401" t="n">
        <v>0.0625</v>
      </c>
      <c r="K2401" t="n">
        <v>0.0794</v>
      </c>
      <c r="L2401" t="inlineStr">
        <is>
          <t>The provided code is a Composable function named SecondaryButton in an Android application for WordPress. This button appears to be used as the secondary action on some screens of this app.
Here's what it does: 
It takes three parameters - text (which represents the label or title that will appear on the button) and two functions - onClick which defines what happens</t>
        </is>
      </c>
      <c r="M2401" t="n">
        <v>0.0035</v>
      </c>
      <c r="N2401" t="n">
        <v>0.058</v>
      </c>
      <c r="O2401" t="n">
        <v>0.1119</v>
      </c>
    </row>
    <row r="2402">
      <c r="A2402" t="inlineStr">
        <is>
          <t>wordpress</t>
        </is>
      </c>
      <c r="B2402" t="inlineStr">
        <is>
          <t>WordPress/src/wordpress/java/org/wordpress/android/ui/deeplinks/JetpackAppUninstallReceiver.kt</t>
        </is>
      </c>
      <c r="C2402">
        <f>HYPERLINK("https://github.com/wordpress-mobile/WordPress-Android/blob/master/WordPress/src/wordpress/java/org/wordpress/android/ui/deeplinks/JetpackAppUninstallReceiver.kt")</f>
        <v/>
      </c>
      <c r="D2402" t="inlineStr">
        <is>
          <t>The code provided is a Broadcast Receiver that listens for the ACTION_PACKAGE_FULLY_REMOVED broadcast from Android system. When this action occurs (which means Jetpack app has been uninstalled), it triggers `onJetpackUninstalled` method which toggles an application preference to off and re-enables certain components of the web links</t>
        </is>
      </c>
      <c r="E2402" t="n">
        <v>0.004</v>
      </c>
      <c r="F2402" t="n">
        <v>0.06900000000000001</v>
      </c>
      <c r="G2402" t="n">
        <v>0.0847</v>
      </c>
      <c r="H2402" t="inlineStr">
        <is>
          <t>The provided code is a Broadcast Receiver in Android that listens for package removal broadcasts (`ACTION_PACKAGE_FULLY_REMOVED`). When such an event occurs, it triggers the `onPackageRemoved` function which toggles certain app preferences to off and re-enables components of the application using Jetpack's helper class `</t>
        </is>
      </c>
      <c r="I2402" t="n">
        <v>0.0042</v>
      </c>
      <c r="J2402" t="n">
        <v>0.07140000000000001</v>
      </c>
      <c r="K2402" t="n">
        <v>0.0862</v>
      </c>
      <c r="L2402" t="inlineStr">
        <is>
          <t>The provided code is a Broadcast Receiver that listens for the ACTION_PACKAGE_FULLY_REMOVED broadcast sent by Android when an app package has been fully removed from the device's storage. When this action occurs, it triggers the `onJetpackUninstalled` function to handle the event. This function toggles the application preferences setting related to</t>
        </is>
      </c>
      <c r="M2402" t="n">
        <v>0.0037</v>
      </c>
      <c r="N2402" t="n">
        <v>0.0645</v>
      </c>
      <c r="O2402" t="n">
        <v>0.082</v>
      </c>
    </row>
    <row r="2403">
      <c r="A2403" t="inlineStr">
        <is>
          <t>wordpress</t>
        </is>
      </c>
      <c r="B2403" t="inlineStr">
        <is>
          <t>WordPress/src/wordpress/java/org/wordpress/android/ui/mysite/jetpackbadge/JetpackAppInstallReceiver.kt</t>
        </is>
      </c>
      <c r="C2403">
        <f>HYPERLINK("https://github.com/wordpress-mobile/WordPress-Android/blob/master/WordPress/src/wordpress/java/org/wordpress/android/ui/mysite/jetpackbadge/JetpackAppInstallReceiver.kt")</f>
        <v/>
      </c>
      <c r="D2403" t="inlineStr">
        <is>
          <t>The provided code is a Jetpack App Install Receiver that extends BroadcastReceiver from Android. It's annotated with @AndroidEntryPoint to enable dependency injection through Hilt in the application scope. 
When an app install broadcast is received (`onReceive()`), it disables notifications by calling `disableNotifications()` function which takes context</t>
        </is>
      </c>
      <c r="E2403" t="n">
        <v>0</v>
      </c>
      <c r="F2403" t="n">
        <v>0.0364</v>
      </c>
      <c r="G2403" t="n">
        <v>0.0424</v>
      </c>
      <c r="H2403" t="inlineStr">
        <is>
          <t>The code provided is a Kotlin class named `JetpackAppInstallReceiver` that extends the BroadcastReceiver class in Android. This class receives broadcast intents when an app has been installed or updated on the device. The receiver disables notifications for this application using the method `disableNotifications()`.
Here's a concise summary of its functionality:</t>
        </is>
      </c>
      <c r="I2403" t="n">
        <v>0.0037</v>
      </c>
      <c r="J2403" t="n">
        <v>0.0678</v>
      </c>
      <c r="K2403" t="n">
        <v>0.082</v>
      </c>
      <c r="L2403" t="inlineStr">
        <is>
          <t>ThegivenKotlin/Java code represents a Broadcast Receiver that listens for an intent broadcasted when the Jetpack app is installed on Android. Upon receiving this broadcast, it disables notifications by calling `disableNotifications` method using the provided context and intent. The receiver has been annotated with @AndroidEntryPoint to enable dependency injection in Dagger Hilt. It inject</t>
        </is>
      </c>
      <c r="M2403" t="n">
        <v>0.0035</v>
      </c>
      <c r="N2403" t="n">
        <v>0.0645</v>
      </c>
      <c r="O2403" t="n">
        <v>0.12</v>
      </c>
    </row>
    <row r="2404">
      <c r="A2404" t="inlineStr">
        <is>
          <t>wordpress</t>
        </is>
      </c>
      <c r="B2404" t="inlineStr">
        <is>
          <t>WordPress/src/wordpress/java/org/wordpress/android/util/MissingSplitsUtils.kt</t>
        </is>
      </c>
      <c r="C2404">
        <f>HYPERLINK("https://github.com/wordpress-mobile/WordPress-Android/blob/master/WordPress/src/wordpress/java/org/wordpress/android/util/MissingSplitsUtils.kt")</f>
        <v/>
      </c>
      <c r="D2404" t="inlineStr">
        <is>
          <t>The provided code is a function named `isMissingSplits` that checks if there are missing resource splits for the drawable resource with ID R.drawable.brush_stroke in an Android application context. If it cannot find this drawable and throws a NotFoundException, then it indicates that there might be missing resource splits due to side-loading of the app or</t>
        </is>
      </c>
      <c r="E2404" t="n">
        <v>0.0033</v>
      </c>
      <c r="F2404" t="n">
        <v>0.0597</v>
      </c>
      <c r="G2404" t="n">
        <v>0.1181</v>
      </c>
      <c r="H2404" t="inlineStr">
        <is>
          <t>ThegivenAndroidJavaCodeimplementsafunctionthatchecksifamissingsplitsissueexistsinthedesignatedapplication'sresourcefiles.ItdoesthisbyattemptingtoreadaspecificdrawabledefinedinRclassfromtheapplication.Incaseoffailurewherearesponsethattherangeisfalsei.e.,therearemissingsplits.</t>
        </is>
      </c>
      <c r="I2404" t="n">
        <v>0</v>
      </c>
      <c r="J2404" t="n">
        <v>0</v>
      </c>
      <c r="K2404" t="n">
        <v>0</v>
      </c>
      <c r="L2404" t="inlineStr">
        <is>
          <t>The provided code is a function named `isMissingSplits` in the Android application's utility package that checks if there are missing resource splits for a specific drawable resource (`brush_stroke`). 
It takes as input a Context object and returns a boolean value indicating whether or not the specified drawable resource has corresponding resource splits. If</t>
        </is>
      </c>
      <c r="M2404" t="n">
        <v>0.0035</v>
      </c>
      <c r="N2404" t="n">
        <v>0.0635</v>
      </c>
      <c r="O2404" t="n">
        <v>0.08</v>
      </c>
    </row>
    <row r="2405">
      <c r="A2405" t="inlineStr">
        <is>
          <t>wordpress</t>
        </is>
      </c>
      <c r="B2405" t="inlineStr">
        <is>
          <t>WordPress/src/wordpress/java/org/wordpress/android/util/config/InAppUpdateBlockingVersionConfigConstants.kt</t>
        </is>
      </c>
      <c r="C2405">
        <f>HYPERLINK("https://github.com/wordpress-mobile/WordPress-Android/blob/master/WordPress/src/wordpress/java/org/wordpress/android/util/config/InAppUpdateBlockingVersionConfigConstants.kt")</f>
        <v/>
      </c>
      <c r="D2405" t="inlineStr">
        <is>
          <t>The code provided is a constant value named "IN_APP_UPDATE_BLOCKING_VERSION_REMOTE_FIELD". It represents the remote field name for blocking version in an app update process related to WordPress Android application. The string contains 'wp_in_app_update_blocking_version_android'. This could be used as part of configuration or settings within the software</t>
        </is>
      </c>
      <c r="E2405" t="n">
        <v>0.0049</v>
      </c>
      <c r="F2405" t="n">
        <v>0.0615</v>
      </c>
      <c r="G2405" t="n">
        <v>0.1282</v>
      </c>
      <c r="H2405" t="inlineStr">
        <is>
          <t>The provided code is a Java package that defines a constant named IN_APP_UPDATE_BLOCKING_VERSION_REMOTE_FIELD with the value "wp_in_app_update_blocking_version_android". The complexity of this operation is O(N), where N represents the size of the string assigned to the field. This means it takes linear time proportional to</t>
        </is>
      </c>
      <c r="I2405" t="n">
        <v>0.0042</v>
      </c>
      <c r="J2405" t="n">
        <v>0.0308</v>
      </c>
      <c r="K2405" t="n">
        <v>0.0431</v>
      </c>
      <c r="L2405" t="inlineStr">
        <is>
          <t>The provided code snippet is a Java class that defines a constant named "IN_APP_UPDATE_BLOCKING_VERSION_REMOTE_FIELD". This constant holds the string value of "wp_in_app_update_blocking_version_android", which seems to be used as an identifier for remote fields related to in-app update blocking versions on Android applications</t>
        </is>
      </c>
      <c r="M2405" t="n">
        <v>0.0044</v>
      </c>
      <c r="N2405" t="n">
        <v>0.0317</v>
      </c>
      <c r="O2405" t="n">
        <v>0.0877</v>
      </c>
    </row>
    <row r="2406">
      <c r="A2406" t="inlineStr">
        <is>
          <t>wordpress</t>
        </is>
      </c>
      <c r="B2406" t="inlineStr">
        <is>
          <t>WordPress/src/main/java/org/wordpress/android/WordPressDB.java</t>
        </is>
      </c>
      <c r="C2406">
        <f>HYPERLINK("https://github.com/wordpress-mobile/WordPress-Android/blob/master/WordPress/src/main/java/org/wordpress/android/WordPressDB.java")</f>
        <v/>
      </c>
      <c r="D2406" t="inlineStr">
        <is>
          <t>The code is a Java class named `WordPressDB` that manages the database operations for WordPress Android application. It includes import statements for various classes and interfaces required to interact with SQLite databases in Android. The database version is set as 70 and its name is stored in README file which might be used during backup schemes of previous versions. This implementation seems complex due to multiple nested loops</t>
        </is>
      </c>
      <c r="E2406" t="n">
        <v>0.0032</v>
      </c>
      <c r="F2406" t="n">
        <v>0.0526</v>
      </c>
      <c r="G2406" t="n">
        <v>0.1429</v>
      </c>
      <c r="H2406" t="inlineStr">
        <is>
          <t>The code you provided is a Java class named WordPressDB that interacts with the Android SQLite database for Wordpress app. The DATABASE_VERSION and README are constants to store the version number of the database and readme file respectively. This class seems to be part of an application's backend software components which includes implementation of core algorithms related to data management in databases. It also handles</t>
        </is>
      </c>
      <c r="I2406" t="n">
        <v>0.004</v>
      </c>
      <c r="J2406" t="n">
        <v>0.1067</v>
      </c>
      <c r="K2406" t="n">
        <v>0.219</v>
      </c>
      <c r="L2406" t="inlineStr">
        <is>
          <t>The provided code is a Java class named `WordPressDB` that manages the database operations for WordPress Android application. It's designed to handle various tables such as NotificationsTable, PeopleTable, PublicizeTable, SiteSettingsTable and UserSuggestionTable.
It has methods related to creating or updating databases (createDataBase() &amp; updateDataBase()), managing content values</t>
        </is>
      </c>
      <c r="M2406" t="n">
        <v>0.0039</v>
      </c>
      <c r="N2406" t="n">
        <v>0.0364</v>
      </c>
      <c r="O2406" t="n">
        <v>0.042</v>
      </c>
    </row>
    <row r="2407">
      <c r="A2407" t="inlineStr">
        <is>
          <t>wordpress</t>
        </is>
      </c>
      <c r="B2407" t="inlineStr">
        <is>
          <t>WordPress/src/main/java/org/wordpress/android/WellSqlInitializer.kt</t>
        </is>
      </c>
      <c r="C2407">
        <f>HYPERLINK("https://github.com/wordpress-mobile/WordPress-Android/blob/master/WordPress/src/main/java/org/wordpress/android/WellSqlInitializer.kt")</f>
        <v/>
      </c>
      <c r="D2407" t="inlineStr">
        <is>
          <t>&lt;!-- This is a placeholder for the summary --&gt;
```kotlin
// The WellSqlInitializer class in this code initializes the database using Dagger Hilt and provides it with an application context. 
// It uses the WPWellSqlConfig to configure the database settings.
// The init function sets up the configuration and initiates the database connection.
```</t>
        </is>
      </c>
      <c r="E2407" t="n">
        <v>0.004</v>
      </c>
      <c r="F2407" t="n">
        <v>0.1071</v>
      </c>
      <c r="G2407" t="n">
        <v>0.119</v>
      </c>
      <c r="H2407" t="inlineStr">
        <is>
          <t>The code provided is for initializing a database using the WellSQL library in Android. The functionality of this code involves setting up the configuration and initialization of the WellSQL library with an application context as input parameters. It's written in Kotlin language.
The complexity of this function is O(1), meaning it has constant time complexity since no loops or recursive calls are present</t>
        </is>
      </c>
      <c r="I2407" t="n">
        <v>0.0034</v>
      </c>
      <c r="J2407" t="n">
        <v>0.0548</v>
      </c>
      <c r="K2407" t="n">
        <v>0.1111</v>
      </c>
      <c r="L2407" t="inlineStr">
        <is>
          <t>The provided code is a Singleton class named "WellSqlInitializer" that initializes the Well SQL library for Android application development. The purpose of this class is to initialize and configure the Well Sql database using an instance of WPWellSqlConfig which includes context information about the app environment. This setup process runs during the initialization phase of the application lifecycle, ensuring proper functioning of the well</t>
        </is>
      </c>
      <c r="M2407" t="n">
        <v>0.0034</v>
      </c>
      <c r="N2407" t="n">
        <v>0.0556</v>
      </c>
      <c r="O2407" t="n">
        <v>0.1103</v>
      </c>
    </row>
    <row r="2408">
      <c r="A2408" t="inlineStr">
        <is>
          <t>wordpress</t>
        </is>
      </c>
      <c r="B2408" t="inlineStr">
        <is>
          <t>WordPress/src/main/java/org/wordpress/android/WordPress.kt</t>
        </is>
      </c>
      <c r="C2408">
        <f>HYPERLINK("https://github.com/wordpress-mobile/WordPress-Android/blob/master/WordPress/src/main/java/org/wordpress/android/WordPress.kt")</f>
        <v/>
      </c>
      <c r="D2408" t="inlineStr">
        <is>
          <t>The provided code is a part of the Wordpress Android application and it extends Application class from android framework. It also implements ImageLoaderFactory interface which provides an instance for coil image loader. The code contains several abstract classes that are supposed to be extended by real applications (like WordPress App). This repository seems to contain backend software components related to handling images using coil library with video frame decoding capabilities. The</t>
        </is>
      </c>
      <c r="E2408" t="n">
        <v>0.0036</v>
      </c>
      <c r="F2408" t="n">
        <v>0.0506</v>
      </c>
      <c r="G2408" t="n">
        <v>0.1748</v>
      </c>
      <c r="H2408" t="inlineStr">
        <is>
          <t>The provided code is a part of an Android application using Dagger Hilt for dependency injection and OkHttp3 library for networking operations. It also uses Coil image loading library to handle images efficiently in the app. The main class `WordPress` extends from Application and implements ImageLoaderFactory interface which provides functionality to load images asynchronously. This class contains abstract methods that need to be implemented by</t>
        </is>
      </c>
      <c r="I2408" t="n">
        <v>0.004</v>
      </c>
      <c r="J2408" t="n">
        <v>0.0548</v>
      </c>
      <c r="K2408" t="n">
        <v>0.146</v>
      </c>
      <c r="L2408" t="inlineStr">
        <is>
          <t>The provided code is an Android application that uses Dagger Hilt for dependency injection and OkHttp3 for network requests. It also incorporates the Coil library to decode video frames and load images from WordPress servers. The main functionality of this app seems to be related to managing activities lifecycles in a Wordpress-like environment with edge-to-edge layout support. However, without</t>
        </is>
      </c>
      <c r="M2408" t="n">
        <v>0.0037</v>
      </c>
      <c r="N2408" t="n">
        <v>0.0286</v>
      </c>
      <c r="O2408" t="n">
        <v>0.1145</v>
      </c>
    </row>
    <row r="2409">
      <c r="A2409" t="inlineStr">
        <is>
          <t>wordpress</t>
        </is>
      </c>
      <c r="B2409" t="inlineStr">
        <is>
          <t>WordPress/src/main/java/org/wordpress/android/Constants.java</t>
        </is>
      </c>
      <c r="C2409">
        <f>HYPERLINK("https://github.com/wordpress-mobile/WordPress-Android/blob/master/WordPress/src/main/java/org/wordpress/android/Constants.java")</f>
        <v/>
      </c>
      <c r="D2409" t="inlineStr">
        <is>
          <t>The provided code is a Java class named "Constants". This class contains several static final String variables that represent URLs for different web pages related to WordPress and other services such as JetPack settings or the VaultPress dashboard. The complexity of this code is O(N), where N refers to the number of constants in the class. There are no comments present in the code but it appears</t>
        </is>
      </c>
      <c r="E2409" t="n">
        <v>0.0032</v>
      </c>
      <c r="F2409" t="n">
        <v>0.0526</v>
      </c>
      <c r="G2409" t="n">
        <v>0.07190000000000001</v>
      </c>
      <c r="H2409" t="inlineStr">
        <is>
          <t>The provided code is a Java class named Constants that contains several final String variables representing URLs and constants for various functionalities of the software application. The complexity of this function is O(N), where N represents the number of constant fields in the class. This means that as more constants are added to the class, the time taken by operations on these constants increases linearly.
In summary</t>
        </is>
      </c>
      <c r="I2409" t="n">
        <v>0.0036</v>
      </c>
      <c r="J2409" t="n">
        <v>0.0526</v>
      </c>
      <c r="K2409" t="n">
        <v>0.1439</v>
      </c>
      <c r="L2409" t="inlineStr">
        <is>
          <t>The provided code is a Java class named `Constants` in the package `org.wordpress.android` which contains several final String constants that represent URL endpoints for various features of WordPress mobile application such as Terms Of Service (ToS), Privacy Policy, Date and Time format help page, Timezone endpoint, JetPack settings, etc. The purpose of this class seems to</t>
        </is>
      </c>
      <c r="M2409" t="n">
        <v>0.0033</v>
      </c>
      <c r="N2409" t="n">
        <v>0.0303</v>
      </c>
      <c r="O2409" t="n">
        <v>0.0781</v>
      </c>
    </row>
    <row r="2410">
      <c r="A2410" t="inlineStr">
        <is>
          <t>wordpress</t>
        </is>
      </c>
      <c r="B2410" t="inlineStr">
        <is>
          <t>WordPress/src/main/java/org/wordpress/android/JobServiceId.java</t>
        </is>
      </c>
      <c r="C2410">
        <f>HYPERLINK("https://github.com/wordpress-mobile/WordPress-Android/blob/master/WordPress/src/main/java/org/wordpress/android/JobServiceId.java")</f>
        <v/>
      </c>
      <c r="D2410" t="inlineStr">
        <is>
          <t>The code provided is a Java class named "JobServiceId" that contains several final integer constants representing job service IDs for various tasks in the application. These task identifiers are used to schedule and manage jobs using Android's JobScheduler API. The complexity of this code is O(N), where N refers to the number of constant values defined within the class. There aren't any</t>
        </is>
      </c>
      <c r="E2410" t="n">
        <v>0.0029</v>
      </c>
      <c r="F2410" t="n">
        <v>0.0274</v>
      </c>
      <c r="G2410" t="n">
        <v>0.1119</v>
      </c>
      <c r="H2410" t="inlineStr">
        <is>
          <t>The code provided is a Java class named "JobServiceId" that contains several final integer variables representing different job service IDs used in the Android application. These are constants and do not change during runtime. The complexity of this code can be considered as O(1), because it does not involve any loops or recursive calls, hence accessing each constant directly without iteration would take constant time.</t>
        </is>
      </c>
      <c r="I2410" t="n">
        <v>0.0028</v>
      </c>
      <c r="J2410" t="n">
        <v>0.027</v>
      </c>
      <c r="K2410" t="n">
        <v>0.1095</v>
      </c>
      <c r="L2410" t="inlineStr">
        <is>
          <t>The provided code is a Java class named "JobServiceId". It contains several static final integer variables that serve as identifiers for different job services in the application. These jobs are typically scheduled using JobScheduler and have unique IDs corresponding to their purpose or functionality. The main goal of this class seems to be managing these job service IDs effectively and providing an easy way to refer back to them</t>
        </is>
      </c>
      <c r="M2410" t="n">
        <v>0.0026</v>
      </c>
      <c r="N2410" t="n">
        <v>0.0519</v>
      </c>
      <c r="O2410" t="n">
        <v>0.1418</v>
      </c>
    </row>
    <row r="2411">
      <c r="A2411" t="inlineStr">
        <is>
          <t>wordpress</t>
        </is>
      </c>
      <c r="B2411" t="inlineStr">
        <is>
          <t>WordPress/src/main/java/org/wordpress/android/WordPressApp.java</t>
        </is>
      </c>
      <c r="C2411">
        <f>HYPERLINK("https://github.com/wordpress-mobile/WordPress-Android/blob/master/WordPress/src/main/java/org/wordpress/android/WordPressApp.java")</f>
        <v/>
      </c>
      <c r="D2411" t="inlineStr">
        <is>
          <t>The provided code is an Android application that extends the WordPress class and implements the HasAndroidInjector interface from Dagger 2 library for dependency injection. The app initializes itself using a MAppInitializer object through its onCreate() method. This injected object has dependencies which are managed by the DispatchingAndroidInjector in androidInjector().
Please note that</t>
        </is>
      </c>
      <c r="E2411" t="n">
        <v>0.0046</v>
      </c>
      <c r="F2411" t="n">
        <v>0.0333</v>
      </c>
      <c r="G2411" t="n">
        <v>0.1613</v>
      </c>
      <c r="H2411" t="inlineStr">
        <is>
          <t>The provided code is a part of an Android application using Dagger for dependency injection and initialization. The main component class `WordPressApp` extends WordPress and implements HasAndroidInjector interface which provides the injector to other components in the app.
It has three key methods: 
- onCreate() method initializes the AppInitializer by calling its init() method. This</t>
        </is>
      </c>
      <c r="I2411" t="n">
        <v>0.0044</v>
      </c>
      <c r="J2411" t="n">
        <v>0.0323</v>
      </c>
      <c r="K2411" t="n">
        <v>0.1575</v>
      </c>
      <c r="L2411" t="inlineStr">
        <is>
          <t>The provided code is a Java class named `WordPressApp` that extends the base class `WordPress` and implements an interface called `HasAndroidInjector` from Dagger 2 library for dependency injection in Android applications. This class has two private fields - a DispatchingAndroidInjector object (for managing injected objects) and an AppInitializer object (</t>
        </is>
      </c>
      <c r="M2411" t="n">
        <v>0.0048</v>
      </c>
      <c r="N2411" t="n">
        <v>0.07140000000000001</v>
      </c>
      <c r="O2411" t="n">
        <v>0.123</v>
      </c>
    </row>
    <row r="2412">
      <c r="A2412" t="inlineStr">
        <is>
          <t>wordpress</t>
        </is>
      </c>
      <c r="B2412" t="inlineStr">
        <is>
          <t>WordPress/src/main/java/org/wordpress/android/Result.kt</t>
        </is>
      </c>
      <c r="C2412">
        <f>HYPERLINK("https://github.com/wordpress-mobile/WordPress-Android/blob/master/WordPress/src/main/java/org/wordpress/android/Result.kt")</f>
        <v/>
      </c>
      <c r="D2412" t="inlineStr">
        <is>
          <t>The provided code is a sealed class named `Result` in Kotlin that represents either success or failure with two subclasses - `Failure` and `Success`. The generic type parameters L and R represent the types of values for failures (left side) and successes (right side). 
- A `Failure` object holds an instance of type L which signifies</t>
        </is>
      </c>
      <c r="E2412" t="n">
        <v>0.0033</v>
      </c>
      <c r="F2412" t="n">
        <v>0.0323</v>
      </c>
      <c r="G2412" t="n">
        <v>0.0391</v>
      </c>
      <c r="H2412" t="inlineStr">
        <is>
          <t>The provided code is a sealed class in Kotlin with two data classes extending it - Failure and Success. The generic types L and R represent the failure and success cases respectively. In other words, this pattern allows for handling different outcomes of an operation as either a 'failure' or a 'success'. It follows the Result monad design where both failures (Left side) and successful</t>
        </is>
      </c>
      <c r="I2412" t="n">
        <v>0.0028</v>
      </c>
      <c r="J2412" t="n">
        <v>0.0556</v>
      </c>
      <c r="K2412" t="n">
        <v>0.073</v>
      </c>
      <c r="L2412" t="inlineStr">
        <is>
          <t>The provided code is a sealed class named `Result` in Kotlin that represents either success or failure of an operation with two subclasses - `Failure` and `Success` respectively. The `Failure` class holds a value of type L (which could represent any kind of error) while the `Success` class holds a value of type R (representing some successful outcome). This design pattern</t>
        </is>
      </c>
      <c r="M2412" t="n">
        <v>0.0036</v>
      </c>
      <c r="N2412" t="n">
        <v>0.0294</v>
      </c>
      <c r="O2412" t="n">
        <v>0.0752</v>
      </c>
    </row>
    <row r="2413">
      <c r="A2413" t="inlineStr">
        <is>
          <t>wordpress</t>
        </is>
      </c>
      <c r="B2413" t="inlineStr">
        <is>
          <t>WordPress/src/main/java/org/wordpress/android/AppInitializer.kt</t>
        </is>
      </c>
      <c r="C2413">
        <f>HYPERLINK("https://github.com/wordpress-mobile/WordPress-Android/blob/master/WordPress/src/main/java/org/wordpress/android/AppInitializer.kt")</f>
        <v/>
      </c>
      <c r="D2413" t="inlineStr">
        <is>
          <t>ThegivencodeispartofaWordPressAndroidapplicationwhichusesvariousclassesfromdifferentpackagessuchasAppOpsManager,AppCompatDelegate,etc.,tohandlebackgroundoperations,notifications,networkinganddatabaserelatedtasksrespectively.Italsoinvolveshandlingcomplexitieslikedeprecationwarningsusing@Suppress annotation and managingsystemleveltimerswithSystemCl</t>
        </is>
      </c>
      <c r="E2413" t="n">
        <v>0.0296</v>
      </c>
      <c r="F2413" t="n">
        <v>0.1053</v>
      </c>
      <c r="G2413" t="n">
        <v>0.0658</v>
      </c>
      <c r="H2413" t="inlineStr">
        <is>
          <t>ThegivenKotlin/Java code is a part of an Android application that appears to be related to handling notifications and connectivity checks in the app. It includes import statements for various classes from Android's packages such as android.app, android.content, android.os, etc., which are commonly used in Android development. The main functionality seems to involve setting up notification channels, managing network connections</t>
        </is>
      </c>
      <c r="I2413" t="n">
        <v>0.0037</v>
      </c>
      <c r="J2413" t="n">
        <v>0.0278</v>
      </c>
      <c r="K2413" t="n">
        <v>0.07630000000000001</v>
      </c>
      <c r="L2413" t="inlineStr">
        <is>
          <t>ThegivensourcecodefileinthisrepositoryisacustomapplicationclassthatextendsfromAndroid'sApplicationclass.ItusesfeatureslikeContentProviderforofflineaccess,Databaseforstoringdata,Networkingappliestohandlenetworkrelatedtasks,andManagesnotificationsusingaNotificationmanager.Moreover,italsohandlesbackgroundtaskexecutionviaAppOpsManager.Therearesever</t>
        </is>
      </c>
      <c r="M2413" t="n">
        <v>0</v>
      </c>
      <c r="N2413" t="n">
        <v>0</v>
      </c>
      <c r="O2413" t="n">
        <v>0</v>
      </c>
    </row>
    <row r="2414">
      <c r="A2414" t="inlineStr">
        <is>
          <t>wordpress</t>
        </is>
      </c>
      <c r="B2414" t="inlineStr">
        <is>
          <t>WordPress/src/main/java/org/wordpress/android/provider/query/QueryContentProvider.kt</t>
        </is>
      </c>
      <c r="C2414">
        <f>HYPERLINK("https://github.com/wordpress-mobile/WordPress-Android/blob/master/WordPress/src/main/java/org/wordpress/android/provider/query/QueryContentProvider.kt")</f>
        <v/>
      </c>
      <c r="D2414" t="inlineStr">
        <is>
          <t>The provided code is a custom ContentProvider for an Android application named "WordPress". This provider has been designed to handle queries related to content in the WordPress app. It extends from the built-in `ContentProvider` class of Android framework and overrides its methods (except `query()` method which it does not have). 
In this implementation, all these overrid</t>
        </is>
      </c>
      <c r="E2414" t="n">
        <v>0.0039</v>
      </c>
      <c r="F2414" t="n">
        <v>0.0615</v>
      </c>
      <c r="G2414" t="n">
        <v>0.0781</v>
      </c>
      <c r="H2414" t="inlineStr">
        <is>
          <t>The provided code is an abstract class named `QueryContentProvider` that extends the functionality of Android's Content Provider. This provider cannot be used to insert or delete data because it throws exceptions when these methods are called. The only method available for use in this context is `getType()` which returns a string indicating what kind of data can be accessed through the given URI.</t>
        </is>
      </c>
      <c r="I2414" t="n">
        <v>0.0034</v>
      </c>
      <c r="J2414" t="n">
        <v>0.0278</v>
      </c>
      <c r="K2414" t="n">
        <v>0.0741</v>
      </c>
      <c r="L2414" t="inlineStr">
        <is>
          <t>The provided code is a Content Provider class in Android application that extends the abstract `ContentProvider` class from android's content provider framework. It overrides four methods namely getType(), insert(), delete() and update(). The purpose of this class seems to be providing query capabilities for an Android app but it does not implement any actual data storage or retrieval functionality itself.</t>
        </is>
      </c>
      <c r="M2414" t="n">
        <v>0.0036</v>
      </c>
      <c r="N2414" t="n">
        <v>0.08699999999999999</v>
      </c>
      <c r="O2414" t="n">
        <v>0.1515</v>
      </c>
    </row>
    <row r="2415">
      <c r="A2415" t="inlineStr">
        <is>
          <t>wordpress</t>
        </is>
      </c>
      <c r="B2415" t="inlineStr">
        <is>
          <t>WordPress/src/main/java/org/wordpress/android/provider/query/QueryResult.kt</t>
        </is>
      </c>
      <c r="C2415">
        <f>HYPERLINK("https://github.com/wordpress-mobile/WordPress-Android/blob/master/WordPress/src/main/java/org/wordpress/android/provider/query/QueryResult.kt")</f>
        <v/>
      </c>
      <c r="D2415" t="inlineStr">
        <is>
          <t>The provided code is a class named `QueryResult` that uses GSON for JSON serialization/deserialization and Android's Cursor to store data retrieved from the database. The class has two main functions - 
1. getValue(): This function takes in a cursor object along with an optional Type parameter (defaulting to null). It moves the cursor to</t>
        </is>
      </c>
      <c r="E2415" t="n">
        <v>0.004</v>
      </c>
      <c r="F2415" t="n">
        <v>0.0635</v>
      </c>
      <c r="G2415" t="n">
        <v>0.119</v>
      </c>
      <c r="H2415" t="inlineStr">
        <is>
          <t>The code provided is a Kotlin class named QueryResult that uses the GSON library to convert Java objects into JSON and vice versa. The getValue function retrieves data from a Cursor object using reflection (where T could be any type of Object). It then converts this retrieved value back into its original form if a Type parameter was specified. 
The createCursor</t>
        </is>
      </c>
      <c r="I2415" t="n">
        <v>0.003</v>
      </c>
      <c r="J2415" t="n">
        <v>0.029</v>
      </c>
      <c r="K2415" t="n">
        <v>0.1128</v>
      </c>
      <c r="L2415" t="inlineStr">
        <is>
          <t>The provided code is a Kotlin class named QueryResult that uses dependency injection to inject GSON library for JSON parsing and Android's MatrixCursor and Cursor classes for database operations. The main purpose of this class seems to be providing utility methods for handling query results in terms of converting between Java objects and their equivalent cursors (which are used by the Android framework).</t>
        </is>
      </c>
      <c r="M2415" t="n">
        <v>0.0029</v>
      </c>
      <c r="N2415" t="n">
        <v>0.0556</v>
      </c>
      <c r="O2415" t="n">
        <v>0.1111</v>
      </c>
    </row>
    <row r="2416">
      <c r="A2416" t="inlineStr">
        <is>
          <t>wordpress</t>
        </is>
      </c>
      <c r="B2416" t="inlineStr">
        <is>
          <t>WordPress/src/main/java/org/wordpress/android/widgets/RoundedSlicesPieChartRenderer.kt</t>
        </is>
      </c>
      <c r="C2416">
        <f>HYPERLINK("https://github.com/wordpress-mobile/WordPress-Android/blob/master/WordPress/src/main/java/org/wordpress/android/widgets/RoundedSlicesPieChartRenderer.kt")</f>
        <v/>
      </c>
      <c r="D2416" t="inlineStr">
        <is>
          <t>The provided code is a custom renderer for the PieChart from MikePhil's Charting library in Android. The class `RoundedSlicesPieChartRenderer` extends `PieChartRenderer` and overrides its draw method to add rounded slices both at the start and end of each slice. This feature allows users to have different roundness on either ends of the pie chart</t>
        </is>
      </c>
      <c r="E2416" t="n">
        <v>0.004</v>
      </c>
      <c r="F2416" t="n">
        <v>0.0317</v>
      </c>
      <c r="G2416" t="n">
        <v>0.0794</v>
      </c>
      <c r="H2416" t="inlineStr">
        <is>
          <t>The provided code is a custom renderer for a Pie Chart in Android using the MikePhil's charting library. The class `RoundedSlicesPieChartRenderer` extends from `PieChartRenderer` and overrides its constructor to include functionality of drawing rounded slices on both ends of each slice. This feature allows users to customize their pie charts with more appealing visual effects such</t>
        </is>
      </c>
      <c r="I2416" t="n">
        <v>0.0043</v>
      </c>
      <c r="J2416" t="n">
        <v>0.0308</v>
      </c>
      <c r="K2416" t="n">
        <v>0.1563</v>
      </c>
      <c r="L2416" t="inlineStr">
        <is>
          <t>The provided code is a custom renderer for the PieChart class in the charting library of Mike Philips' Android Charting Library (MPAndroidChart). This renderer extends the base PieChartRenderer and overrides its drawDataSet method to allow drawing rounded slices both at the start and end of each slice. The purpose of this feature seems to be to improve visual aesthetics</t>
        </is>
      </c>
      <c r="M2416" t="n">
        <v>0.0037</v>
      </c>
      <c r="N2416" t="n">
        <v>0.0597</v>
      </c>
      <c r="O2416" t="n">
        <v>0.07630000000000001</v>
      </c>
    </row>
    <row r="2417">
      <c r="A2417" t="inlineStr">
        <is>
          <t>wordpress</t>
        </is>
      </c>
      <c r="B2417" t="inlineStr">
        <is>
          <t>WordPress/src/main/java/org/wordpress/android/widgets/StorageNotificationDialogFragment.kt</t>
        </is>
      </c>
      <c r="C2417">
        <f>HYPERLINK("https://github.com/wordpress-mobile/WordPress-Android/blob/master/WordPress/src/main/java/org/wordpress/android/widgets/StorageNotificationDialogFragment.kt")</f>
        <v/>
      </c>
      <c r="D2417" t="inlineStr">
        <is>
          <t>&lt;!--- The provided code is a DialogFragment subclass in Kotlin that creates and displays an alert dialog with customizable labels for the title, message, OK button label, and 'Do not show again' checkbox. It uses MaterialAlertDialogBuilder to create this dialog which extends AlertDialog.Builder. --&gt;
The code defines a `DialogFragment</t>
        </is>
      </c>
      <c r="E2417" t="n">
        <v>0.0037</v>
      </c>
      <c r="F2417" t="n">
        <v>0.0357</v>
      </c>
      <c r="G2417" t="n">
        <v>0.124</v>
      </c>
      <c r="H2417" t="inlineStr">
        <is>
          <t>ThegivenJavaorKotlincodeisusedtodefineanewmethodnamed`add'.Ittakesinparameters'a'and'b',returnstheirsumwhichisthenumberaddedtotheothernumber.
```python
def add(a, b):
    return a + b
```
The complexity of this function is O(1), as it performs only</t>
        </is>
      </c>
      <c r="I2417" t="n">
        <v>0</v>
      </c>
      <c r="J2417" t="n">
        <v>0.1143</v>
      </c>
      <c r="K2417" t="n">
        <v>0.1075</v>
      </c>
      <c r="L2417" t="inlineStr">
        <is>
          <t>The provided code is a subclass of DialogFragment in an Android application named RasAndroidR. This class represents a custom dialog fragment that displays notifications related to storage usage on the device.
It takes four arguments - 'ARG_DIALOG_TITLE', 'ARG_DIALOG_MESSAGE', 'ARG_DIALOG_OK</t>
        </is>
      </c>
      <c r="M2417" t="n">
        <v>0.0047</v>
      </c>
      <c r="N2417" t="n">
        <v>0.0385</v>
      </c>
      <c r="O2417" t="n">
        <v>0.045</v>
      </c>
    </row>
    <row r="2418">
      <c r="A2418" t="inlineStr">
        <is>
          <t>wordpress</t>
        </is>
      </c>
      <c r="B2418" t="inlineStr">
        <is>
          <t>WordPress/src/main/java/org/wordpress/android/widgets/WPSwitchCompat.kt</t>
        </is>
      </c>
      <c r="C2418">
        <f>HYPERLINK("https://github.com/wordpress-mobile/WordPress-Android/blob/master/WordPress/src/main/java/org/wordpress/android/widgets/WPSwitchCompat.kt")</f>
        <v/>
      </c>
      <c r="D2418" t="inlineStr">
        <is>
          <t>The code provided is a custom SwitchCompat view that extends the functionality of android's built-in SwitchCompat by providing it with custom track and thumb drawables for matching closely to WPSwitch composable. This allows us to incrementally adopt Compose and use WPSwitch even inside Android View based layouts without significant visual differences. However, this might necessitate double checking the appearance</t>
        </is>
      </c>
      <c r="E2418" t="n">
        <v>0.0041</v>
      </c>
      <c r="F2418" t="n">
        <v>0.058</v>
      </c>
      <c r="G2418" t="n">
        <v>0.1145</v>
      </c>
      <c r="H2418" t="inlineStr">
        <is>
          <t>The code provided is a Java class named `WPSwitchCompat` that extends the Android SwitchCompat widget and overrides its constructor to add custom attributes. The purpose of this class seems to be related to creating a switch with specific track and thumb drawables for use in an Android application using Jetpack Compose. 
However, it's not clear what exactly you want</t>
        </is>
      </c>
      <c r="I2418" t="n">
        <v>0.0031</v>
      </c>
      <c r="J2418" t="n">
        <v>0.0588</v>
      </c>
      <c r="K2418" t="n">
        <v>0.1145</v>
      </c>
      <c r="L2418" t="inlineStr">
        <is>
          <t>The provided code is a custom SwitchCompat view that extends the functionality of android's built-in SwitchCompat by adding custom drawables for the track and thumb elements. This allows it to match closely with WPSwitch composable from WordPress Android app when used inside an Android View based layout without any visual differences. However, this might necessitate double checking the appearance whenever Material Compose library updates</t>
        </is>
      </c>
      <c r="M2418" t="n">
        <v>0.0037</v>
      </c>
      <c r="N2418" t="n">
        <v>0.0541</v>
      </c>
      <c r="O2418" t="n">
        <v>0.1103</v>
      </c>
    </row>
    <row r="2419">
      <c r="A2419" t="inlineStr">
        <is>
          <t>wordpress</t>
        </is>
      </c>
      <c r="B2419" t="inlineStr">
        <is>
          <t>WordPress/src/main/java/org/wordpress/android/widgets/RecyclerItemDecoration.java</t>
        </is>
      </c>
      <c r="C2419">
        <f>HYPERLINK("https://github.com/wordpress-mobile/WordPress-Android/blob/master/WordPress/src/main/java/org/wordpress/android/widgets/RecyclerItemDecoration.java")</f>
        <v/>
      </c>
      <c r="D2419" t="inlineStr">
        <is>
          <t>The code provided is a custom implementation of RecyclerView dividers in Android using the Decorator pattern and overrides the getItemOffsets method from the ItemDecoration class to add spacing between items in a RecyclerView. The horizontal and vertical spacings are determined by parameters passed into the constructor when creating an instance of this decoration object. If mSkipFirstItem is set as</t>
        </is>
      </c>
      <c r="E2419" t="n">
        <v>0.0031</v>
      </c>
      <c r="F2419" t="n">
        <v>0.0597</v>
      </c>
      <c r="G2419" t="n">
        <v>0.1527</v>
      </c>
      <c r="H2419" t="inlineStr">
        <is>
          <t>The provided code is a Java implementation of RecyclerView dividers using the `RecyclerView.ItemDecoration` class in Android development. It defines an offset for each item in a RecyclerView based on horizontal and vertical spacing values that are passed to its constructor. The complexity of this function is O(1), meaning it has constant time complexity as it only performs a</t>
        </is>
      </c>
      <c r="I2419" t="n">
        <v>0.0031</v>
      </c>
      <c r="J2419" t="n">
        <v>0.0588</v>
      </c>
      <c r="K2419" t="n">
        <v>0.1538</v>
      </c>
      <c r="L2419" t="inlineStr">
        <is>
          <t>The provided code is a simple implementation of RecyclerView dividers in Android using Java programming language. It defines a custom item decoration class named `RecyclerItemDecoration` that extends the built-in `RecyclerView.ItemDecoration` class.
This class provides offset values for items in a RecyclerView to create space between them (horizontal and vertical</t>
        </is>
      </c>
      <c r="M2419" t="n">
        <v>0.0045</v>
      </c>
      <c r="N2419" t="n">
        <v>0.0678</v>
      </c>
      <c r="O2419" t="n">
        <v>0.1653</v>
      </c>
    </row>
    <row r="2420">
      <c r="A2420" t="inlineStr">
        <is>
          <t>wordpress</t>
        </is>
      </c>
      <c r="B2420" t="inlineStr">
        <is>
          <t>WordPress/src/main/java/org/wordpress/android/widgets/WPSnackbar.kt</t>
        </is>
      </c>
      <c r="C2420">
        <f>HYPERLINK("https://github.com/wordpress-mobile/WordPress-Android/blob/master/WordPress/src/main/java/org/wordpress/android/widgets/WPSnackbar.kt")</f>
        <v/>
      </c>
      <c r="D2420" t="inlineStr">
        <is>
          <t>The provided code is a Kotlin class named WPSnackbar that provides functionality related to snackbars in Android applications. Snackbars are small messages or notifications typically displayed at the bottom of the screen. This class has a companion object with two functions make() which create and return an instance of Snackbar. The first function takes a View, a string resource ID (int),</t>
        </is>
      </c>
      <c r="E2420" t="n">
        <v>0.0039</v>
      </c>
      <c r="F2420" t="n">
        <v>0.08699999999999999</v>
      </c>
      <c r="G2420" t="n">
        <v>0.1128</v>
      </c>
      <c r="H2420" t="inlineStr">
        <is>
          <t>The provided code is a Kotlin function named "make" that creates and returns an instance of the Snackbar class from Google's Material Components library for Android. The purpose of this method is to display a brief message or action on the screen with some duration (short/long). 
It takes three parameters - 'view', which represents the view where the snack</t>
        </is>
      </c>
      <c r="I2420" t="n">
        <v>0.0031</v>
      </c>
      <c r="J2420" t="n">
        <v>0.0588</v>
      </c>
      <c r="K2420" t="n">
        <v>0.1145</v>
      </c>
      <c r="L2420" t="inlineStr">
        <is>
          <t>The provided code is a companion object in the `WPSnackbar` class of an Android application that handles displaying Snackbars (a type of toast message). The purpose of this class and its methods are to provide a more streamlined way of creating snackbars with customizable text resources and durations. 
It provides two static functions named 'make'.</t>
        </is>
      </c>
      <c r="M2420" t="n">
        <v>0.0033</v>
      </c>
      <c r="N2420" t="n">
        <v>0.0635</v>
      </c>
      <c r="O2420" t="n">
        <v>0.1181</v>
      </c>
    </row>
    <row r="2421">
      <c r="A2421" t="inlineStr">
        <is>
          <t>wordpress</t>
        </is>
      </c>
      <c r="B2421" t="inlineStr">
        <is>
          <t>WordPress/src/main/java/org/wordpress/android/widgets/WPSnackbarWrapper.kt</t>
        </is>
      </c>
      <c r="C2421">
        <f>HYPERLINK("https://github.com/wordpress-mobile/WordPress-Android/blob/master/WordPress/src/main/java/org/wordpress/android/widgets/WPSnackbarWrapper.kt")</f>
        <v/>
      </c>
      <c r="D2421" t="inlineStr">
        <is>
          <t>The provided code is a Dagger-based wrapper around the WPSnackbar class from WordPress Android app. The purpose of this wrapper is to make testing easier by abstracting away complexity in testing static methods that are part of WPSnackbar interface. This reduces the difficulty and time required for unit tests as compared to directly testing these static methods. It uses dependency injection (Dagger)</t>
        </is>
      </c>
      <c r="E2421" t="n">
        <v>0.0035</v>
      </c>
      <c r="F2421" t="n">
        <v>0.0563</v>
      </c>
      <c r="G2421" t="n">
        <v>0.1119</v>
      </c>
      <c r="H2421" t="inlineStr">
        <is>
          <t>The provided code is a Dagger-based wrapper around the WPSnackbar class from Google's Material Components for Android library. This wrapper provides an easier way to test Snackbars by injecting dependencies and making it reusable across different parts of the application. The complexity of this implementation is O(N), where N represents the number of classes or methods in your project.</t>
        </is>
      </c>
      <c r="I2421" t="n">
        <v>0.0037</v>
      </c>
      <c r="J2421" t="n">
        <v>0.0571</v>
      </c>
      <c r="K2421" t="n">
        <v>0.1527</v>
      </c>
      <c r="L2421" t="inlineStr">
        <is>
          <t>The provided code is a Dagger @Inject annotated class named WPSnackbarWrapper that serves as an injectable wrapper around the Android Snackbar implementation of WordPress for easier testing. The main purpose of this wrapper is to make testing easier by providing static methods which makes it difficult to test without mock objects. This wrapper provides functionality through its 'make' method where it takes in a</t>
        </is>
      </c>
      <c r="M2421" t="n">
        <v>0.0034</v>
      </c>
      <c r="N2421" t="n">
        <v>0.0556</v>
      </c>
      <c r="O2421" t="n">
        <v>0.1103</v>
      </c>
    </row>
    <row r="2422">
      <c r="A2422" t="inlineStr">
        <is>
          <t>wordpress</t>
        </is>
      </c>
      <c r="B2422" t="inlineStr">
        <is>
          <t>WordPress/src/main/java/org/wordpress/android/widgets/WPLinearLayoutSizeBound.java</t>
        </is>
      </c>
      <c r="C2422">
        <f>HYPERLINK("https://github.com/wordpress-mobile/WordPress-Android/blob/master/WordPress/src/main/java/org/wordpress/android/widgets/WPLinearLayoutSizeBound.java")</f>
        <v/>
      </c>
      <c r="D2422" t="inlineStr">
        <is>
          <t>The code provided is a custom LinearLayout class called WPLinearLayoutSizeBound that extends the standard Android LinearLayout widget. This class has two private integer variables mMaxWidth and mMaxHeight to hold maximum width and height values respectively. The constructor of this class accepts Context objects as parameters which are used for initializing the superclass (LinearLayout). In addition, it also takes an</t>
        </is>
      </c>
      <c r="E2422" t="n">
        <v>0.0037</v>
      </c>
      <c r="F2422" t="n">
        <v>0.0597</v>
      </c>
      <c r="G2422" t="n">
        <v>0.1145</v>
      </c>
      <c r="H2422" t="inlineStr">
        <is>
          <t>The provided code is a custom implementation of the WPLinearLayoutSizeBound class in Java which extends LinearLayout and provides functionality to set maximum width (`mMaxWidth`) and height (`mMaxHeight`). The constructor for this class takes either an `AttributeSet` or a Context as parameters. It then obtains styled attributes from these inputs using TypedArray. These</t>
        </is>
      </c>
      <c r="I2422" t="n">
        <v>0.0042</v>
      </c>
      <c r="J2422" t="n">
        <v>0.1</v>
      </c>
      <c r="K2422" t="n">
        <v>0.1613</v>
      </c>
      <c r="L2422" t="inlineStr">
        <is>
          <t>The provided code is a custom implementation of the LinearLayout class in Android that extends its functionality to include size boundary restrictions for maximum width and height. 
It does this by overriding the onMeasure() method from the superclass (LinearLayout). The purpose of this class seems to be to prevent widgets added into it from being larger than specified maxWidth or maxHeight values.</t>
        </is>
      </c>
      <c r="M2422" t="n">
        <v>0.0035</v>
      </c>
      <c r="N2422" t="n">
        <v>0.0857</v>
      </c>
      <c r="O2422" t="n">
        <v>0.1493</v>
      </c>
    </row>
    <row r="2423">
      <c r="A2423" t="inlineStr">
        <is>
          <t>wordpress</t>
        </is>
      </c>
      <c r="B2423" t="inlineStr">
        <is>
          <t>WordPress/src/main/java/org/wordpress/android/widgets/AuthErrorDialogFragment.java</t>
        </is>
      </c>
      <c r="C2423">
        <f>HYPERLINK("https://github.com/wordpress-mobile/WordPress-Android/blob/master/WordPress/src/main/java/org/wordpress/android/widgets/AuthErrorDialogFragment.java")</f>
        <v/>
      </c>
      <c r="D2423" t="inlineStr">
        <is>
          <t>The code provided is a fragment of an Android application that displays an alert dialog in case of XML-RPC authentication failures. The functionality includes setting arguments for the title and message IDs as well as storing the site model information. It uses MaterialAlertDialogBuilder to build the Alert Dialog which extends from androidx's Dialog Fragment class. This means it can be used within any</t>
        </is>
      </c>
      <c r="E2423" t="n">
        <v>0.0038</v>
      </c>
      <c r="F2423" t="n">
        <v>0.0548</v>
      </c>
      <c r="G2423" t="n">
        <v>0.1111</v>
      </c>
      <c r="H2423" t="inlineStr">
        <is>
          <t>The code provided is a Java class named AuthErrorDialogFragment that extends DialogFragment from the Android support library. This class handles XML-RPC authentication failures by showing an alert dialog with customizable error messages and titles. The complexity of this implementation is O(1), as it performs constant time operations regardless of input size. It's using MaterialAlertDialogBuilder for creating the AlertDialog</t>
        </is>
      </c>
      <c r="I2423" t="n">
        <v>0.0037</v>
      </c>
      <c r="J2423" t="n">
        <v>0.058</v>
      </c>
      <c r="K2423" t="n">
        <v>0.1538</v>
      </c>
      <c r="L2423" t="inlineStr">
        <is>
          <t>The provided code is a Java class named `AuthErrorDialogFragment` that extends the DialogFragment from Android's support library for Fragments. This fragment displays an alert dialog when XML-RPC authentication failures occur in WordPress app. The purpose of this class seems to be handling and displaying error messages related to failed authentications. 
It takes three parameters during initialization - resource ID</t>
        </is>
      </c>
      <c r="M2423" t="n">
        <v>0.0037</v>
      </c>
      <c r="N2423" t="n">
        <v>0.0588</v>
      </c>
      <c r="O2423" t="n">
        <v>0.07630000000000001</v>
      </c>
    </row>
    <row r="2424">
      <c r="A2424" t="inlineStr">
        <is>
          <t>wordpress</t>
        </is>
      </c>
      <c r="B2424" t="inlineStr">
        <is>
          <t>WordPress/src/main/java/org/wordpress/android/widgets/TypefaceCache.java</t>
        </is>
      </c>
      <c r="C2424">
        <f>HYPERLINK("https://github.com/wordpress-mobile/WordPress-Android/blob/master/WordPress/src/main/java/org/wordpress/android/widgets/TypefaceCache.java")</f>
        <v/>
      </c>
      <c r="D2424" t="inlineStr">
        <is>
          <t>The code provided is a Java class named TypefaceCache which caches typefaces for use in Android views that support custom fonts. The purpose of this cache is to avoid loading the same font from assets multiple times and improve performance by reusing previously loaded typefaces.
Here are key points about the functionality: 
1. It uses a Hashtable (a dictionary data structure similar</t>
        </is>
      </c>
      <c r="E2424" t="n">
        <v>0.0029</v>
      </c>
      <c r="F2424" t="n">
        <v>0.0571</v>
      </c>
      <c r="G2424" t="n">
        <v>0.1119</v>
      </c>
      <c r="H2424" t="inlineStr">
        <is>
          <t>The function provided is a simple addition operation between two numbers in Java language. It takes two parameters 'a' and 'b', adds them together, then returns the result. The time complexity of this function is O(1), meaning it performs a constant number of operations regardless of input size.
In the README file, there are details about the repository which contains backend software components.</t>
        </is>
      </c>
      <c r="I2424" t="n">
        <v>0.0034</v>
      </c>
      <c r="J2424" t="n">
        <v>0.0556</v>
      </c>
      <c r="K2424" t="n">
        <v>0.1481</v>
      </c>
      <c r="L2424" t="inlineStr">
        <is>
          <t>The provided code is a Java class named `TypefaceCache` which serves as a cache for custom fonts used in Android applications. It provides functionality to get Typefaces from the application assets and stores them into an internal Hashtable (TYPEFACE_CACHE). If a requested typeface already exists in the cache, it returns that instead of loading it again from the asset</t>
        </is>
      </c>
      <c r="M2424" t="n">
        <v>0.0037</v>
      </c>
      <c r="N2424" t="n">
        <v>0.0588</v>
      </c>
      <c r="O2424" t="n">
        <v>0.07630000000000001</v>
      </c>
    </row>
    <row r="2425">
      <c r="A2425" t="inlineStr">
        <is>
          <t>wordpress</t>
        </is>
      </c>
      <c r="B2425" t="inlineStr">
        <is>
          <t>WordPress/src/main/java/org/wordpress/android/widgets/NoticonTextView.java</t>
        </is>
      </c>
      <c r="C2425">
        <f>HYPERLINK("https://github.com/wordpress-mobile/WordPress-Android/blob/master/WordPress/src/main/java/org/wordpress/android/widgets/NoticonTextView.java")</f>
        <v/>
      </c>
      <c r="D2425" t="inlineStr">
        <is>
          <t>The code provided is a custom TextView class named "NoticonTextView". This class extends AppCompatTextView and sets the typeface to use Noticons font when it's initialized. The constructor of this class takes in three parameters (a Context object, an AttributeSet object, and an integer for style). It calls super constructors with these arguments and then set the typeface using Typeface</t>
        </is>
      </c>
      <c r="E2425" t="n">
        <v>0.0037</v>
      </c>
      <c r="F2425" t="n">
        <v>0.0588</v>
      </c>
      <c r="G2425" t="n">
        <v>0.1145</v>
      </c>
      <c r="H2425" t="inlineStr">
        <is>
          <t>The code provided is a custom TextView class in Java that uses the "Noticons.ttf" font for displaying text. This class extends AppCompatTextView and sets its typeface to Noticons when it's constructed. It also has three constructors with different parameters for setting attributes of this view. The complexity here is O(N), where N represents the number of lines in the code</t>
        </is>
      </c>
      <c r="I2425" t="n">
        <v>0.0036</v>
      </c>
      <c r="J2425" t="n">
        <v>0.0563</v>
      </c>
      <c r="K2425" t="n">
        <v>0.1136</v>
      </c>
      <c r="L2425" t="inlineStr">
        <is>
          <t>The provided code is a custom TextView class called NoticonTextView that extends AppCompatTextView from the Android support library. This class sets its typeface to "Noticons.ttf", which seems to be an icon font used for displaying icons in the app. The purpose of this class appears to be to provide consistent styling and behavior across all text views within the application using the noticon font</t>
        </is>
      </c>
      <c r="M2425" t="n">
        <v>0.0034</v>
      </c>
      <c r="N2425" t="n">
        <v>0.0548</v>
      </c>
      <c r="O2425" t="n">
        <v>0.1103</v>
      </c>
    </row>
    <row r="2426">
      <c r="A2426" t="inlineStr">
        <is>
          <t>wordpress</t>
        </is>
      </c>
      <c r="B2426" t="inlineStr">
        <is>
          <t>WordPress/src/main/java/org/wordpress/android/widgets/WPViewPager2Transformer.kt</t>
        </is>
      </c>
      <c r="C2426">
        <f>HYPERLINK("https://github.com/wordpress-mobile/WordPress-Android/blob/master/WordPress/src/main/java/org/wordpress/android/widgets/WPViewPager2Transformer.kt")</f>
        <v/>
      </c>
      <c r="D2426" t="inlineStr">
        <is>
          <t>```java
// This class is a clone of WPViewPagerTransformer but adapted for ViewPager2 compatibility. 
// The purpose of this class is to ease the migration from ViewPager to ViewPager2 by providing a drop-in replacement for wherever the ViewPager-based transformer was used.
public class WPViewPager2Transform</t>
        </is>
      </c>
      <c r="E2426" t="n">
        <v>0.0042</v>
      </c>
      <c r="F2426" t="n">
        <v>0.0385</v>
      </c>
      <c r="G2426" t="n">
        <v>0.0431</v>
      </c>
      <c r="H2426" t="inlineStr">
        <is>
          <t>This code is a Kotlin class named `WPViewPager2Transformer` that implements the PageTransformer interface from ViewPager2 library in Android development. The purpose of this class is to provide drop-in replacement for where the ViewPager based transformer was used before migrating from ViewPager to ViewPager2. This class has an enum called TransformType</t>
        </is>
      </c>
      <c r="I2426" t="n">
        <v>0.0044</v>
      </c>
      <c r="J2426" t="n">
        <v>0.0678</v>
      </c>
      <c r="K2426" t="n">
        <v>0.123</v>
      </c>
      <c r="L2426" t="inlineStr">
        <is>
          <t>This code defines a class `WPViewPager2Transformer` that implements the interface `PageTransformer` from ViewPager2 library in Android. The purpose of this class is to provide a drop-in replacement for any existing ViewPager based transformers during migration from ViewPager to ViewPager2. This transformer supports four types of transformations including Flow, Depth,</t>
        </is>
      </c>
      <c r="M2426" t="n">
        <v>0.0045</v>
      </c>
      <c r="N2426" t="n">
        <v>0.06900000000000001</v>
      </c>
      <c r="O2426" t="n">
        <v>0.08260000000000001</v>
      </c>
    </row>
    <row r="2427">
      <c r="A2427" t="inlineStr">
        <is>
          <t>wordpress</t>
        </is>
      </c>
      <c r="B2427" t="inlineStr">
        <is>
          <t>WordPress/src/main/java/org/wordpress/android/widgets/WPDialogSnackbar.java</t>
        </is>
      </c>
      <c r="C2427">
        <f>HYPERLINK("https://github.com/wordpress-mobile/WordPress-Android/blob/master/WordPress/src/main/java/org/wordpress/android/widgets/WPDialogSnackbar.java")</f>
        <v/>
      </c>
      <c r="D2427" t="inlineStr">
        <is>
          <t>```java
// This code is a custom Snackbar implementation with updated design pattern mimicking the Material Design guidelines specifications. 
// It includes views for title, message, positive button, negative button and neutral button. Any empty or null view will be hidden. 
// The only required view is the message view.
// TODO: Remove this old view class as per</t>
        </is>
      </c>
      <c r="E2427" t="n">
        <v>0.0037</v>
      </c>
      <c r="F2427" t="n">
        <v>0.09520000000000001</v>
      </c>
      <c r="G2427" t="n">
        <v>0.1145</v>
      </c>
      <c r="H2427" t="inlineStr">
        <is>
          <t>```java
// This code is a part of the Wordpress Android application and it's used to create snack bars with customizable layout mimicking Material Design guidelines specifications. 
public class CustomSnackBar {
    private Snackbar mSnackbar;
    public CustomSnackBar(@NonNull Context context, @NonNull View view</t>
        </is>
      </c>
      <c r="I2427" t="n">
        <v>0.0054</v>
      </c>
      <c r="J2427" t="n">
        <v>0.08160000000000001</v>
      </c>
      <c r="K2427" t="n">
        <v>0.1327</v>
      </c>
      <c r="L2427" t="inlineStr">
        <is>
          <t>```java
// This code defines a custom Snackbar layout with title, message, positive button, negative button and neutral button. 
// The view is hidden if any of the views are empty or null to mimic the updated design pattern defined in Material Design guidelines (https://material.io/design/components/snackbars.html#spec). 
//</t>
        </is>
      </c>
      <c r="M2427" t="n">
        <v>0.0048</v>
      </c>
      <c r="N2427" t="n">
        <v>0.06900000000000001</v>
      </c>
      <c r="O2427" t="n">
        <v>0.0847</v>
      </c>
    </row>
    <row r="2428">
      <c r="A2428" t="inlineStr">
        <is>
          <t>wordpress</t>
        </is>
      </c>
      <c r="B2428" t="inlineStr">
        <is>
          <t>WordPress/src/main/java/org/wordpress/android/widgets/MySiteTitleAndSubtitleLabelView.kt</t>
        </is>
      </c>
      <c r="C2428">
        <f>HYPERLINK("https://github.com/wordpress-mobile/WordPress-Android/blob/master/WordPress/src/main/java/org/wordpress/android/widgets/MySiteTitleAndSubtitleLabelView.kt")</f>
        <v/>
      </c>
      <c r="D2428" t="inlineStr">
        <is>
          <t>The code provided is a custom view class `MySiteTitleAndSubtitleLabelView` that extends the ConstraintLayout and uses two MaterialTextViews (one for title and one for subtitle). This view works in conjunction with an auto-resizing behavior of the title TextView when the title becomes too long to fit on one line, it wraps onto the next line and reduces text size</t>
        </is>
      </c>
      <c r="E2428" t="n">
        <v>0.0037</v>
      </c>
      <c r="F2428" t="n">
        <v>0.0597</v>
      </c>
      <c r="G2428" t="n">
        <v>0.1154</v>
      </c>
      <c r="H2428" t="inlineStr">
        <is>
          <t>This repository contains backend software components that implement core algorithms. The complexity of the code is O(n), where n represents the number of elements in a collection or iterations required to complete the task. There are comments explaining each part of the implementation for better understanding. It also includes initial commit size as 1000 lines of code.
The provided code snippet appears to be</t>
        </is>
      </c>
      <c r="I2428" t="n">
        <v>0.0037</v>
      </c>
      <c r="J2428" t="n">
        <v>0.1096</v>
      </c>
      <c r="K2428" t="n">
        <v>0.1838</v>
      </c>
      <c r="L2428" t="inlineStr">
        <is>
          <t>The provided code is a custom view class named "MySiteTitleAndSubtitleLabelView" that extends the ConstraintLayout and includes two views - MaterialTextView for title and subtitle labels on My Site fragment. This view works in conjunction with auto-sizing behavior of the title TextView when the title is long, it wraps to next line and reduces text size if necessary. The purpose</t>
        </is>
      </c>
      <c r="M2428" t="n">
        <v>0.0037</v>
      </c>
      <c r="N2428" t="n">
        <v>0.0597</v>
      </c>
      <c r="O2428" t="n">
        <v>0.1145</v>
      </c>
    </row>
    <row r="2429">
      <c r="A2429" t="inlineStr">
        <is>
          <t>wordpress</t>
        </is>
      </c>
      <c r="B2429" t="inlineStr">
        <is>
          <t>WordPress/src/main/java/org/wordpress/android/widgets/PostListButton.kt</t>
        </is>
      </c>
      <c r="C2429">
        <f>HYPERLINK("https://github.com/wordpress-mobile/WordPress-Android/blob/master/WordPress/src/main/java/org/wordpress/android/widgets/PostListButton.kt")</f>
        <v/>
      </c>
      <c r="D2429" t="inlineStr">
        <is>
          <t>The provided code is a custom view class named "PostListButton" that extends LinearLayout in the Android application's Wordpress package. This class seems to be used for displaying buttons within post cards in an app related to blogging or content sharing platforms like WordPress. 
It has three private variables - imageView of type ImageView, textView of type TextView and buttonType</t>
        </is>
      </c>
      <c r="E2429" t="n">
        <v>0.0037</v>
      </c>
      <c r="F2429" t="n">
        <v>0.0597</v>
      </c>
      <c r="G2429" t="n">
        <v>0.1145</v>
      </c>
      <c r="H2429" t="inlineStr">
        <is>
          <t>The code you provided is a custom view class in Kotlin for Android named PostListButton that extends LinearLayout. This class contains three private variables - imageView of type ImageView, textView of type TextView and buttonType which could be null or one of the enum values defined elsewhere in your project. The constructor methods are overridden to allow initialization using either context only (which</t>
        </is>
      </c>
      <c r="I2429" t="n">
        <v>0.0034</v>
      </c>
      <c r="J2429" t="n">
        <v>0.0571</v>
      </c>
      <c r="K2429" t="n">
        <v>0.1111</v>
      </c>
      <c r="L2429" t="inlineStr">
        <is>
          <t>The provided code is a custom Android View class named "PostListButton" that extends the LinearLayout. This view consists of an ImageView and TextView to display different types of buttons in WordPress posts. The main purpose of this class seems to be creating post list buttons with specific configurations based on their type (defined by PostListButtonType). 
Here's a concise</t>
        </is>
      </c>
      <c r="M2429" t="n">
        <v>0.0037</v>
      </c>
      <c r="N2429" t="n">
        <v>0.0597</v>
      </c>
      <c r="O2429" t="n">
        <v>0.0769</v>
      </c>
    </row>
    <row r="2430">
      <c r="A2430" t="inlineStr">
        <is>
          <t>wordpress</t>
        </is>
      </c>
      <c r="B2430" t="inlineStr">
        <is>
          <t>WordPress/src/main/java/org/wordpress/android/widgets/MaterialTextViewWithNumerals.kt</t>
        </is>
      </c>
      <c r="C2430">
        <f>HYPERLINK("https://github.com/wordpress-mobile/WordPress-Android/blob/master/WordPress/src/main/java/org/wordpress/android/widgets/MaterialTextViewWithNumerals.kt")</f>
        <v/>
      </c>
      <c r="D2430" t="inlineStr">
        <is>
          <t>The provided code is a custom MaterialTextView that overrides the setText method to enforce Western Arabic numerals before setting the text on itself. This means any time this widget's text is updated with an input containing Arabic or Eastern Arabic digits (which are not equivalent in western arabic), they will be replaced by their corresponding western arabic numeral equivalents. The</t>
        </is>
      </c>
      <c r="E2430" t="n">
        <v>0.003</v>
      </c>
      <c r="F2430" t="n">
        <v>0.029</v>
      </c>
      <c r="G2430" t="n">
        <v>0.0379</v>
      </c>
      <c r="H2430" t="inlineStr">
        <is>
          <t>The provided code is a custom implementation of MaterialTextView class in Android that overrides the setText method to enforce Western Arabic numerals before setting text on the view. The function `enforceWesternArabicNumerals` takes an input string and replaces any non-western arabic numeral characters with their western equivalent. This ensures all numbers displayed are in the correct format for</t>
        </is>
      </c>
      <c r="I2430" t="n">
        <v>0.0038</v>
      </c>
      <c r="J2430" t="n">
        <v>0.09089999999999999</v>
      </c>
      <c r="K2430" t="n">
        <v>0.155</v>
      </c>
      <c r="L2430" t="inlineStr">
        <is>
          <t>```java
The given code is a custom MaterialTextView class named "MaterialTextViewWithNumerals". This class extends the default MaterialTextView provided by Google's material design library and overrides its setText method to enforce Western Arabic numerals in any text passed into it. 
It does so by utilizing an extension function 'enforceWesternArabicNumerals()',</t>
        </is>
      </c>
      <c r="M2430" t="n">
        <v>0.0045</v>
      </c>
      <c r="N2430" t="n">
        <v>0.0702</v>
      </c>
      <c r="O2430" t="n">
        <v>0.125</v>
      </c>
    </row>
    <row r="2431">
      <c r="A2431" t="inlineStr">
        <is>
          <t>wordpress</t>
        </is>
      </c>
      <c r="B2431" t="inlineStr">
        <is>
          <t>WordPress/src/main/java/org/wordpress/android/widgets/WPScrollView.java</t>
        </is>
      </c>
      <c r="C2431">
        <f>HYPERLINK("https://github.com/wordpress-mobile/WordPress-Android/blob/master/WordPress/src/main/java/org/wordpress/android/widgets/WPScrollView.java")</f>
        <v/>
      </c>
      <c r="D2431" t="inlineStr">
        <is>
          <t>The code provided is a custom ScrollView class named WPScrollView that extends NestedScrollView and includes an interface called ScrollDirectionListener with three methods - onScrollUp(), onScrollDown() and onScrollCompleted(). The purpose of this implementation seems to be to report when the user has scrolled up or down, as well as when scrolling has completed.</t>
        </is>
      </c>
      <c r="E2431" t="n">
        <v>0.0035</v>
      </c>
      <c r="F2431" t="n">
        <v>0.0678</v>
      </c>
      <c r="G2431" t="n">
        <v>0.121</v>
      </c>
      <c r="H2431" t="inlineStr">
        <is>
          <t>The provided code is a custom implementation of the ScrollView class in Android which listens for scroll events and notifies listeners when scrolling up or down has completed. The class extends NestedScrollView to support nested scrolling within its content. It uses an interface (`ScrollDirectionListener`) that defines methods to be called upon different types of scroll actions. This includes `onScrollUp</t>
        </is>
      </c>
      <c r="I2431" t="n">
        <v>0.0037</v>
      </c>
      <c r="J2431" t="n">
        <v>0.0597</v>
      </c>
      <c r="K2431" t="n">
        <v>0.1527</v>
      </c>
      <c r="L2431" t="inlineStr">
        <is>
          <t>The provided code is a custom ScrollView class named WPScrollView that extends NestedScrollView and has an interface called ScrollDirectionListener with three methods - onScrollUp(), onScrollDown() and onScrollCompleted(). The purpose of this class seems to be to report when the user scrolls up or down (or scrolling completion) by providing feedback in terms of distance trav</t>
        </is>
      </c>
      <c r="M2431" t="n">
        <v>0.0033</v>
      </c>
      <c r="N2431" t="n">
        <v>0.0323</v>
      </c>
      <c r="O2431" t="n">
        <v>0.07870000000000001</v>
      </c>
    </row>
    <row r="2432">
      <c r="A2432" t="inlineStr">
        <is>
          <t>wordpress</t>
        </is>
      </c>
      <c r="B2432" t="inlineStr">
        <is>
          <t>WordPress/src/main/java/org/wordpress/android/widgets/CheckedLinearLayout.java</t>
        </is>
      </c>
      <c r="C2432">
        <f>HYPERLINK("https://github.com/wordpress-mobile/WordPress-Android/blob/master/WordPress/src/main/java/org/wordpress/android/widgets/CheckedLinearLayout.java")</f>
        <v/>
      </c>
      <c r="D2432" t="inlineStr">
        <is>
          <t>This code is a custom implementation of the LinearLayout class in Android that extends it to include Checkable functionality. The purpose seems to be to create an expandable list view with check boxes for each item. 
 It does this by overriding the onFinishInflate() method from its parent (LinearLayout). Inside this function, it iterates through all children</t>
        </is>
      </c>
      <c r="E2432" t="n">
        <v>0.0033</v>
      </c>
      <c r="F2432" t="n">
        <v>0.09379999999999999</v>
      </c>
      <c r="G2432" t="n">
        <v>0.0781</v>
      </c>
      <c r="H2432" t="inlineStr">
        <is>
          <t>The code provided is a custom implementation of the CheckedLinearLayout class in Java which extends LinearLayout and implements the Checkable interface from Android's widgets package. This class has an instance variable mCheckbox that stores a reference to any child view within this layout that is also a CheckedTextView. The setter method `setChecked()` changes whether or not the checkbox</t>
        </is>
      </c>
      <c r="I2432" t="n">
        <v>0.0041</v>
      </c>
      <c r="J2432" t="n">
        <v>0.0597</v>
      </c>
      <c r="K2432" t="n">
        <v>0.1154</v>
      </c>
      <c r="L2432" t="inlineStr">
        <is>
          <t>The provided code is a custom view class `CheckedLinearLayout` that extends the LinearLayout and implements Checkable interface in Android. This class has one instance variable of type `CheckedTextView` named mCheckbox. 
It takes two parameters during initialization - Context and AttributeSet which are passed to its super constructor (LinearLayout). The main functionality it provides</t>
        </is>
      </c>
      <c r="M2432" t="n">
        <v>0.0049</v>
      </c>
      <c r="N2432" t="n">
        <v>0.0667</v>
      </c>
      <c r="O2432" t="n">
        <v>0.16</v>
      </c>
    </row>
    <row r="2433">
      <c r="A2433" t="inlineStr">
        <is>
          <t>wordpress</t>
        </is>
      </c>
      <c r="B2433" t="inlineStr">
        <is>
          <t>WordPress/src/main/java/org/wordpress/android/widgets/WPSwipeSnackbar.java</t>
        </is>
      </c>
      <c r="C2433">
        <f>HYPERLINK("https://github.com/wordpress-mobile/WordPress-Android/blob/master/WordPress/src/main/java/org/wordpress/android/widgets/WPSwipeSnackbar.java")</f>
        <v/>
      </c>
      <c r="D2433" t="inlineStr">
        <is>
          <t>The provided code is a Java class named `WPSwipeSnackbar` that uses the Snackbar component from Google's Material library to provide feedback to users about swipe gestures in ViewPager2 instances. 
It defines an enum called `SwipeArrows` which represents different types of arrow directions for snackbars indicating swipes (left</t>
        </is>
      </c>
      <c r="E2433" t="n">
        <v>0</v>
      </c>
      <c r="F2433" t="n">
        <v>0</v>
      </c>
      <c r="G2433" t="n">
        <v>0.042</v>
      </c>
      <c r="H2433" t="inlineStr">
        <is>
          <t>The function `show` in the class `WPSwipeSnackbar` is used to show a Snackbar on a ViewPager2 object indicating that users can swipe to see more pages of content. The complexity of this operation is O(n), where n represents the number of items contained within the RecyclerView (or ViewPager2). It uses an enum</t>
        </is>
      </c>
      <c r="I2433" t="n">
        <v>0</v>
      </c>
      <c r="J2433" t="n">
        <v>0.0328</v>
      </c>
      <c r="K2433" t="n">
        <v>0.0806</v>
      </c>
      <c r="L2433" t="inlineStr">
        <is>
          <t>The provided code is a Java class named "WPSwipeSnackbar" that utilizes the ViewPager2 component from Android to create and display Snackbars for users indicating they can swipe more pages. The purpose of this class is to provide visual cues to the user about additional content available in the ViewPager by showing snack bars with arrow indicators.</t>
        </is>
      </c>
      <c r="M2433" t="n">
        <v>0.0033</v>
      </c>
      <c r="N2433" t="n">
        <v>0.0312</v>
      </c>
      <c r="O2433" t="n">
        <v>0.0781</v>
      </c>
    </row>
    <row r="2434">
      <c r="A2434" t="inlineStr">
        <is>
          <t>wordpress</t>
        </is>
      </c>
      <c r="B2434" t="inlineStr">
        <is>
          <t>WordPress/src/main/java/org/wordpress/android/widgets/WPViewPagerTransformer.java</t>
        </is>
      </c>
      <c r="C2434">
        <f>HYPERLINK("https://github.com/wordpress-mobile/WordPress-Android/blob/master/WordPress/src/main/java/org/wordpress/android/widgets/WPViewPagerTransformer.java")</f>
        <v/>
      </c>
      <c r="D2434" t="inlineStr">
        <is>
          <t>The provided code is a custom ViewPager transformer that applies different transformations to the pages of a ViewPager based on their visibility and scroll position. The transformation type (Flow, Depth, Zoom, Slide Over) can be selected when creating an instance of WPViewPagerTransformer. 
It uses enum TransformType to define four types of page transformers</t>
        </is>
      </c>
      <c r="E2434" t="n">
        <v>0.0035</v>
      </c>
      <c r="F2434" t="n">
        <v>0.0328</v>
      </c>
      <c r="G2434" t="n">
        <v>0.08</v>
      </c>
      <c r="H2434" t="inlineStr">
        <is>
          <t>The provided code is an implementation of a ViewPager transformer in Android that applies different transformations to the pages as they are scrolled or visible on screen. The transformation type (flow, depth, zoom, slide over), which is determined by the user at runtime, affects how each page is transformed based on its position and scale relative to other pages. This can be useful for creating more engaging UI experiences</t>
        </is>
      </c>
      <c r="I2434" t="n">
        <v>0.0031</v>
      </c>
      <c r="J2434" t="n">
        <v>0.0519</v>
      </c>
      <c r="K2434" t="n">
        <v>0.1418</v>
      </c>
      <c r="L2434" t="inlineStr">
        <is>
          <t>The provided code is a custom implementation of the PageTransformer interface in Android's ViewPager library. This class is designed to transform pages as they are being scrolled or attached based on different types of transformations such as FLOW, DEPTH, ZOOM and SLIDE OVER. The transformation animations are invoked when the visible/attached page is about to change before this</t>
        </is>
      </c>
      <c r="M2434" t="n">
        <v>0.0037</v>
      </c>
      <c r="N2434" t="n">
        <v>0.0588</v>
      </c>
      <c r="O2434" t="n">
        <v>0.1154</v>
      </c>
    </row>
    <row r="2435">
      <c r="A2435" t="inlineStr">
        <is>
          <t>wordpress</t>
        </is>
      </c>
      <c r="B2435" t="inlineStr">
        <is>
          <t>WordPress/src/main/java/org/wordpress/android/widgets/PostListButtonType.kt</t>
        </is>
      </c>
      <c r="C2435">
        <f>HYPERLINK("https://github.com/wordpress-mobile/WordPress-Android/blob/master/WordPress/src/main/java/org/wordpress/android/widgets/PostListButtonType.kt")</f>
        <v/>
      </c>
      <c r="D2435" t="inlineStr">
        <is>
          <t>ThegivenJava code is a definition of an enum class named PostListButtonType that represents different types of buttons in the WordPress Android application. Each button type has several properties associated with it including its value (integer identifier), text resource ID (@StringRes), icon resource ID (@DrawableRes), color attribute ID (@AttrRes), group ID and position within the group. The constants defined at the top</t>
        </is>
      </c>
      <c r="E2435" t="n">
        <v>0.003</v>
      </c>
      <c r="F2435" t="n">
        <v>0.029</v>
      </c>
      <c r="G2435" t="n">
        <v>0.0376</v>
      </c>
      <c r="H2435" t="inlineStr">
        <is>
          <t>The provided code is a Java class named `PostListButton` that represents buttons in an application with various properties such as text resource ID, icon resource ID, color attribute ID, group ID and position within the group. It also has constants for different groups of buttons. The complexity of this implementation is O(1).
Here's a concise summary of its functionality: This class</t>
        </is>
      </c>
      <c r="I2435" t="n">
        <v>0.0036</v>
      </c>
      <c r="J2435" t="n">
        <v>0.08450000000000001</v>
      </c>
      <c r="K2435" t="n">
        <v>0.1128</v>
      </c>
      <c r="L2435" t="inlineStr">
        <is>
          <t>The provided code is a Java class named `PostListButton` that represents different types of buttons in the WordPress Android application. This class has been designed with maintainability and comprehensibility as its primary goals.
It defines an enum type called `PostListButtonType` which holds various instances representing different button types such as EDIT (which edits posts), VIEW (views posts),</t>
        </is>
      </c>
      <c r="M2435" t="n">
        <v>0.0038</v>
      </c>
      <c r="N2435" t="n">
        <v>0.0615</v>
      </c>
      <c r="O2435" t="n">
        <v>0.0775</v>
      </c>
    </row>
    <row r="2436">
      <c r="A2436" t="inlineStr">
        <is>
          <t>wordpress</t>
        </is>
      </c>
      <c r="B2436" t="inlineStr">
        <is>
          <t>WordPress/src/main/java/org/wordpress/android/widgets/SuggestionAutoCompleteText.java</t>
        </is>
      </c>
      <c r="C2436">
        <f>HYPERLINK("https://github.com/wordpress-mobile/WordPress-Android/blob/master/WordPress/src/main/java/org/wordpress/android/widgets/SuggestionAutoCompleteText.java")</f>
        <v/>
      </c>
      <c r="D2436" t="inlineStr">
        <is>
          <t>The provided code is a custom implementation of the AutoCompleteTextView in Android that includes features such as persistent data storage and tokenization for suggestions. It's designed to work with WordPress applications. The complexity seems to be O(n), but without more specific details about its functionality it's hard to say exactly what this means. This class also has an interface named OnEditTextBackListener which might</t>
        </is>
      </c>
      <c r="E2436" t="n">
        <v>0.0038</v>
      </c>
      <c r="F2436" t="n">
        <v>0.0541</v>
      </c>
      <c r="G2436" t="n">
        <v>0.1481</v>
      </c>
      <c r="H2436" t="inlineStr">
        <is>
          <t>The provided code is a Java class named `SuggestionAutoCompleteTextView` that extends the AppCompatMultiAutoCompleteTextView from Android's support library. This class has several private fields and an interface for handling back button events in addition to some public methods. The complexity of this implementation can be considered O(N), where N represents the number of lines of code. It seems like there are</t>
        </is>
      </c>
      <c r="I2436" t="n">
        <v>0.0036</v>
      </c>
      <c r="J2436" t="n">
        <v>0.0571</v>
      </c>
      <c r="K2436" t="n">
        <v>0.1136</v>
      </c>
      <c r="L2436" t="inlineStr">
        <is>
          <t>The provided code is a custom implementation of AppCompatMultiAutoCompleteTextView with additional functionalities such as persistent edit text and back listener functionality. The main purpose of the class SuggestionAutoCompleteTextextends AppCompatMultiAutoCompleteTextView which extends Multi Auto Complete Text View in Android. This extended view provides enhanced features like handling persistent edits and listening to back button events.</t>
        </is>
      </c>
      <c r="M2436" t="n">
        <v>0.004</v>
      </c>
      <c r="N2436" t="n">
        <v>0.0968</v>
      </c>
      <c r="O2436" t="n">
        <v>0.1587</v>
      </c>
    </row>
    <row r="2437">
      <c r="A2437" t="inlineStr">
        <is>
          <t>wordpress</t>
        </is>
      </c>
      <c r="B2437" t="inlineStr">
        <is>
          <t>WordPress/src/main/java/org/wordpress/android/widgets/NestedCoordinatorLayout.kt</t>
        </is>
      </c>
      <c r="C2437">
        <f>HYPERLINK("https://github.com/wordpress-mobile/WordPress-Android/blob/master/WordPress/src/main/java/org/wordpress/android/widgets/NestedCoordinatorLayout.kt")</f>
        <v/>
      </c>
      <c r="D2437" t="inlineStr">
        <is>
          <t>The provided code is a custom implementation of the CoordinatorLayout that can be nested inside another CoordinatorLayout and it propagates its scroll state to the child views within itself. This allows for more complex layouts where different behaviors are applied based on whether or not they're in a NestedScroll view hierarchy. The complexity here is O(n).
It uses Android'</t>
        </is>
      </c>
      <c r="E2437" t="n">
        <v>0.0037</v>
      </c>
      <c r="F2437" t="n">
        <v>0.058</v>
      </c>
      <c r="G2437" t="n">
        <v>0.1527</v>
      </c>
      <c r="H2437" t="inlineStr">
        <is>
          <t>The code you provided is a custom Android View class that extends the CoordinatorLayout and implements NestedScrollingChild3 interfaces. The purpose of this view seems to be handling nested scrolling within another CoordinatorLayout. It also appears to have some logic for enabling or disabling nested scrolling based on certain conditions. 
In terms of functionality, it looks like it'</t>
        </is>
      </c>
      <c r="I2437" t="n">
        <v>0.0038</v>
      </c>
      <c r="J2437" t="n">
        <v>0.0615</v>
      </c>
      <c r="K2437" t="n">
        <v>0.1163</v>
      </c>
      <c r="L2437" t="inlineStr">
        <is>
          <t>The provided code is a custom Android View class named NestedCoordinatorLayout that extends the CoordinatorLayout and implements the NestedScrollingChild3 interface. It's designed to manage nested scrolling within another CoordinatorLayout by propagating its scroll state changes. The main purpose of this view seems to be managing the interaction between different types of layouts in an application with complex</t>
        </is>
      </c>
      <c r="M2437" t="n">
        <v>0.0038</v>
      </c>
      <c r="N2437" t="n">
        <v>0.0303</v>
      </c>
      <c r="O2437" t="n">
        <v>0.1163</v>
      </c>
    </row>
    <row r="2438">
      <c r="A2438" t="inlineStr">
        <is>
          <t>wordpress</t>
        </is>
      </c>
      <c r="B2438" t="inlineStr">
        <is>
          <t>WordPress/src/main/java/org/wordpress/android/widgets/ColorUnderlineSpan.kt</t>
        </is>
      </c>
      <c r="C2438">
        <f>HYPERLINK("https://github.com/wordpress-mobile/WordPress-Android/blob/master/WordPress/src/main/java/org/wordpress/android/widgets/ColorUnderlineSpan.kt")</f>
        <v/>
      </c>
      <c r="D2438" t="inlineStr">
        <is>
          <t>```python
# This code defines a custom CharacterStyle class named ColorUnderlineSpan which underlines text with a specific color and thickness of 5 units. The updateDrawState method is overridden to apply the desired styling on TextPaint object. It uses reflection to call setUnderlineText method but if it fails due to an exception, it falls back to setting</t>
        </is>
      </c>
      <c r="E2438" t="n">
        <v>0.0039</v>
      </c>
      <c r="F2438" t="n">
        <v>0.0635</v>
      </c>
      <c r="G2438" t="n">
        <v>0.1172</v>
      </c>
      <c r="H2438" t="inlineStr">
        <is>
          <t>The provided code is a custom Android class named "ClassColorUnderlineSpan" that extends the CharacterStyle class from android's Text library and implements UpdateAppearance interface to update text appearance in some cases where background color of LineBackgroundSpan ignores part of string. The function `updateDrawState` updates underline properties of the given TextPaint object by setting its color and thickness.</t>
        </is>
      </c>
      <c r="I2438" t="n">
        <v>0.0039</v>
      </c>
      <c r="J2438" t="n">
        <v>0.09229999999999999</v>
      </c>
      <c r="K2438" t="n">
        <v>0.1172</v>
      </c>
      <c r="L2438" t="inlineStr">
        <is>
          <t>The provided code is a custom Android class named "ColorUnderlineSpan". This class extends the abstract class "CharacterStyle" and implements an interface called "UpdateAppearance". The purpose of this class seems to be to add underlines with a specific color to text in Android applications.
It does so by overriding the method "updateDrawState()" from the superclass "Text</t>
        </is>
      </c>
      <c r="M2438" t="n">
        <v>0.0044</v>
      </c>
      <c r="N2438" t="n">
        <v>0.0635</v>
      </c>
      <c r="O2438" t="n">
        <v>0.1181</v>
      </c>
    </row>
    <row r="2439">
      <c r="A2439" t="inlineStr">
        <is>
          <t>wordpress</t>
        </is>
      </c>
      <c r="B2439" t="inlineStr">
        <is>
          <t>WordPress/src/main/java/org/wordpress/android/widgets/AppReviewsManagerWrapper.kt</t>
        </is>
      </c>
      <c r="C2439">
        <f>HYPERLINK("https://github.com/wordpress-mobile/WordPress-Android/blob/master/WordPress/src/main/java/org/wordpress/android/widgets/AppReviewsManagerWrapper.kt")</f>
        <v/>
      </c>
      <c r="D2439" t="inlineStr">
        <is>
          <t>The provided code is a wrapper class for the AppReviewManager which handles notifications and analytics tracking related to app reviews in an Android application. The wrapper provides two methods - onNotificationReceived() and incrementInteractions(). These are mockable functions created for testing purposes using dependency injection (Inject constructor). It has O(N) complexity due to its single pass nature but does not seem to contain any</t>
        </is>
      </c>
      <c r="E2439" t="n">
        <v>0.0029</v>
      </c>
      <c r="F2439" t="n">
        <v>0.0282</v>
      </c>
      <c r="G2439" t="n">
        <v>0.0741</v>
      </c>
      <c r="H2439" t="inlineStr">
        <is>
          <t>The provided code is a mockable wrapper for the AppReviewManager class in Android application development. The functionality of this code includes two methods - onNotificationReceived and incrementInteractions which are wrappers around their respective functions from the AppReviewManager class. This provides an interface to interact with the analytics tracker while also allowing testing without directly interacting with the underlying manager.
The '</t>
        </is>
      </c>
      <c r="I2439" t="n">
        <v>0.0039</v>
      </c>
      <c r="J2439" t="n">
        <v>0.0597</v>
      </c>
      <c r="K2439" t="n">
        <v>0.1128</v>
      </c>
      <c r="L2439" t="inlineStr">
        <is>
          <t>```java
The provided code is a Mockable wrapper class for the AppReviewManager in Android application's backend components. This class provides two methods to manage app reviews and interactions with users. 
It takes note as an input parameter when onNotificationReceived method is called which updates the review manager based on received notifications. The incrementInteractions function increments user interaction statistics using Analy</t>
        </is>
      </c>
      <c r="M2439" t="n">
        <v>0.0036</v>
      </c>
      <c r="N2439" t="n">
        <v>0.058</v>
      </c>
      <c r="O2439" t="n">
        <v>0.1136</v>
      </c>
    </row>
    <row r="2440">
      <c r="A2440" t="inlineStr">
        <is>
          <t>wordpress</t>
        </is>
      </c>
      <c r="B2440" t="inlineStr">
        <is>
          <t>WordPress/src/main/java/org/wordpress/android/widgets/DiffView.kt</t>
        </is>
      </c>
      <c r="C2440">
        <f>HYPERLINK("https://github.com/wordpress-mobile/WordPress-Android/blob/master/WordPress/src/main/java/org/wordpress/android/widgets/DiffView.kt")</f>
        <v/>
      </c>
      <c r="D2440" t="inlineStr">
        <is>
          <t>The code provided is a custom MaterialTextView subclass in Android that displays differences between two versions of text (or revisions). It has three constructors to initialize the object with different parameters and it includes a function showDiffs which takes an array of Diff objects as input and shows them on the TextView. The complexity of this operation is O(n), where n represents the number of diff operations</t>
        </is>
      </c>
      <c r="E2440" t="n">
        <v>0.0027</v>
      </c>
      <c r="F2440" t="n">
        <v>0.0526</v>
      </c>
      <c r="G2440" t="n">
        <v>0.1079</v>
      </c>
      <c r="H2440" t="inlineStr">
        <is>
          <t>The provided code is a custom implementation of the Diff View in Android using Material TextView for displaying diff operations like additions and deletions. The `showDiffs` function takes an array of differences (diffs), processes them to generate different spans based on their type (add or delete operation), and then applies these spans onto the text view. This allows users to visually see what</t>
        </is>
      </c>
      <c r="I2440" t="n">
        <v>0.0034</v>
      </c>
      <c r="J2440" t="n">
        <v>0.08450000000000001</v>
      </c>
      <c r="K2440" t="n">
        <v>0.1481</v>
      </c>
      <c r="L2440" t="inlineStr">
        <is>
          <t>The provided code is a custom MaterialTextView subclass named 'DiffView'. This class has three constructors and one additional function called 'showDiffs' which takes in a parameter of type 'List&lt;Diff&gt;', where each Diff object represents the differences between two versions of content (e.g., revisions). 
The showDiffs function appears to display these diff objects as</t>
        </is>
      </c>
      <c r="M2440" t="n">
        <v>0.0041</v>
      </c>
      <c r="N2440" t="n">
        <v>0.0635</v>
      </c>
      <c r="O2440" t="n">
        <v>0.12</v>
      </c>
    </row>
    <row r="2441">
      <c r="A2441" t="inlineStr">
        <is>
          <t>wordpress</t>
        </is>
      </c>
      <c r="B2441" t="inlineStr">
        <is>
          <t>WordPress/src/main/java/org/wordpress/android/widgets/AppReviewManager.kt</t>
        </is>
      </c>
      <c r="C2441">
        <f>HYPERLINK("https://github.com/wordpress-mobile/WordPress-Android/blob/master/WordPress/src/main/java/org/wordpress/android/widgets/AppReviewManager.kt")</f>
        <v/>
      </c>
      <c r="D2441" t="inlineStr">
        <is>
          <t>The provided code is a part of the WordPress Android application and it handles in-app reviews for users who have published posts or received notifications on their device. It uses Shared Preferences to store data about how many times the user has launched the app since they last rated it, as well as any interactions with the review prompt (e.g., if they clicked "Yes", "No</t>
        </is>
      </c>
      <c r="E2441" t="n">
        <v>0.0028</v>
      </c>
      <c r="F2441" t="n">
        <v>0.0267</v>
      </c>
      <c r="G2441" t="n">
        <v>0.073</v>
      </c>
      <c r="H2441" t="inlineStr">
        <is>
          <t>The provided code is a Java implementation of an in-app review system for Android applications using Google Play In-app Review API. It uses Shared Preferences to store data related to the number of times the app has been launched and interacted with before showing reviews. The `add` function does not seem to be part of this code as it's imported from another package. However, if you</t>
        </is>
      </c>
      <c r="I2441" t="n">
        <v>0.0028</v>
      </c>
      <c r="J2441" t="n">
        <v>0.0519</v>
      </c>
      <c r="K2441" t="n">
        <v>0.1449</v>
      </c>
      <c r="L2441" t="inlineStr">
        <is>
          <t>ThegivencodefileimplementsaRateMyAppfeatureforWordPressAndroidapplication.ItusesSharedPreferencestokeeptrackofhowmanytimesauserhaslaunchedtheratingdialogandanyratingsubmittedbythemself.Ifatleast2postsarepublishedor10notificationsreceivedsinceaprevioselyshowedratingdialog,thenastarteratingdialogwillbeshown</t>
        </is>
      </c>
      <c r="M2441" t="n">
        <v>0</v>
      </c>
      <c r="N2441" t="n">
        <v>0</v>
      </c>
      <c r="O2441" t="n">
        <v>0</v>
      </c>
    </row>
    <row r="2442">
      <c r="A2442" t="inlineStr">
        <is>
          <t>wordpress</t>
        </is>
      </c>
      <c r="B2442" t="inlineStr">
        <is>
          <t>WordPress/src/main/java/org/wordpress/android/widgets/HeaderGridView.java</t>
        </is>
      </c>
      <c r="C2442">
        <f>HYPERLINK("https://github.com/wordpress-mobile/WordPress-Android/blob/master/WordPress/src/main/java/org/wordpress/android/widgets/HeaderGridView.java")</f>
        <v/>
      </c>
      <c r="D2442" t="inlineStr">
        <is>
          <t>```plaintext
This code is a custom Android widget that displays posts from WordPress in an app. It's licensed under the Apache License 2.0 and it provides functionality for filtering data based on certain criteria. The copyright notice indicates that this software comes with no warranty of any kind - you may obtain a copy at http://www.apache.org/licenses/LIC</t>
        </is>
      </c>
      <c r="E2442" t="n">
        <v>0.0046</v>
      </c>
      <c r="F2442" t="n">
        <v>0.0571</v>
      </c>
      <c r="G2442" t="n">
        <v>0.2466</v>
      </c>
      <c r="H2442" t="inlineStr">
        <is>
          <t>```java
// Copyright (C) 2013 The Android Open Source Project
// Licensed under the Apache License, Version 2.0 (the "License");
// you may not use this file except in compliance with the License.
// You may obtain a copy of the License at
// http://www.apache.org/licenses/LICENSE</t>
        </is>
      </c>
      <c r="I2442" t="n">
        <v>0</v>
      </c>
      <c r="J2442" t="n">
        <v>0.037</v>
      </c>
      <c r="K2442" t="n">
        <v>0.08550000000000001</v>
      </c>
      <c r="L2442" t="inlineStr">
        <is>
          <t>```java
/* 
 * Copyright (C) 2013 The Android Open Source Project
 * Licensed under the Apache License, Version 2.0 (the "License");
 * you may not use this file except in compliance with the License.
 * You may obtain a copy of the License at
 * http://www.apache.org/lic</t>
        </is>
      </c>
      <c r="M2442" t="n">
        <v>0</v>
      </c>
      <c r="N2442" t="n">
        <v>0.0377</v>
      </c>
      <c r="O2442" t="n">
        <v>0.0847</v>
      </c>
    </row>
    <row r="2443">
      <c r="A2443" t="inlineStr">
        <is>
          <t>wordpress</t>
        </is>
      </c>
      <c r="B2443" t="inlineStr">
        <is>
          <t>WordPress/src/main/java/org/wordpress/android/widgets/NestedWebView.kt</t>
        </is>
      </c>
      <c r="C2443">
        <f>HYPERLINK("https://github.com/wordpress-mobile/WordPress-Android/blob/master/WordPress/src/main/java/org/wordpress/android/widgets/NestedWebView.kt")</f>
        <v/>
      </c>
      <c r="D2443" t="inlineStr">
        <is>
          <t>&lt;!--- The code provided is a custom view class for NestedWebView in Android that extends WPWebView and implements the NestedScrollingChild interface from androidx.core.view package. This allows it to work within other views which support nested scrolling such as ScrollView or CoordinatorLayout.  --&gt;
The purpose of this class seems to be</t>
        </is>
      </c>
      <c r="E2443" t="n">
        <v>0.0048</v>
      </c>
      <c r="F2443" t="n">
        <v>0.06900000000000001</v>
      </c>
      <c r="G2443" t="n">
        <v>0.1639</v>
      </c>
      <c r="H2443" t="inlineStr">
        <is>
          <t>The provided code is a custom Android class called NestedWebView that extends WPWebView and implements the NestedScrollingChild3 interface. The purpose of this class seems to be to allow for nested scrolling within a CoordinatorLayout by wrapping the WebView inside a NestedScrollView. This can help solve issues related to scrolling in complex layouts where some views are</t>
        </is>
      </c>
      <c r="I2443" t="n">
        <v>0.0043</v>
      </c>
      <c r="J2443" t="n">
        <v>0.0312</v>
      </c>
      <c r="K2443" t="n">
        <v>0.1172</v>
      </c>
      <c r="L2443" t="inlineStr">
        <is>
          <t>The provided code is a custom Android view class called NestedWebView that extends the WPWebView and implements the NestedScrollingChild3 interface. This class is designed to work within a CoordinatorLayout's AppBarLayout by being nested inside a NestedScrollView. The purpose of this implementation is to solve issues related to scrolling in the layout hierarchy where majority could be</t>
        </is>
      </c>
      <c r="M2443" t="n">
        <v>0.0043</v>
      </c>
      <c r="N2443" t="n">
        <v>0.0615</v>
      </c>
      <c r="O2443" t="n">
        <v>0.1563</v>
      </c>
    </row>
    <row r="2444">
      <c r="A2444" t="inlineStr">
        <is>
          <t>wordpress</t>
        </is>
      </c>
      <c r="B2444" t="inlineStr">
        <is>
          <t>WordPress/src/main/java/org/wordpress/android/widgets/WPNestedScrollView.java</t>
        </is>
      </c>
      <c r="C2444">
        <f>HYPERLINK("https://github.com/wordpress-mobile/WordPress-Android/blob/master/WordPress/src/main/java/org/wordpress/android/widgets/WPNestedScrollView.java")</f>
        <v/>
      </c>
      <c r="D2444" t="inlineStr">
        <is>
          <t>The provided code is a modification of the NestedScrollView class from Android support library v4. It has been modified to override the performAccessibilityAction method in AccessibilityDelegateCompat. The bug reported appears when using an accessibility switch control (e.g., TalkBack), where scrolling doesn't function as expected due to interaction with the scroll view not being registered properly by the system</t>
        </is>
      </c>
      <c r="E2444" t="n">
        <v>0</v>
      </c>
      <c r="F2444" t="n">
        <v>0.0294</v>
      </c>
      <c r="G2444" t="n">
        <v>0.0385</v>
      </c>
      <c r="H2444" t="inlineStr">
        <is>
          <t>The provided code is a modification of the NestedScrollView class from Android support library to fix an accessibility issue with scroll functionality in AccessibilitySwitchControl mode. The bug seems to be related to how the performAccessibilityAction method handles scrolling events when using the switch control. Steps to reproduce this bug are outlined as follows: 
1. Go to Stats page.</t>
        </is>
      </c>
      <c r="I2444" t="n">
        <v>0.0031</v>
      </c>
      <c r="J2444" t="n">
        <v>0.0303</v>
      </c>
      <c r="K2444" t="n">
        <v>0.0769</v>
      </c>
      <c r="L2444" t="inlineStr">
        <is>
          <t>The provided code is a modification of the NestedScrollView class in Android Support Library. The main purpose of this modified version is to fix an accessibility issue where scrolling doesn't work as expected when using Accessibility Switch Control mode. This bug seems to be caused by a problem with the performAccessibilityAction() method in the android support library. To reproduce the bug, one would need</t>
        </is>
      </c>
      <c r="M2444" t="n">
        <v>0.0028</v>
      </c>
      <c r="N2444" t="n">
        <v>0.0274</v>
      </c>
      <c r="O2444" t="n">
        <v>0.0735</v>
      </c>
    </row>
    <row r="2445">
      <c r="A2445" t="inlineStr">
        <is>
          <t>wordpress</t>
        </is>
      </c>
      <c r="B2445" t="inlineStr">
        <is>
          <t>WordPress/src/main/java/org/wordpress/android/widgets/WPPrefView.java</t>
        </is>
      </c>
      <c r="C2445">
        <f>HYPERLINK("https://github.com/wordpress-mobile/WordPress-Android/blob/master/WordPress/src/main/java/org/wordpress/android/widgets/WPPrefView.java")</f>
        <v/>
      </c>
      <c r="D2445" t="inlineStr">
        <is>
          <t>The provided code is a part of the WordPress Android application and it's defining a custom widget for displaying single preference view in an app with Material Design style. The class extends DialogFragment which allows to create dialog-like views that can be displayed as fullscreen or modal on top of other content. It includes various import statements such as android classes (App, Activity, Dialog), widgets</t>
        </is>
      </c>
      <c r="E2445" t="n">
        <v>0.0028</v>
      </c>
      <c r="F2445" t="n">
        <v>0.0267</v>
      </c>
      <c r="G2445" t="n">
        <v>0.073</v>
      </c>
      <c r="H2445" t="inlineStr">
        <is>
          <t>The provided code is a Java implementation of an Android application that includes various components for handling preferences and user input in the form of switches (boolean values). The complexity of this repository appears to be O(n), where n represents the number of preference views it contains. It seems to implement core algorithms related to managing these views and their associated boolean states.
However, without specific details about what</t>
        </is>
      </c>
      <c r="I2445" t="n">
        <v>0.0031</v>
      </c>
      <c r="J2445" t="n">
        <v>0.1026</v>
      </c>
      <c r="K2445" t="n">
        <v>0.2238</v>
      </c>
      <c r="L2445" t="inlineStr">
        <is>
          <t>ThegivenJavaSourceFilerepresentsaWidgetfordisplayingandsavingsinglesitepreferencesinAndroidenvironment.Itincludesclassesrelatedtouiinteraction,datahandling,andothernecessaryfunctions.Keyfeaturesincludeabuttonforsavingsettings,aneditortextfieldforchangingvalues,andausewithswitchcompontentypecheckboxesfortrueor</t>
        </is>
      </c>
      <c r="M2445" t="n">
        <v>0</v>
      </c>
      <c r="N2445" t="n">
        <v>0</v>
      </c>
      <c r="O2445" t="n">
        <v>0</v>
      </c>
    </row>
    <row r="2446">
      <c r="A2446" t="inlineStr">
        <is>
          <t>wordpress</t>
        </is>
      </c>
      <c r="B2446" t="inlineStr">
        <is>
          <t>WordPress/src/main/java/org/wordpress/android/widgets/WPViewPager.java</t>
        </is>
      </c>
      <c r="C2446">
        <f>HYPERLINK("https://github.com/wordpress-mobile/WordPress-Android/blob/master/WordPress/src/main/java/org/wordpress/android/widgets/WPViewPager.java")</f>
        <v/>
      </c>
      <c r="D2446" t="inlineStr">
        <is>
          <t>The code you provided is a custom ViewPager class that extends the standard Android ViewPager by overriding its onInterceptTouchEvent method to handle touch events more effectively in certain scenarios related to "pointer index out of range" bug and compatibility issues with other libraries like PhotoView. The mPagingEnabled variable controls whether paging should be enabled or not. When it's set to</t>
        </is>
      </c>
      <c r="E2446" t="n">
        <v>0.003</v>
      </c>
      <c r="F2446" t="n">
        <v>0.029</v>
      </c>
      <c r="G2446" t="n">
        <v>0.07580000000000001</v>
      </c>
      <c r="H2446" t="inlineStr">
        <is>
          <t>The provided code is a custom implementation of the ViewPager class in Android, specifically designed to handle certain issues related to pointer index out-of-range error that may occur due to compatibility library bugs such as https://code.google.com/p/android/issues/detail?id=16836 and https://code.google.com/p/android/issues/</t>
        </is>
      </c>
      <c r="I2446" t="n">
        <v>0.0049</v>
      </c>
      <c r="J2446" t="n">
        <v>0.0635</v>
      </c>
      <c r="K2446" t="n">
        <v>0.09089999999999999</v>
      </c>
      <c r="L2446" t="inlineStr">
        <is>
          <t>The provided code is a custom implementation of the ViewPager class in Android with an added feature to enable or disable paging based on user preference. The main purpose of this class seems to be to fix a bug related to handling touch events that occurs when using certain compatibility libraries. 
It overrides the `onInterceptTouchEvent` method from the superclass (ViewPager</t>
        </is>
      </c>
      <c r="M2446" t="n">
        <v>0</v>
      </c>
      <c r="N2446" t="n">
        <v>0.0294</v>
      </c>
      <c r="O2446" t="n">
        <v>0.1136</v>
      </c>
    </row>
    <row r="2447">
      <c r="A2447" t="inlineStr">
        <is>
          <t>wordpress</t>
        </is>
      </c>
      <c r="B2447" t="inlineStr">
        <is>
          <t>WordPress/src/main/java/org/wordpress/android/widgets/WPTextView.java</t>
        </is>
      </c>
      <c r="C2447">
        <f>HYPERLINK("https://github.com/wordpress-mobile/WordPress-Android/blob/master/WordPress/src/main/java/org/wordpress/android/widgets/WPTextView.java")</f>
        <v/>
      </c>
      <c r="D2447" t="inlineStr">
        <is>
          <t>The code provided is a custom MaterialTextView that has an option to auto fix widow words in Android application for WordPress. The class `WPTextView` extends the MaterialTextView and includes methods to enable or disable fixing of widows (i.e., short words at the end of lines). This feature can be useful when dealing with text layout issues where one word might get cut off before it reaches the</t>
        </is>
      </c>
      <c r="E2447" t="n">
        <v>0.0032</v>
      </c>
      <c r="F2447" t="n">
        <v>0.0263</v>
      </c>
      <c r="G2447" t="n">
        <v>0.1079</v>
      </c>
      <c r="H2447" t="inlineStr">
        <is>
          <t>The code you provided is a custom MaterialTextView implementation in Java that includes an option to fix widow words (i.e., it adjusts the last letter of one word and the first letter of another so they do not form a separate "wide" character). The functionality relies on Android's built-in TextView class through inheritance.
In terms of complexity, this appears to</t>
        </is>
      </c>
      <c r="I2447" t="n">
        <v>0.0036</v>
      </c>
      <c r="J2447" t="n">
        <v>0.0563</v>
      </c>
      <c r="K2447" t="n">
        <v>0.1515</v>
      </c>
      <c r="L2447" t="inlineStr">
        <is>
          <t>The provided code is for a custom MaterialTextView in Android that has an option to auto fix widow words. The class extends the default MaterialTextView and adds an additional boolean flag `mFixWidowWordEnabled` which controls whether or not this feature should be enabled. There are also getter and setter methods for this flag. Additionally, there's a method called readCustomAttrs()</t>
        </is>
      </c>
      <c r="M2447" t="n">
        <v>0.0031</v>
      </c>
      <c r="N2447" t="n">
        <v>0.0597</v>
      </c>
      <c r="O2447" t="n">
        <v>0.0769</v>
      </c>
    </row>
    <row r="2448">
      <c r="A2448" t="inlineStr">
        <is>
          <t>wordpress</t>
        </is>
      </c>
      <c r="B2448" t="inlineStr">
        <is>
          <t>WordPress/src/main/java/org/wordpress/android/networking/OAuthAuthenticator.java</t>
        </is>
      </c>
      <c r="C2448">
        <f>HYPERLINK("https://github.com/wordpress-mobile/WordPress-Android/blob/master/WordPress/src/main/java/org/wordpress/android/networking/OAuthAuthenticator.java")</f>
        <v/>
      </c>
      <c r="D2448" t="inlineStr">
        <is>
          <t>The provided code is an implementation of the OAuth Authenticator in Android using Flux-Capacitor (a library for managing network requests). The authenticator takes a non-null Access Token as input and uses it to authenticate HTTP Requests made by the application. It does this by invoking `sendWithAccessToken()` method on the request object with the token value passed</t>
        </is>
      </c>
      <c r="E2448" t="n">
        <v>0.0033</v>
      </c>
      <c r="F2448" t="n">
        <v>0.0606</v>
      </c>
      <c r="G2448" t="n">
        <v>0.1563</v>
      </c>
      <c r="H2448" t="inlineStr">
        <is>
          <t>The code you provided is an implementation of the OAuth Authenticator in Java. It uses a non-null access token to authenticate requests made by Flux C (WordPress Android networking library). The complexity here is O(N), where N represents the number of characters in the request object. This could be considered as linear time complexity because we are iterating over each character in the string</t>
        </is>
      </c>
      <c r="I2448" t="n">
        <v>0.0028</v>
      </c>
      <c r="J2448" t="n">
        <v>0.027</v>
      </c>
      <c r="K2448" t="n">
        <v>0.1103</v>
      </c>
      <c r="L2448" t="inlineStr">
        <is>
          <t>&lt;!-- This is a concise and clear summary of the functionality of the provided code --&gt;
The `OAuthAuthenticator` class in this package implements an authenticator for WordPress Android application using OAuth 2.0 protocol. The purpose of this class is to handle authentication requests by including access token from the given Access Token object when sending these requests. It uses F</t>
        </is>
      </c>
      <c r="M2448" t="n">
        <v>0.0043</v>
      </c>
      <c r="N2448" t="n">
        <v>0.0597</v>
      </c>
      <c r="O2448" t="n">
        <v>0.1515</v>
      </c>
    </row>
    <row r="2449">
      <c r="A2449" t="inlineStr">
        <is>
          <t>wordpress</t>
        </is>
      </c>
      <c r="B2449" t="inlineStr">
        <is>
          <t>WordPress/src/main/java/org/wordpress/android/networking/GlideRequestFactory.kt</t>
        </is>
      </c>
      <c r="C2449">
        <f>HYPERLINK("https://github.com/wordpress-mobile/WordPress-Android/blob/master/WordPress/src/main/java/org/wordpress/android/networking/GlideRequestFactory.kt")</f>
        <v/>
      </c>
      <c r="D2449" t="inlineStr">
        <is>
          <t>The given code is a custom Glide library request factory that extends the VolleyRequestFactory class of the Android Glide library to add authorization headers and make sure requests to WordPress.com endpoints. The timeout for loading complex images at server side is set as 15 seconds in milliseconds. This implementation uses Singleton design pattern which ensures only one instance of this class throughout the application</t>
        </is>
      </c>
      <c r="E2449" t="n">
        <v>0.0034</v>
      </c>
      <c r="F2449" t="n">
        <v>0.0548</v>
      </c>
      <c r="G2449" t="n">
        <v>0.1471</v>
      </c>
      <c r="H2449" t="inlineStr">
        <is>
          <t>The code provided is a custom Glide request factory that injects an authentication header into all requests made by the Glide library using Volley for network operations in Android applications. The timeout value set at 15 seconds (15_000 milliseconds) ensures that loading heavy images from server-side does not exceed this time limit. This class has been designed with complexity O(</t>
        </is>
      </c>
      <c r="I2449" t="n">
        <v>0.003</v>
      </c>
      <c r="J2449" t="n">
        <v>0.0286</v>
      </c>
      <c r="K2449" t="n">
        <v>0.07580000000000001</v>
      </c>
      <c r="L2449" t="inlineStr">
        <is>
          <t>The provided code is a Java class that extends the VolleyRequestFactory and injects AuthenticationUtils via Dagger 2 for dependency injection. The main purpose of this class seems to be adding authorization headers to all Glide requests made by your application towards WordPress servers using secure requests (HTTPS).
It also sets up timeouts for loading heavy images from server side which might</t>
        </is>
      </c>
      <c r="M2449" t="n">
        <v>0.003</v>
      </c>
      <c r="N2449" t="n">
        <v>0.029</v>
      </c>
      <c r="O2449" t="n">
        <v>0.1128</v>
      </c>
    </row>
    <row r="2450">
      <c r="A2450" t="inlineStr">
        <is>
          <t>wordpress</t>
        </is>
      </c>
      <c r="B2450" t="inlineStr">
        <is>
          <t>WordPress/src/main/java/org/wordpress/android/networking/SSLCertsViewActivity.java</t>
        </is>
      </c>
      <c r="C2450">
        <f>HYPERLINK("https://github.com/wordpress-mobile/WordPress-Android/blob/master/WordPress/src/main/java/org/wordpress/android/networking/SSLCertsViewActivity.java")</f>
        <v/>
      </c>
      <c r="D2450" t="inlineStr">
        <is>
          <t>The provided code is for displaying SSL certificate details in a WebViewActivity of an Android application named "WordPress". The activity title is set as the string resource R.string.ssl_certificate_details and it does not display home button on action bar. It retrieves data from intent extras with key CERT_DETAILS_KEYS and displays if available. This code</t>
        </is>
      </c>
      <c r="E2450" t="n">
        <v>0.0041</v>
      </c>
      <c r="F2450" t="n">
        <v>0.0299</v>
      </c>
      <c r="G2450" t="n">
        <v>0.08</v>
      </c>
      <c r="H2450" t="inlineStr">
        <is>
          <t>The provided code is a Java class named SSLCertsViewActivity that extends WebViewActivity from the Android application's networking package. This activity displays details of an SSL certificate passed as an intent extra with key "CertDetails". The complexity of this function seems to be O(N), where N represents the size of the input data (in this case, the string extracted from the intent extras</t>
        </is>
      </c>
      <c r="I2450" t="n">
        <v>0.0029</v>
      </c>
      <c r="J2450" t="n">
        <v>0.0556</v>
      </c>
      <c r="K2450" t="n">
        <v>0.0746</v>
      </c>
      <c r="L2450" t="inlineStr">
        <is>
          <t>The provided code is for displaying SSL certificate details in a WebView activity within an Android application named WordPress. The main purpose of this class extends the WebViewActivity and sets up the action bar with no home button enabled to display detailed information about an SSL (Secure Sockets Layer) certificate. It takes input from intent extras containing key "CertDetails". This function operates by loading content into</t>
        </is>
      </c>
      <c r="M2450" t="n">
        <v>0.0033</v>
      </c>
      <c r="N2450" t="n">
        <v>0.0541</v>
      </c>
      <c r="O2450" t="n">
        <v>0.1087</v>
      </c>
    </row>
    <row r="2451">
      <c r="A2451" t="inlineStr">
        <is>
          <t>wordpress</t>
        </is>
      </c>
      <c r="B2451" t="inlineStr">
        <is>
          <t>WordPress/src/main/java/org/wordpress/android/networking/GlideMShotsLoader.kt</t>
        </is>
      </c>
      <c r="C2451">
        <f>HYPERLINK("https://github.com/wordpress-mobile/WordPress-Android/blob/master/WordPress/src/main/java/org/wordpress/android/networking/GlideMShotsLoader.kt")</f>
        <v/>
      </c>
      <c r="D2451" t="inlineStr">
        <is>
          <t>The provided code is a Java class named MShot that implements the ModelLoader interface from Glide library in Android application development. 
It uses Volley networking to load images and has customizable request settings via [Glide's MShots Loader]. The maximum number of retries for each request is set as 10 (defined by MAX_RETR</t>
        </is>
      </c>
      <c r="E2451" t="n">
        <v>0.0042</v>
      </c>
      <c r="F2451" t="n">
        <v>0.0645</v>
      </c>
      <c r="G2451" t="n">
        <v>0.121</v>
      </c>
      <c r="H2451" t="inlineStr">
        <is>
          <t>The provided code is a Java class named "MShot" that implements the Glide model loader interface for loading images from URLs using custom backoff and timeout policies in Volley library. The complexity of this function is O(n), where n represents the number of retries specified by MAX_RETRIES constant (default value 10). This implementation allows to customize request via [</t>
        </is>
      </c>
      <c r="I2451" t="n">
        <v>0.0041</v>
      </c>
      <c r="J2451" t="n">
        <v>0.0588</v>
      </c>
      <c r="K2451" t="n">
        <v>0.1527</v>
      </c>
      <c r="L2451" t="inlineStr">
        <is>
          <t>ThegivenJava/KotlinsourcecodeincludesaVollybasedrequestqueueconfigurationforimageloadingusingGlide. The code is designed to load images from a URL using the Volley library and Glide integration for caching purposes. It implements custom retry logic with backoff multiplier and timeout settings. This allows it to handle network errors gracefully by retrying failed requests up to</t>
        </is>
      </c>
      <c r="M2451" t="n">
        <v>0.0053</v>
      </c>
      <c r="N2451" t="n">
        <v>0.0727</v>
      </c>
      <c r="O2451" t="n">
        <v>0.1695</v>
      </c>
    </row>
    <row r="2452">
      <c r="A2452" t="inlineStr">
        <is>
          <t>wordpress</t>
        </is>
      </c>
      <c r="B2452" t="inlineStr">
        <is>
          <t>WordPress/src/main/java/org/wordpress/android/networking/ConnectionChangeReceiver.java</t>
        </is>
      </c>
      <c r="C2452">
        <f>HYPERLINK("https://github.com/wordpress-mobile/WordPress-Android/blob/master/WordPress/src/main/java/org/wordpress/android/networking/ConnectionChangeReceiver.java")</f>
        <v/>
      </c>
      <c r="D2452" t="inlineStr">
        <is>
          <t>The provided code is a Broadcast Receiver in Android that listens for network connectivity changes and broadcasts an event through Event Bus when the state of the connection changes. The receiver is declared in the manifest file to monitor CONNECTIVITY_CHANGE events from android.net package. 
It maintains two static boolean variables mIsFirstReceive and mWasConnect</t>
        </is>
      </c>
      <c r="E2452" t="n">
        <v>0.0035</v>
      </c>
      <c r="F2452" t="n">
        <v>0.0317</v>
      </c>
      <c r="G2452" t="n">
        <v>0.04</v>
      </c>
      <c r="H2452" t="inlineStr">
        <is>
          <t>The provided code is a Broadcast Receiver that listens for network connectivity changes on Android devices. It uses the Event Bus to post an event whenever there's a change in connection status. The class `ConnectionChangeEvent` holds information about whether or not there was a connection (i.e., true if connected and false otherwise). This receiver is declared in the manifest file of the application to</t>
        </is>
      </c>
      <c r="I2452" t="n">
        <v>0.0034</v>
      </c>
      <c r="J2452" t="n">
        <v>0.027</v>
      </c>
      <c r="K2452" t="n">
        <v>0.1103</v>
      </c>
      <c r="L2452" t="inlineStr">
        <is>
          <t>The provided code is a Broadcast Receiver in Android that monitors network connectivity changes. It extends the `BroadcastReceiver` class and overrides its `onReceive()` method to handle network connection change events. The receiver checks if it's receiving this event for the first time (`mIsFirstReceive = true`) before determining whether there was an internet connection previously</t>
        </is>
      </c>
      <c r="M2452" t="n">
        <v>0.0034</v>
      </c>
      <c r="N2452" t="n">
        <v>0.0323</v>
      </c>
      <c r="O2452" t="n">
        <v>0.0794</v>
      </c>
    </row>
    <row r="2453">
      <c r="A2453" t="inlineStr">
        <is>
          <t>wordpress</t>
        </is>
      </c>
      <c r="B2453" t="inlineStr">
        <is>
          <t>WordPress/src/main/java/org/wordpress/android/networking/restapi/WpComApiClientProvider.kt</t>
        </is>
      </c>
      <c r="C2453">
        <f>HYPERLINK("https://github.com/wordpress-mobile/WordPress-Android/blob/master/WordPress/src/main/java/org/wordpress/android/networking/restapi/WpComApiClientProvider.kt")</f>
        <v/>
      </c>
      <c r="D2453" t="inlineStr">
        <is>
          <t>The code provided is a part of the networking setup for an Android application using OkHttp and WP API (WordPress REST API). It sets up a client to communicate with WordPress servers via HTTP requests. The connection timeout duration is set as 30 seconds while read/write timeouts are both set at 60 seconds. This configuration ensures that if no response from server within these dur</t>
        </is>
      </c>
      <c r="E2453" t="n">
        <v>0.0033</v>
      </c>
      <c r="F2453" t="n">
        <v>0.027</v>
      </c>
      <c r="G2453" t="n">
        <v>0.1095</v>
      </c>
      <c r="H2453" t="inlineStr">
        <is>
          <t>The provided code is a Java class that uses the OkHttp library for making HTTP requests to WordPress's REST API (represented by WpComApiClient). The client has timeouts set to 60 seconds and 30 seconds respectively for connection and read/write operations. It also injects dependencies via constructor injection in order to follow dependency injection principles.
It provides</t>
        </is>
      </c>
      <c r="I2453" t="n">
        <v>0.0033</v>
      </c>
      <c r="J2453" t="n">
        <v>0.0303</v>
      </c>
      <c r="K2453" t="n">
        <v>0.0781</v>
      </c>
      <c r="L2453" t="inlineStr">
        <is>
          <t>ThegivenKotlincodeusesOkHttpclientforHTTPrequestsonWordPressCOMAPIusingJVMlanguage.Ithasauniqueconfigurationwhereconnectiontimeoutissettos30seconds,readingwritetimeoutissettos60seconds.ThecodealsoincludesauthenticationproviderwhichhandlesauthontokenvalidationbeforemakingAPICalls. The code also uses dependency injection to provide the W</t>
        </is>
      </c>
      <c r="M2453" t="n">
        <v>0</v>
      </c>
      <c r="N2453" t="n">
        <v>0</v>
      </c>
      <c r="O2453" t="n">
        <v>0.0602</v>
      </c>
    </row>
    <row r="2454">
      <c r="A2454" t="inlineStr">
        <is>
          <t>wordpress</t>
        </is>
      </c>
      <c r="B2454" t="inlineStr">
        <is>
          <t>WordPress/src/main/java/org/wordpress/android/usecase/FlowFSMUseCase.kt</t>
        </is>
      </c>
      <c r="C2454">
        <f>HYPERLINK("https://github.com/wordpress-mobile/WordPress-Android/blob/master/WordPress/src/main/java/org/wordpress/android/usecase/FlowFSMUseCase.kt")</f>
        <v/>
      </c>
      <c r="D2454" t="inlineStr">
        <is>
          <t>This code defines a generic use case class that manages actions and state changes using Kotlin's coroutine flow mechanism. The use case has an initial state which can be updated by running certain actions on it. The current state of the use case is exposed as a shared flow, allowing observers to subscribe to updates when they occur. If any action needs to change the internal</t>
        </is>
      </c>
      <c r="E2454" t="n">
        <v>0.0033</v>
      </c>
      <c r="F2454" t="n">
        <v>0.0533</v>
      </c>
      <c r="G2454" t="n">
        <v>0.1087</v>
      </c>
      <c r="H2454" t="inlineStr">
        <is>
          <t>The provided code is a Kotlin implementation of the State pattern with coroutine flow in Android application for managing user actions and updates to the state. The `FlowFSMUseCase` class manages an internal state that can be updated by calling its `manageAction` function. This action triggers some operation on the resource provider which then emits a result through a shared flow channel.</t>
        </is>
      </c>
      <c r="I2454" t="n">
        <v>0.0036</v>
      </c>
      <c r="J2454" t="n">
        <v>0.058</v>
      </c>
      <c r="K2454" t="n">
        <v>0.1128</v>
      </c>
      <c r="L2454" t="inlineStr">
        <is>
          <t>The provided code is a Kotlin implementation of the State Machine pattern with coroutines in Android development. The main purpose of this class `FlowFSMUseCase` is to manage and control state transitions based on user actions (`ACTION_TYPE`). 
It uses an internal state object which implements the `StateInterface` interface that defines methods for running specific actions depending</t>
        </is>
      </c>
      <c r="M2454" t="n">
        <v>0.004</v>
      </c>
      <c r="N2454" t="n">
        <v>0.0625</v>
      </c>
      <c r="O2454" t="n">
        <v>0.1575</v>
      </c>
    </row>
    <row r="2455">
      <c r="A2455" t="inlineStr">
        <is>
          <t>wordpress</t>
        </is>
      </c>
      <c r="B2455" t="inlineStr">
        <is>
          <t>WordPress/src/main/java/org/wordpress/android/usecase/UseCaseResult.kt</t>
        </is>
      </c>
      <c r="C2455">
        <f>HYPERLINK("https://github.com/wordpress-mobile/WordPress-Android/blob/master/WordPress/src/main/java/org/wordpress/android/usecase/UseCaseResult.kt")</f>
        <v/>
      </c>
      <c r="D2455" t="inlineStr">
        <is>
          <t>The provided code is a sealed class named UseCaseResult that represents the result of different use cases in an application. It has three subclasses - Success, Failure and Loading. 
- The Success class extends from UseCaseResult with two parameters: type (which indicates the specific use case), and data (representing successful execution).
- The F</t>
        </is>
      </c>
      <c r="E2455" t="n">
        <v>0.0034</v>
      </c>
      <c r="F2455" t="n">
        <v>0.0339</v>
      </c>
      <c r="G2455" t="n">
        <v>0.0794</v>
      </c>
      <c r="H2455" t="inlineStr">
        <is>
          <t>The provided code is a sealed class in Kotlin that represents the result of an operation. It has three subclasses - Success, Failure and Loading. The base class UseCaseResult takes two generic parameters - USE_CASE_TYPE which indicates what type of use case this instance belongs to (like LOGIN or SIGNUP), and DATA/ERROR which are used for</t>
        </is>
      </c>
      <c r="I2455" t="n">
        <v>0.0033</v>
      </c>
      <c r="J2455" t="n">
        <v>0.0615</v>
      </c>
      <c r="K2455" t="n">
        <v>0.1172</v>
      </c>
      <c r="L2455" t="inlineStr">
        <is>
          <t>Thegivencoderepresentsabstractclassesforhandlingdifferenttypesoffailuresandsuccessesintheapplication.Itusessealedclasseswhichensurethattherearenothigherlevelsubclassesallowedthanthesepecifiedbelow.Therearethreekindsofresults:successfulresultswithattachdatadata,failureresultswithatacherrorandacacheddataval</t>
        </is>
      </c>
      <c r="M2455" t="n">
        <v>0</v>
      </c>
      <c r="N2455" t="n">
        <v>0</v>
      </c>
      <c r="O2455" t="n">
        <v>0</v>
      </c>
    </row>
    <row r="2456">
      <c r="A2456" t="inlineStr">
        <is>
          <t>wordpress</t>
        </is>
      </c>
      <c r="B2456" t="inlineStr">
        <is>
          <t>WordPress/src/main/java/org/wordpress/android/usecase/social/GetJetpackSocialShareMessageUseCase.kt</t>
        </is>
      </c>
      <c r="C2456">
        <f>HYPERLINK("https://github.com/wordpress-mobile/WordPress-Android/blob/master/WordPress/src/main/java/org/wordpress/android/usecase/social/GetJetpackSocialShareMessageUseCase.kt")</f>
        <v/>
      </c>
      <c r="D2456" t="inlineStr">
        <is>
          <t>The provided code is a Kotlin use case class `GetJetpackSocialShareMessageUseCase` which retrieves the auto-share message for a post with given local post ID from WordPress's Post Store. If there isn't an auto share message set, it defaults to using the title of the post as fallback. The operation runs on a background thread (</t>
        </is>
      </c>
      <c r="E2456" t="n">
        <v>0</v>
      </c>
      <c r="F2456" t="n">
        <v>0</v>
      </c>
      <c r="G2456" t="n">
        <v>0.0397</v>
      </c>
      <c r="H2456" t="inlineStr">
        <is>
          <t>ThegivenKotlin codeisusedtoimplementasocialsharemessageuse-caseforWordPressAndroidappplicationusingDagger2dependencyinytemoreadfromapostbylocallocalPostId.Ifthepostexistssuccessfullyitwillreturnthesautosharamessageotherwiseitwillreturntheposttitlethenumberonerepresentingemptyorundefined</t>
        </is>
      </c>
      <c r="I2456" t="n">
        <v>0</v>
      </c>
      <c r="J2456" t="n">
        <v>0</v>
      </c>
      <c r="K2456" t="n">
        <v>0</v>
      </c>
      <c r="L2456" t="inlineStr">
        <is>
          <t>The provided code is a Kotlin use case class named "GetJetpackSocialShareMessageUseCase". This class has been designed to provide social share messages for posts in the WordPress Android application using Jetpack's features. It uses coroutines and dependency injection principles for managing asynchronous operations and decoupling components of the system. 
It takes an</t>
        </is>
      </c>
      <c r="M2456" t="n">
        <v>0.0043</v>
      </c>
      <c r="N2456" t="n">
        <v>0.0667</v>
      </c>
      <c r="O2456" t="n">
        <v>0.122</v>
      </c>
    </row>
    <row r="2457">
      <c r="A2457" t="inlineStr">
        <is>
          <t>wordpress</t>
        </is>
      </c>
      <c r="B2457" t="inlineStr">
        <is>
          <t>WordPress/src/main/java/org/wordpress/android/usecase/social/JetpackSocialFlow.kt</t>
        </is>
      </c>
      <c r="C2457">
        <f>HYPERLINK("https://github.com/wordpress-mobile/WordPress-Android/blob/master/WordPress/src/main/java/org/wordpress/android/usecase/social/JetpackSocialFlow.kt")</f>
        <v/>
      </c>
      <c r="D2457" t="inlineStr">
        <is>
          <t>The provided code is an enumeration class named JetpackSocialFlow in the package org.wordpress.android.usecase.social. This enum represents different social flow states for a WordPress Android application. The three possible values are "post_settings", "pre_publishings", and "dashboard_card". It's used to represent various stages of a publishing process within</t>
        </is>
      </c>
      <c r="E2457" t="n">
        <v>0.0049</v>
      </c>
      <c r="F2457" t="n">
        <v>0.06560000000000001</v>
      </c>
      <c r="G2457" t="n">
        <v>0.1282</v>
      </c>
      <c r="H2457" t="inlineStr">
        <is>
          <t>ThegivenJava codeisusedtorepresentthreeconstantswithdifferentvaluesforasocialflowinAWordPressAndroidapp. ThecomplexityofthisimplementationisO(N),whereNrepresentsthenumberofconstantsintheenumeration.
&lt;jupyter_text&gt;
Question 4: What is the time complexity of this piece of Python code? `</t>
        </is>
      </c>
      <c r="I2457" t="n">
        <v>0</v>
      </c>
      <c r="J2457" t="n">
        <v>0.07140000000000001</v>
      </c>
      <c r="K2457" t="n">
        <v>0.0556</v>
      </c>
      <c r="L2457" t="inlineStr">
        <is>
          <t>The provided code is a Kotlin enum class named `JetpackSocialFlow` which represents different stages of the social flow in WordPress Android app. The three values it contains represent 'Post Settings', 'Pre Publishing' and 'Dashboard Card'. This enum serves as an enumerator for various states during the process of publishing content on a WordPress platform through Jetpack.</t>
        </is>
      </c>
      <c r="M2457" t="n">
        <v>0.0039</v>
      </c>
      <c r="N2457" t="n">
        <v>0.0312</v>
      </c>
      <c r="O2457" t="n">
        <v>0.0781</v>
      </c>
    </row>
    <row r="2458">
      <c r="A2458" t="inlineStr">
        <is>
          <t>wordpress</t>
        </is>
      </c>
      <c r="B2458" t="inlineStr">
        <is>
          <t>WordPress/src/main/java/org/wordpress/android/usecase/social/GetJetpackSocialShareLimitStatusUseCase.kt</t>
        </is>
      </c>
      <c r="C2458">
        <f>HYPERLINK("https://github.com/wordpress-mobile/WordPress-Android/blob/master/WordPress/src/main/java/org/wordpress/android/usecase/social/GetJetpackSocialShareLimitStatusUseCase.kt")</f>
        <v/>
      </c>
      <c r="D2458" t="inlineStr">
        <is>
          <t>The code provided is a use case for determining the share limit status of Jetpack Social on WordPress sites. It does this by checking if the site is WP Com or not and whether social shares are enabled based on its plan active features. If these conditions are met, it fetches the Jetpack Social data from the Site Store. The function then checks if the result was successfully fetched</t>
        </is>
      </c>
      <c r="E2458" t="n">
        <v>0.0026</v>
      </c>
      <c r="F2458" t="n">
        <v>0.0519</v>
      </c>
      <c r="G2458" t="n">
        <v>0.1064</v>
      </c>
      <c r="H2458" t="inlineStr">
        <is>
          <t>The provided code is a Kotlin use case class that fetches the Jetpack Social share limit status for a given site model from the WordPress Android application's backend components using FluxC (WordPress' architecture). It checks if the social shares are enabled and returns an appropriate Share Limit object with details about the current share limit. If no result was found or there were issues during</t>
        </is>
      </c>
      <c r="I2458" t="n">
        <v>0.0028</v>
      </c>
      <c r="J2458" t="n">
        <v>0.027</v>
      </c>
      <c r="K2458" t="n">
        <v>0.073</v>
      </c>
      <c r="L2458" t="inlineStr">
        <is>
          <t>The provided code is a Kotlin use case class named `GetJetpackSocialShareLimitStatusUseCase` that fetches the Jetpack Social share limit status for a given site model from the WordPress Android application's backend components. The purpose of this class is to determine whether social sharing limits are enabled or not based on certain conditions such as if it's a WP.</t>
        </is>
      </c>
      <c r="M2458" t="n">
        <v>0</v>
      </c>
      <c r="N2458" t="n">
        <v>0.0299</v>
      </c>
      <c r="O2458" t="n">
        <v>0.0775</v>
      </c>
    </row>
    <row r="2459">
      <c r="A2459" t="inlineStr">
        <is>
          <t>wordpress</t>
        </is>
      </c>
      <c r="B2459" t="inlineStr">
        <is>
          <t>WordPress/src/main/java/org/wordpress/android/usecase/social/GetPublicizeConnectionsForUserUseCase.kt</t>
        </is>
      </c>
      <c r="C2459">
        <f>HYPERLINK("https://github.com/wordpress-mobile/WordPress-Android/blob/master/WordPress/src/main/java/org/wordpress/android/usecase/social/GetPublicizeConnectionsForUserUseCase.kt")</f>
        <v/>
      </c>
      <c r="D2459" t="inlineStr">
        <is>
          <t>Thepurposeofthisuse-caseisreturnalistofconnectionsavailablefordesktopuser.ItusesaCoroutineDispatchertoexecuteonbackgroundthreadsafely.ItaccessesservicelistfromapublicizeserviceusingPublicizeTableWrapperandupdateservicesv2. TheexecutioncontextswillbechangedtothreadspecifiedbyIO_THREADannotationbeforecontinu</t>
        </is>
      </c>
      <c r="E2459" t="n">
        <v>0</v>
      </c>
      <c r="F2459" t="n">
        <v>0</v>
      </c>
      <c r="G2459" t="n">
        <v>0</v>
      </c>
      <c r="H2459" t="inlineStr">
        <is>
          <t>The function `GetPublicizeConnectionsForUserUseCase` is used to retrieve a list of connections available for a user in the system. It uses coroutines on an IO dispatcher thread and interacts with the database through the `PublicizeTableWrapper` class. The use case retrieves data from the publicize table using the method `getServiceConnectionsForUser()` which</t>
        </is>
      </c>
      <c r="I2459" t="n">
        <v>0.0037</v>
      </c>
      <c r="J2459" t="n">
        <v>0.0702</v>
      </c>
      <c r="K2459" t="n">
        <v>0.08260000000000001</v>
      </c>
      <c r="L2459" t="inlineStr">
        <is>
          <t>The provided code is a Kotlin class named `GetPublicizeConnectionsForUserUseCase` that serves as the use case for fetching publicize connections available for a user in WordPress Android app.
It takes four dependencies via constructor injection - an IO dispatcher (used to perform I/O operations on a separate thread), a Publicize Table Wrapper which provides access</t>
        </is>
      </c>
      <c r="M2459" t="n">
        <v>0</v>
      </c>
      <c r="N2459" t="n">
        <v>0</v>
      </c>
      <c r="O2459" t="n">
        <v>0.0397</v>
      </c>
    </row>
    <row r="2460">
      <c r="A2460" t="inlineStr">
        <is>
          <t>wordpress</t>
        </is>
      </c>
      <c r="B2460" t="inlineStr">
        <is>
          <t>WordPress/src/main/java/org/wordpress/android/ui/JetpackConnectionWebViewActivity.java</t>
        </is>
      </c>
      <c r="C2460">
        <f>HYPERLINK("https://github.com/wordpress-mobile/WordPress-Android/blob/master/WordPress/src/main/java/org/wordpress/android/ui/JetpackConnectionWebViewActivity.java")</f>
        <v/>
      </c>
      <c r="D2460" t="inlineStr">
        <is>
          <t>The code provided is for an Android application that handles the login flow with Jetpack and WordPress. It opens a WebView to load the URL of the WordPress site where users can log in via their credentials or through social media accounts (like Facebook). The logged-in user's information is then stored locally using WordPress' FluxC library. 
It also tracks analytics</t>
        </is>
      </c>
      <c r="E2460" t="n">
        <v>0.003</v>
      </c>
      <c r="F2460" t="n">
        <v>0.0286</v>
      </c>
      <c r="G2460" t="n">
        <v>0.07580000000000001</v>
      </c>
      <c r="H2460" t="inlineStr">
        <is>
          <t>The code provided is a Java class that extends an Android Activity and handles Jetpack connection to WordPress using WebView for login flow. The complexity of this function seems to be O(n), where n represents the number of sites in the model list returned by `getAll()` method from SiteTable. 
In addition, it also has methods related to handling menu options and web</t>
        </is>
      </c>
      <c r="I2460" t="n">
        <v>0.0029</v>
      </c>
      <c r="J2460" t="n">
        <v>0.08450000000000001</v>
      </c>
      <c r="K2460" t="n">
        <v>0.1119</v>
      </c>
      <c r="L2460" t="inlineStr">
        <is>
          <t>ThegivenJavaAndroidsourcecodefilerepresentsaJetpackloginactivityinaplatformnamedWordPressforAndroidplatform.ItperformsvariousactionsrelatedtologgingintotheJetpackserviceviawebrequestswithcustomwebclienthandlingdeeplinksfromJetpackservices. Italsohasfeatureslikeopeningnewtabsindifferentbrowsersor</t>
        </is>
      </c>
      <c r="M2460" t="n">
        <v>0</v>
      </c>
      <c r="N2460" t="n">
        <v>0</v>
      </c>
      <c r="O2460" t="n">
        <v>0</v>
      </c>
    </row>
    <row r="2461">
      <c r="A2461" t="inlineStr">
        <is>
          <t>wordpress</t>
        </is>
      </c>
      <c r="B2461" t="inlineStr">
        <is>
          <t>WordPress/src/main/java/org/wordpress/android/ui/ActivityLauncherWrapper.kt</t>
        </is>
      </c>
      <c r="C2461">
        <f>HYPERLINK("https://github.com/wordpress-mobile/WordPress-Android/blob/master/WordPress/src/main/java/org/wordpress/android/ui/ActivityLauncherWrapper.kt")</f>
        <v/>
      </c>
      <c r="D2461" t="inlineStr">
        <is>
          <t>The code provided is a wrapper class for launching activities in Android using Dagger dependency injection and it has one method showActionableEmptyView which takes context, actionable state, post title as parameters to display an activity or perform some actions based on the given inputs. The purpose of this wrapper is to make testing easier by abstracting away complexity from client-side code.
The main functionality</t>
        </is>
      </c>
      <c r="E2461" t="n">
        <v>0.0034</v>
      </c>
      <c r="F2461" t="n">
        <v>0.0548</v>
      </c>
      <c r="G2461" t="n">
        <v>0.1103</v>
      </c>
      <c r="H2461" t="inlineStr">
        <is>
          <t>The code you provided appears to be a Java class with an @Inject annotation and constructor that takes no parameters. It also has a method named showActionableEmptyView which accepts four arguments of different types (Context, WPWebViewUsageCategory, String). This function doesn't seem to perform any operations on the input data directly but may interact with them in some way or another.</t>
        </is>
      </c>
      <c r="I2461" t="n">
        <v>0.0036</v>
      </c>
      <c r="J2461" t="n">
        <v>0.058</v>
      </c>
      <c r="K2461" t="n">
        <v>0.1136</v>
      </c>
      <c r="L2461" t="inlineStr">
        <is>
          <t>The provided code is a Dagger-injected class named `ActivityLauncherWrapper` that serves as an injectable wrapper around the Activity Launcher interface. The main purpose of this class is to make testing easier by providing a reusable method for launching activities and showing actionable empty views in a WordPress Android application context.
Here's how it works: 
It</t>
        </is>
      </c>
      <c r="M2461" t="n">
        <v>0.0033</v>
      </c>
      <c r="N2461" t="n">
        <v>0.0615</v>
      </c>
      <c r="O2461" t="n">
        <v>0.07870000000000001</v>
      </c>
    </row>
    <row r="2462">
      <c r="A2462" t="inlineStr">
        <is>
          <t>wordpress</t>
        </is>
      </c>
      <c r="B2462" t="inlineStr">
        <is>
          <t>WordPress/src/main/java/org/wordpress/android/ui/RequestCodes.java</t>
        </is>
      </c>
      <c r="C2462">
        <f>HYPERLINK("https://github.com/wordpress-mobile/WordPress-Android/blob/master/WordPress/src/main/java/org/wordpress/android/ui/RequestCodes.java")</f>
        <v/>
      </c>
      <c r="D2462" t="inlineStr">
        <is>
          <t>The provided code is a Java class named `RequestCodes` that holds global intent identifiers for various functionalities in the Android application "WordPress". The request codes are used to differentiate between multiple requests from an activity or fragment and ensure they can be processed correctly by their respective components of the app. Each final integer represents a unique identifier for specific operations like adding account, reauthenticating</t>
        </is>
      </c>
      <c r="E2462" t="n">
        <v>0.0028</v>
      </c>
      <c r="F2462" t="n">
        <v>0.0548</v>
      </c>
      <c r="G2462" t="n">
        <v>0.073</v>
      </c>
      <c r="H2462" t="inlineStr">
        <is>
          <t>The provided code is a Java class named RequestCodes that contains several global integer constants representing different request codes used in the Android application for various operations like adding an account, reauthenticating, editing post etc.
Each constant represents a unique identifier or key which can be used to identify and handle specific requests from other parts of the software system. The complexity of this code is O(</t>
        </is>
      </c>
      <c r="I2462" t="n">
        <v>0.0032</v>
      </c>
      <c r="J2462" t="n">
        <v>0.0267</v>
      </c>
      <c r="K2462" t="n">
        <v>0.1439</v>
      </c>
      <c r="L2462" t="inlineStr">
        <is>
          <t>The provided code is a Java class named `RequestCodes` that contains several public static final integer variables representing different request codes used in the application for various purposes such as adding an account, reauthenticating, editing posts and more. The purpose of this class seems to be managing global identifiers related to intents or actions performed within the app. This makes it crucial for maintaining readability,</t>
        </is>
      </c>
      <c r="M2462" t="n">
        <v>0.0033</v>
      </c>
      <c r="N2462" t="n">
        <v>0.0274</v>
      </c>
      <c r="O2462" t="n">
        <v>0.1095</v>
      </c>
    </row>
    <row r="2463">
      <c r="A2463" t="inlineStr">
        <is>
          <t>wordpress</t>
        </is>
      </c>
      <c r="B2463" t="inlineStr">
        <is>
          <t>WordPress/src/main/java/org/wordpress/android/ui/WebViewActivity.java</t>
        </is>
      </c>
      <c r="C2463">
        <f>HYPERLINK("https://github.com/wordpress-mobile/WordPress-Android/blob/master/WordPress/src/main/java/org/wordpress/android/ui/WebViewActivity.java")</f>
        <v/>
      </c>
      <c r="D2463" t="inlineStr">
        <is>
          <t>The code provided is for a basic activity that displays a WebView to display content in an Android application. The URL of the webpage to be displayed along with some readme text are stored as static final Strings. This class extends from BaseAppCompatActivity and it's abstract which means this class cannot be instantiated directly but can serve as base for other activities. It uses a User Agent</t>
        </is>
      </c>
      <c r="E2463" t="n">
        <v>0.0032</v>
      </c>
      <c r="F2463" t="n">
        <v>0.0526</v>
      </c>
      <c r="G2463" t="n">
        <v>0.1079</v>
      </c>
      <c r="H2463" t="inlineStr">
        <is>
          <t>The code you provided is a Java class that extends BaseAppCompatActivity and displays a WebView for displaying content in an Android application. The complexity of this code is O(N), where N represents the number of lines of code. This includes implementation details related to core algorithms used by the app such as handling URLs or tracking user interactions with analytics tools.
It appears to be part</t>
        </is>
      </c>
      <c r="I2463" t="n">
        <v>0.0036</v>
      </c>
      <c r="J2463" t="n">
        <v>0.08</v>
      </c>
      <c r="K2463" t="n">
        <v>0.1812</v>
      </c>
      <c r="L2463" t="inlineStr">
        <is>
          <t>The provided code is a Java class named `WebViewActivity` which extends the base activity from WordPress Android application. This class represents an abstract basic activity for displaying content in a WebView. The purpose of this class seems to be primarily focused on web view display and navigation.
Here's what it does: 
It defines two static final strings (`URL` and `</t>
        </is>
      </c>
      <c r="M2463" t="n">
        <v>0.0036</v>
      </c>
      <c r="N2463" t="n">
        <v>0.0588</v>
      </c>
      <c r="O2463" t="n">
        <v>0.07580000000000001</v>
      </c>
    </row>
    <row r="2464">
      <c r="A2464" t="inlineStr">
        <is>
          <t>wordpress</t>
        </is>
      </c>
      <c r="B2464" t="inlineStr">
        <is>
          <t>WordPress/src/main/java/org/wordpress/android/ui/WPLaunchActivity.kt</t>
        </is>
      </c>
      <c r="C2464">
        <f>HYPERLINK("https://github.com/wordpress-mobile/WordPress-Android/blob/master/WordPress/src/main/java/org/wordpress/android/ui/WPLaunchActivity.kt")</f>
        <v/>
      </c>
      <c r="D2464" t="inlineStr">
        <is>
          <t>The code you provided is for a custom Android application named WordPress. It defines an activity class `WPLaunchActivity` which extends from the AppCompatActivity in Android. This activity does not do much more than launching another previously active activity on startup. The purpose of this might be to ensure that there are no missing splits (parts of the app that need to be downloaded but aren't</t>
        </is>
      </c>
      <c r="E2464" t="n">
        <v>0.0028</v>
      </c>
      <c r="F2464" t="n">
        <v>0.027</v>
      </c>
      <c r="G2464" t="n">
        <v>0.0365</v>
      </c>
      <c r="H2464" t="inlineStr">
        <is>
          <t>The code you provided is a Java class named `WPLaunchActivity` that extends the AppCompatActivity in Android Studio. This activity does not do much on its own; it simply launches another previously active activity when started up. The missing splits check ensures there are no unresolved dependencies before launching the main activity (`WPMainActivity`).
If we break down</t>
        </is>
      </c>
      <c r="I2464" t="n">
        <v>0.0033</v>
      </c>
      <c r="J2464" t="n">
        <v>0.0312</v>
      </c>
      <c r="K2464" t="n">
        <v>0.0391</v>
      </c>
      <c r="L2464" t="inlineStr">
        <is>
          <t>The provided code is a part of the WordPress Android application and it represents the main activity (`WPLaunchActivity`). This class extends from `AppCompatActivity` and overrides its `onCreate()` method.
On creation, this activity checks if there are missing splits in the app by calling `isMissingSplits()` function. If true, it</t>
        </is>
      </c>
      <c r="M2464" t="n">
        <v>0.0045</v>
      </c>
      <c r="N2464" t="n">
        <v>0.07140000000000001</v>
      </c>
      <c r="O2464" t="n">
        <v>0.125</v>
      </c>
    </row>
    <row r="2465">
      <c r="A2465" t="inlineStr">
        <is>
          <t>wordpress</t>
        </is>
      </c>
      <c r="B2465" t="inlineStr">
        <is>
          <t>WordPress/src/main/java/org/wordpress/android/ui/Shortcut.java</t>
        </is>
      </c>
      <c r="C2465">
        <f>HYPERLINK("https://github.com/wordpress-mobile/WordPress-Android/blob/master/WordPress/src/main/java/org/wordpress/android/ui/Shortcut.java")</f>
        <v/>
      </c>
      <c r="D2465" t="inlineStr">
        <is>
          <t>The provided code is an enumeration named Shortcut in the package org.wordpress.android.ui of a WordPress Android application. The enum has three instances representing different actions that can be performed by users on the app such as opening stats, creating new posts and opening notifications. Each instance contains two fields - mId (a string identifier for each action), and mAction (which</t>
        </is>
      </c>
      <c r="E2465" t="n">
        <v>0.003</v>
      </c>
      <c r="F2465" t="n">
        <v>0.0286</v>
      </c>
      <c r="G2465" t="n">
        <v>0.0379</v>
      </c>
      <c r="H2465" t="inlineStr">
        <is>
          <t>The provided code is a Java enum that represents different actions for shortcuts in an application. Each shortcut has two properties - mId and mAction which represent the id of the shortcut and its corresponding action respectively. The function fromActionString takes as input a string representing an action and returns the matching Shortcut object if it exists. If no match is found, null is returned.
In</t>
        </is>
      </c>
      <c r="I2465" t="n">
        <v>0.0028</v>
      </c>
      <c r="J2465" t="n">
        <v>0.0548</v>
      </c>
      <c r="K2465" t="n">
        <v>0.0725</v>
      </c>
      <c r="L2465" t="inlineStr">
        <is>
          <t>The provided code is an enumeration named `Shortcut` in the package `org.wordpress.android.ui` of a WordPress Android application's backend components. This enum represents different shortcuts or quick actions that users can perform within the app. Each shortcut has two properties - 'mId', which stands for Menu ID and 'mAction', which signifies what action this shortcut performs</t>
        </is>
      </c>
      <c r="M2465" t="n">
        <v>0.004</v>
      </c>
      <c r="N2465" t="n">
        <v>0.0606</v>
      </c>
      <c r="O2465" t="n">
        <v>0.07870000000000001</v>
      </c>
    </row>
    <row r="2466">
      <c r="A2466" t="inlineStr">
        <is>
          <t>wordpress</t>
        </is>
      </c>
      <c r="B2466" t="inlineStr">
        <is>
          <t>WordPress/src/main/java/org/wordpress/android/ui/ActionableEmptyView.kt</t>
        </is>
      </c>
      <c r="C2466">
        <f>HYPERLINK("https://github.com/wordpress-mobile/WordPress-Android/blob/master/WordPress/src/main/java/org/wordpress/android/ui/ActionableEmptyView.kt")</f>
        <v/>
      </c>
      <c r="D2466" t="inlineStr">
        <is>
          <t>The provided code is a custom view class named ActionableEmptyView that extends LinearLayout and serves as an empty state UI for the application's screens when there are no data to display. The layout includes optional images related to illustration (optional), title describing cause of empty state (required), subtitle detailing cause of empty state (optional), button providing action on take (optional), and bottom</t>
        </is>
      </c>
      <c r="E2466" t="n">
        <v>0.0029</v>
      </c>
      <c r="F2466" t="n">
        <v>0.0282</v>
      </c>
      <c r="G2466" t="n">
        <v>0.0373</v>
      </c>
      <c r="H2466" t="inlineStr">
        <is>
          <t>The provided code is a custom Android View class named "ActionableEmptyView" that extends the LinearLayout and displays different elements based on its state (empty or not). It contains an AppCompatButton for actions, WPTextView for title and subtitle display, ImageView to show illustrations, ProgressBar when loading data etc., all arranged in vertical orientation by default. The complexity of this</t>
        </is>
      </c>
      <c r="I2466" t="n">
        <v>0.0031</v>
      </c>
      <c r="J2466" t="n">
        <v>0.0303</v>
      </c>
      <c r="K2466" t="n">
        <v>0.0769</v>
      </c>
      <c r="L2466" t="inlineStr">
        <is>
          <t>The provided code is a custom Android view class named "ActionableEmptyView" that extends the LinearLayout class and serves as an empty state UI component for handling situations where there are no items to display in a list or feed. 
Functionally, this class performs the following operations:
1. It displays images related to the situation (optional).
2.</t>
        </is>
      </c>
      <c r="M2466" t="n">
        <v>0.0033</v>
      </c>
      <c r="N2466" t="n">
        <v>0.0312</v>
      </c>
      <c r="O2466" t="n">
        <v>0.0781</v>
      </c>
    </row>
    <row r="2467">
      <c r="A2467" t="inlineStr">
        <is>
          <t>wordpress</t>
        </is>
      </c>
      <c r="B2467" t="inlineStr">
        <is>
          <t>WordPress/src/main/java/org/wordpress/android/ui/CollapseFullScreenDialogFragment.java</t>
        </is>
      </c>
      <c r="C2467">
        <f>HYPERLINK("https://github.com/wordpress-mobile/WordPress-Android/blob/master/WordPress/src/main/java/org/wordpress/android/ui/CollapseFullScreenDialogFragment.java")</f>
        <v/>
      </c>
      <c r="D2467" t="inlineStr">
        <is>
          <t>The code provided appears to be a part of the Android application related to WordPress and it is written in Java language. It imports various classes from android support library for UI components like Dialog, View, Menu etc., as well as other libraries or packages which are not explicitly mentioned here such as org.wordpress.android.ui (which seems to indicate some sort of user interface functionality). The</t>
        </is>
      </c>
      <c r="E2467" t="n">
        <v>0.0028</v>
      </c>
      <c r="F2467" t="n">
        <v>0.0263</v>
      </c>
      <c r="G2467" t="n">
        <v>0.073</v>
      </c>
      <c r="H2467" t="inlineStr">
        <is>
          <t>The provided code is a Java class that extends an AppCompatActivity and includes various methods for handling UI events such as onCreate(), onOptionsItemSelected() etc., among others. It also uses Android's support libraries to provide compatibility with older versions of the platform. The complexity here would be O(n), where n represents the number of different menu items in your application (as each one requires</t>
        </is>
      </c>
      <c r="I2467" t="n">
        <v>0.0029</v>
      </c>
      <c r="J2467" t="n">
        <v>0.0274</v>
      </c>
      <c r="K2467" t="n">
        <v>0.0741</v>
      </c>
      <c r="L2467" t="inlineStr">
        <is>
          <t>The provided code is part of a WordPress Android application and appears to be related to the user interface component for managing dialog boxes in an activity context. The main purpose seems to be creating customizable dialog boxes with various options such as title, message, buttons, etc.
Here's a concise summary focusing on functionality and purpose: 
This module provides functionalities for creating customized</t>
        </is>
      </c>
      <c r="M2467" t="n">
        <v>0.0073</v>
      </c>
      <c r="N2467" t="n">
        <v>0.0833</v>
      </c>
      <c r="O2467" t="n">
        <v>0.2338</v>
      </c>
    </row>
    <row r="2468">
      <c r="A2468" t="inlineStr">
        <is>
          <t>wordpress</t>
        </is>
      </c>
      <c r="B2468" t="inlineStr">
        <is>
          <t>WordPress/src/main/java/org/wordpress/android/ui/WPTextViewDrawableCallback.kt</t>
        </is>
      </c>
      <c r="C2468">
        <f>HYPERLINK("https://github.com/wordpress-mobile/WordPress-Android/blob/master/WordPress/src/main/java/org/wordpress/android/ui/WPTextViewDrawableCallback.kt")</f>
        <v/>
      </c>
      <c r="D2468" t="inlineStr">
        <is>
          <t>The code provided is a custom implementation of the Drawable.Callback interface in Android for handling animated drawables (GIFs), specifically designed to be used with TextView objects. The purpose of this class is to provide an efficient way to invalidate or schedule updates on a WeakReference to a TextView when its associated drawable changes state. This allows for smooth animations and dynamic UI behavior</t>
        </is>
      </c>
      <c r="E2468" t="n">
        <v>0.0034</v>
      </c>
      <c r="F2468" t="n">
        <v>0.0556</v>
      </c>
      <c r="G2468" t="n">
        <v>0.1481</v>
      </c>
      <c r="H2468" t="inlineStr">
        <is>
          <t>The code provided is a Java class named "WPTextViewDrawableCallback". This class extends the Drawable.Callback interface and overrides three methods of this interface - invalidateDrawable(), scheduleDrawable(), and unscheduleDrawable(). The purpose of these methods seems to be to manage drawables associated with TextView widgets in an Android application. Upon retrieval of a new draw</t>
        </is>
      </c>
      <c r="I2468" t="n">
        <v>0.0042</v>
      </c>
      <c r="J2468" t="n">
        <v>0.0667</v>
      </c>
      <c r="K2468" t="n">
        <v>0.0806</v>
      </c>
      <c r="L2468" t="inlineStr">
        <is>
          <t>The provided code is a custom implementation of the Drawable.Callback interface in Android programming language. This class extends the functionality to support animated drawables such as GIF images by providing callback methods for invalidating and scheduling/unscheduling drawables when certain events occur. The purpose of this class is to ensure that any changes made to the TextView's appearance are immediately reflected on screen after they</t>
        </is>
      </c>
      <c r="M2468" t="n">
        <v>0.0037</v>
      </c>
      <c r="N2468" t="n">
        <v>0.08</v>
      </c>
      <c r="O2468" t="n">
        <v>0.1471</v>
      </c>
    </row>
    <row r="2469">
      <c r="A2469" t="inlineStr">
        <is>
          <t>wordpress</t>
        </is>
      </c>
      <c r="B2469" t="inlineStr">
        <is>
          <t>WordPress/src/main/java/org/wordpress/android/ui/JetpackConnectionWebViewClient.java</t>
        </is>
      </c>
      <c r="C2469">
        <f>HYPERLINK("https://github.com/wordpress-mobile/WordPress-Android/blob/master/WordPress/src/main/java/org/wordpress/android/ui/JetpackConnectionWebViewClient.java")</f>
        <v/>
      </c>
      <c r="D2469" t="inlineStr">
        <is>
          <t>The code provided is a custom WebView client for handling Jetpack connection related tasks in the WordPress Android app. It extends from ErrorManagedWebViewClient and has an interface named JetpackConnectionWebViewClientListener to notify various events like requiring WP Com login, needing Jetpack login or successful Jetpack connection. The class contains several static final Strings that are used as</t>
        </is>
      </c>
      <c r="E2469" t="n">
        <v>0.0033</v>
      </c>
      <c r="F2469" t="n">
        <v>0.0312</v>
      </c>
      <c r="G2469" t="n">
        <v>0.0781</v>
      </c>
      <c r="H2469" t="inlineStr">
        <is>
          <t>The code you provided is a part of the Jetpack Connection Web View Client in Android application for WordPress. It handles login and connection processes with WordPress.com or self-hosted WordPress sites. The complexity is O(N), as it contains multiple string comparisons which run in linear time based on input size.
Here are some key functionalities: 
1. `</t>
        </is>
      </c>
      <c r="I2469" t="n">
        <v>0.0032</v>
      </c>
      <c r="J2469" t="n">
        <v>0.0299</v>
      </c>
      <c r="K2469" t="n">
        <v>0.0775</v>
      </c>
      <c r="L2469" t="inlineStr">
        <is>
          <t>The code provided is a custom WebView client for WordPress Android app that handles Jetpack connection and login functionality. It extends the ErrorManagedWebViewClient class to handle web view errors gracefully. The main purpose of this code seems to be handling redirections during authentication with both WordPress.com and WP Admin sites. 
It takes in input as URL strings which</t>
        </is>
      </c>
      <c r="M2469" t="n">
        <v>0.0031</v>
      </c>
      <c r="N2469" t="n">
        <v>0.0597</v>
      </c>
      <c r="O2469" t="n">
        <v>0.0769</v>
      </c>
    </row>
    <row r="2470">
      <c r="A2470" t="inlineStr">
        <is>
          <t>wordpress</t>
        </is>
      </c>
      <c r="B2470" t="inlineStr">
        <is>
          <t>WordPress/src/main/java/org/wordpress/android/ui/TextInputDialogFragment.java</t>
        </is>
      </c>
      <c r="C2470">
        <f>HYPERLINK("https://github.com/wordpress-mobile/WordPress-Android/blob/master/WordPress/src/main/java/org/wordpress/android/ui/TextInputDialogFragment.java")</f>
        <v/>
      </c>
      <c r="D2470" t="inlineStr">
        <is>
          <t>The provided code is a fragment class for creating an input dialog in Android using Material Alert Dialog Builder. The dialog allows users to enter text and provides options like setting the title of the dialog, initial text, hint, whether it's multiline or not, and providing a callback ID. This information can be passed as arguments when calling this dialog from another activity or fragment</t>
        </is>
      </c>
      <c r="E2470" t="n">
        <v>0.0033</v>
      </c>
      <c r="F2470" t="n">
        <v>0.027</v>
      </c>
      <c r="G2470" t="n">
        <v>0.1095</v>
      </c>
      <c r="H2470" t="inlineStr">
        <is>
          <t>The provided code is a fragment of an Android application that displays a dialog with an EditText field for user input and a Button to submit the text. The title, initial text, hint, multiline setting (for supporting newline characters), callback ID are all passed as arguments in Bundle when creating this DialogFragment instance. This class also implements MaterialAlertDialogBuilder which provides theming</t>
        </is>
      </c>
      <c r="I2470" t="n">
        <v>0.0039</v>
      </c>
      <c r="J2470" t="n">
        <v>0.058</v>
      </c>
      <c r="K2470" t="n">
        <v>0.1128</v>
      </c>
      <c r="L2470" t="inlineStr">
        <is>
          <t>The provided code is a Dialog Fragment in Android that serves as an input dialog for text inputs from users. The main purpose of this fragment is to provide the user with an interface where they can enter and edit their own text content. 
It takes several parameters such as title (for setting up the dialog's label), initial text (a pre-filled value if</t>
        </is>
      </c>
      <c r="M2470" t="n">
        <v>0.0029</v>
      </c>
      <c r="N2470" t="n">
        <v>0.0548</v>
      </c>
      <c r="O2470" t="n">
        <v>0.0741</v>
      </c>
    </row>
    <row r="2471">
      <c r="A2471" t="inlineStr">
        <is>
          <t>wordpress</t>
        </is>
      </c>
      <c r="B2471" t="inlineStr">
        <is>
          <t>WordPress/src/main/java/org/wordpress/android/ui/Organization.kt</t>
        </is>
      </c>
      <c r="C2471">
        <f>HYPERLINK("https://github.com/wordpress-mobile/WordPress-Android/blob/master/WordPress/src/main/java/org/wordpress/android/ui/Organization.kt")</f>
        <v/>
      </c>
      <c r="D2471" t="inlineStr">
        <is>
          <t>The code provided is an enum class named `Organization` with a companion object that provides a function to get the organization from its ID in constant time complexity O(1). The map of orgIds and their corresponding organizations are stored for quick access during lookup operations. If no match found, it returns UNKNOWN as default value. 
It's worth noting that</t>
        </is>
      </c>
      <c r="E2471" t="n">
        <v>0.0031</v>
      </c>
      <c r="F2471" t="n">
        <v>0.058</v>
      </c>
      <c r="G2471" t="n">
        <v>0.07630000000000001</v>
      </c>
      <c r="H2471" t="inlineStr">
        <is>
          <t>The function `add` takes two parameters and returns their sum. The complexity is O(1).
In the second example, an enum class named `Organization` with values UNKNOWN (-1), NO_ORGANIZATION (0), A8C (1), P2 (2) was defined. This class also has a companion object that provides a static method</t>
        </is>
      </c>
      <c r="I2471" t="n">
        <v>0.0046</v>
      </c>
      <c r="J2471" t="n">
        <v>0.0702</v>
      </c>
      <c r="K2471" t="n">
        <v>0.1261</v>
      </c>
      <c r="L2471" t="inlineStr">
        <is>
          <t>The provided code is a Kotlin class named `Organization` that represents different types of organizations with their corresponding IDs in an enum style organization structure. The main purpose of this class is to provide a mapping between the organization's name and its unique identifier (ID). 
It takes as input an integer orgId which corresponds to one of four possible values representing various</t>
        </is>
      </c>
      <c r="M2471" t="n">
        <v>0.0029</v>
      </c>
      <c r="N2471" t="n">
        <v>0.0563</v>
      </c>
      <c r="O2471" t="n">
        <v>0.1119</v>
      </c>
    </row>
    <row r="2472">
      <c r="A2472" t="inlineStr">
        <is>
          <t>wordpress</t>
        </is>
      </c>
      <c r="B2472" t="inlineStr">
        <is>
          <t>WordPress/src/main/java/org/wordpress/android/ui/PagePostCreationSourcesDetail.kt</t>
        </is>
      </c>
      <c r="C2472">
        <f>HYPERLINK("https://github.com/wordpress-mobile/WordPress-Android/blob/master/WordPress/src/main/java/org/wordpress/android/ui/PagePostCreationSourcesDetail.kt")</f>
        <v/>
      </c>
      <c r="D2472" t="inlineStr">
        <is>
          <t>The provided code is an enumeration class named PagePostCreationSourcesDetail that represents different sources from which a post or page can be created in the WordPress Android app. The options include creating posts and pages directly from shortcuts on the app icon, from lists of posts/stories/pages, navigation bar (which will eventually be removed), my site screen's bottom sheet, and various</t>
        </is>
      </c>
      <c r="E2472" t="n">
        <v>0.0031</v>
      </c>
      <c r="F2472" t="n">
        <v>0.0286</v>
      </c>
      <c r="G2472" t="n">
        <v>0.0382</v>
      </c>
      <c r="H2472" t="inlineStr">
        <is>
          <t>The function `add` in the provided code adds two numbers together and has a time complexity of O(1). It takes as input parameters 'a' and 'b', performs addition operation on them and returns the result.
The class `PagePostCreationSourcesDetail` represents different sources from which post or page can be created. The enumerations represent various options for creating posts</t>
        </is>
      </c>
      <c r="I2472" t="n">
        <v>0.0032</v>
      </c>
      <c r="J2472" t="n">
        <v>0.0606</v>
      </c>
      <c r="K2472" t="n">
        <v>0.0775</v>
      </c>
      <c r="L2472" t="inlineStr">
        <is>
          <t>The provided code file is a Kotlin class named PagePostCreationSourcesDetail that serves as an enumerator for different post creation sources in the WordPress Android application. This class has seven constants representing various ways of creating posts within the app - from shortcuts on the app icon, the list of posts (FAB = Floating Action Button), stories created from the posts list FAB,</t>
        </is>
      </c>
      <c r="M2472" t="n">
        <v>0.0029</v>
      </c>
      <c r="N2472" t="n">
        <v>0.0294</v>
      </c>
      <c r="O2472" t="n">
        <v>0.0373</v>
      </c>
    </row>
    <row r="2473">
      <c r="A2473" t="inlineStr">
        <is>
          <t>wordpress</t>
        </is>
      </c>
      <c r="B2473" t="inlineStr">
        <is>
          <t>WordPress/src/main/java/org/wordpress/android/ui/PrivateAtCookieRefreshProgressDialog.kt</t>
        </is>
      </c>
      <c r="C2473">
        <f>HYPERLINK("https://github.com/wordpress-mobile/WordPress-Android/blob/master/WordPress/src/main/java/org/wordpress/android/ui/PrivateAtCookieRefreshProgressDialog.kt")</f>
        <v/>
      </c>
      <c r="D2473" t="inlineStr">
        <is>
          <t>The provided code is a custom DialogFragment in Android that displays a progress dialog with the message "Accessing media". The function `onCreateDialog` creates and shows this dialog using an activity's string resource for the dialog message. If the dialog gets cancelled (either by user action or programmatically), it triggers the cancellation listener defined within its parent fragment. This class also provides functionality</t>
        </is>
      </c>
      <c r="E2473" t="n">
        <v>0.0039</v>
      </c>
      <c r="F2473" t="n">
        <v>0.0563</v>
      </c>
      <c r="G2473" t="n">
        <v>0.1119</v>
      </c>
      <c r="H2473" t="inlineStr">
        <is>
          <t>The code you provided is a Kotlin class that extends DialogFragment and implements an interface named PrivateAtCookieProgressDialogOnDismissListener. The purpose of this class seems to be handling the progress dialog for cookie refresh operations in WordPress Android application. 
Here's a concise summary of its functionality:
- This class provides methods related to creating and managing a</t>
        </is>
      </c>
      <c r="I2473" t="n">
        <v>0.0044</v>
      </c>
      <c r="J2473" t="n">
        <v>0.09520000000000001</v>
      </c>
      <c r="K2473" t="n">
        <v>0.1181</v>
      </c>
      <c r="L2473" t="inlineStr">
        <is>
          <t>The provided code is a subclass of DialogFragment named "PrivateAtCookieRefreshProgressDialog". This class displays a progress dialog with the message from resources file which says "Media accessing progress" when invoked. The purpose of this class seems to be refreshing cookies and media access during an operation in an Android application.
The main functionality includes creating a custom dialog that shows a</t>
        </is>
      </c>
      <c r="M2473" t="n">
        <v>0.004</v>
      </c>
      <c r="N2473" t="n">
        <v>0.0588</v>
      </c>
      <c r="O2473" t="n">
        <v>0.1136</v>
      </c>
    </row>
    <row r="2474">
      <c r="A2474" t="inlineStr">
        <is>
          <t>wordpress</t>
        </is>
      </c>
      <c r="B2474" t="inlineStr">
        <is>
          <t>WordPress/src/main/java/org/wordpress/android/ui/ActivityId.java</t>
        </is>
      </c>
      <c r="C2474">
        <f>HYPERLINK("https://github.com/wordpress-mobile/WordPress-Android/blob/master/WordPress/src/main/java/org/wordpress/android/ui/ActivityId.java")</f>
        <v/>
      </c>
      <c r="D2474" t="inlineStr">
        <is>
          <t>```java
// This code is part of the WordPress Android app's UI package. 
// It provides an enumeration for activity IDs used in various parts of the application.
// Each constant represents a different screen or feature within the app and has its own string value associated with it.
// The trackLastActive method isn't provided but presumably would be</t>
        </is>
      </c>
      <c r="E2474" t="n">
        <v>0.0037</v>
      </c>
      <c r="F2474" t="n">
        <v>0.0615</v>
      </c>
      <c r="G2474" t="n">
        <v>0.1145</v>
      </c>
      <c r="H2474" t="inlineStr">
        <is>
          <t>Your code is a simple addition function in Java named add that takes two integers as parameters and returns their sum. The time complexity of this operation is O(1), meaning it always executes in the same amount of time regardless of the input size.
In your README file, you are describing an enum ActivityId which represents different activity types within an application. Each constant has a string</t>
        </is>
      </c>
      <c r="I2474" t="n">
        <v>0.0027</v>
      </c>
      <c r="J2474" t="n">
        <v>0.0526</v>
      </c>
      <c r="K2474" t="n">
        <v>0.1079</v>
      </c>
      <c r="L2474" t="inlineStr">
        <is>
          <t>```java
// This Java code represents the enumeration ActivityId which is used to identify different activities in a WordPress Android application. 
// The main purpose of this class seems to be tracking and storing the last activity that was performed by the user. 
// There are 16 possible values for an instance of this enum type including UNKNOWN (default value</t>
        </is>
      </c>
      <c r="M2474" t="n">
        <v>0.0036</v>
      </c>
      <c r="N2474" t="n">
        <v>0.0615</v>
      </c>
      <c r="O2474" t="n">
        <v>0.1136</v>
      </c>
    </row>
    <row r="2475">
      <c r="A2475" t="inlineStr">
        <is>
          <t>wordpress</t>
        </is>
      </c>
      <c r="B2475" t="inlineStr">
        <is>
          <t>WordPress/src/main/java/org/wordpress/android/ui/WPWebView.kt</t>
        </is>
      </c>
      <c r="C2475">
        <f>HYPERLINK("https://github.com/wordpress-mobile/WordPress-Android/blob/master/WordPress/src/main/java/org/wordpress/android/ui/WPWebView.kt")</f>
        <v/>
      </c>
      <c r="D2475" t="inlineStr">
        <is>
          <t>The code provided is a custom WebView class in Kotlin that extends the default Android WebView class with additional functionality. The constructor of this new class takes three parameters - context, attribute set and an integer representing style attributes. 
It overrides the standard WebView's behavior to make it focusable (both programmatically and via touch). This means when your app sets</t>
        </is>
      </c>
      <c r="E2475" t="n">
        <v>0.0036</v>
      </c>
      <c r="F2475" t="n">
        <v>0.0588</v>
      </c>
      <c r="G2475" t="n">
        <v>0.07580000000000001</v>
      </c>
      <c r="H2475" t="inlineStr">
        <is>
          <t>ThegivencodeimplementsanAndroidcustomWebViewthatiscapableoffocusingandcontainsthreeattributesforconfiguration.ItinheritsfromthedefaultWebViewclassbutoverridesitsbehaviortoallowfocusing. ThecomplexityisthenumberoflinesinsourcefilewhichisO(N). README file provides a brief description of the repository and its contents.</t>
        </is>
      </c>
      <c r="I2475" t="n">
        <v>0.0143</v>
      </c>
      <c r="J2475" t="n">
        <v>0.0833</v>
      </c>
      <c r="K2475" t="n">
        <v>0.0581</v>
      </c>
      <c r="L2475" t="inlineStr">
        <is>
          <t>The provided code is an Android Kotlin implementation of a custom WebView class named WPWebView. This class extends the standard Android WebView by overriding its constructor to make it focusable and touch mode focused. The main purpose of this class seems to be enhancing user interaction with web content in WordPress for Android app. Code size indicates that there are no complex algorithms implemented within this file</t>
        </is>
      </c>
      <c r="M2475" t="n">
        <v>0.0032</v>
      </c>
      <c r="N2475" t="n">
        <v>0.0533</v>
      </c>
      <c r="O2475" t="n">
        <v>0.1079</v>
      </c>
    </row>
    <row r="2476">
      <c r="A2476" t="inlineStr">
        <is>
          <t>wordpress</t>
        </is>
      </c>
      <c r="B2476" t="inlineStr">
        <is>
          <t>WordPress/src/main/java/org/wordpress/android/ui/WPWebChromeClientWithFileChooser.java</t>
        </is>
      </c>
      <c r="C2476">
        <f>HYPERLINK("https://github.com/wordpress-mobile/WordPress-Android/blob/master/WordPress/src/main/java/org/wordpress/android/ui/WPWebChromeClientWithFileChooser.java")</f>
        <v/>
      </c>
      <c r="D2476" t="inlineStr">
        <is>
          <t>The provided code is a custom WebChromeClient that extends the WPWebChromeClient class from WordPress Android app. This client manages file choosers and provides functionality to select files for upload in web views of an Activity. The main methods are onReceivedTitle(), showCustomView() etc., which handle various events triggered by the browser such as page title changes or display of custom</t>
        </is>
      </c>
      <c r="E2476" t="n">
        <v>0.0041</v>
      </c>
      <c r="F2476" t="n">
        <v>0.0597</v>
      </c>
      <c r="G2476" t="n">
        <v>0.1145</v>
      </c>
      <c r="H2476" t="inlineStr">
        <is>
          <t>The provided code is part of a larger Android application that extends the functionality of WebView by adding file chooser support using web chrome client. The complexity of this implementation appears to be O(n), where n represents some aspect of the overall system or data structure it interacts with. This could potentially vary depending on how the chosen URIs are handled and processed within the context of the method</t>
        </is>
      </c>
      <c r="I2476" t="n">
        <v>0.0035</v>
      </c>
      <c r="J2476" t="n">
        <v>0.0769</v>
      </c>
      <c r="K2476" t="n">
        <v>0.1418</v>
      </c>
      <c r="L2476" t="inlineStr">
        <is>
          <t>The provided code is a subclass of the WPWebChromeClient class in an Android application named "org.wordpress.android". This class extends the functionality of the base class by adding support for file choosers. 
It's designed to handle web view interactions and provides customization options such as handling file path callbacks and showing file chooser dialogues</t>
        </is>
      </c>
      <c r="M2476" t="n">
        <v>0.0045</v>
      </c>
      <c r="N2476" t="n">
        <v>0.09379999999999999</v>
      </c>
      <c r="O2476" t="n">
        <v>0.12</v>
      </c>
    </row>
    <row r="2477">
      <c r="A2477" t="inlineStr">
        <is>
          <t>wordpress</t>
        </is>
      </c>
      <c r="B2477" t="inlineStr">
        <is>
          <t>WordPress/src/main/java/org/wordpress/android/ui/ShareIntentReceiverActivity.java</t>
        </is>
      </c>
      <c r="C2477">
        <f>HYPERLINK("https://github.com/wordpress-mobile/WordPress-Android/blob/master/WordPress/src/main/java/org/wordpress/android/ui/ShareIntentReceiverActivity.java")</f>
        <v/>
      </c>
      <c r="D2477" t="inlineStr">
        <is>
          <t>The code provided is a part of the WordPress Android application's user interface module. It includes import statements for various classes and libraries used in this module such as android content (for handling app data), android net (for network operations), android text (for text manipulation), and more. The main class seems to be an activity that handles sharing intents from other apps or websites. This functionality might</t>
        </is>
      </c>
      <c r="E2477" t="n">
        <v>0.0038</v>
      </c>
      <c r="F2477" t="n">
        <v>0.0789</v>
      </c>
      <c r="G2477" t="n">
        <v>0.1439</v>
      </c>
      <c r="H2477" t="inlineStr">
        <is>
          <t>The provided code is a Java class that extends the BaseAppCompatActivity from Android and implements some functionalities related to WordPress app activities such as sharing content or managing media files in an application context. The complexity of this implementation can be considered O(N), where N represents the number of operations performed by each method within the class. However, without specific details about how these methods are implemented, it'</t>
        </is>
      </c>
      <c r="I2477" t="n">
        <v>0.0032</v>
      </c>
      <c r="J2477" t="n">
        <v>0.0519</v>
      </c>
      <c r="K2477" t="n">
        <v>0.1429</v>
      </c>
      <c r="L2477" t="inlineStr">
        <is>
          <t>The provided code is a Java implementation of an activity in the WordPress Android application. This specific class extends BaseAppCompatActivity and handles sharing content from different sources like blog posts or media files using Intents.
Here's what it does: 
It sets up intents for various actions such as share action (for sharing text/links) and also handles incoming shared data by implementing</t>
        </is>
      </c>
      <c r="M2477" t="n">
        <v>0.0036</v>
      </c>
      <c r="N2477" t="n">
        <v>0.0563</v>
      </c>
      <c r="O2477" t="n">
        <v>0.1504</v>
      </c>
    </row>
    <row r="2478">
      <c r="A2478" t="inlineStr">
        <is>
          <t>wordpress</t>
        </is>
      </c>
      <c r="B2478" t="inlineStr">
        <is>
          <t>WordPress/src/main/java/org/wordpress/android/ui/AppLogViewerActivity.java</t>
        </is>
      </c>
      <c r="C2478">
        <f>HYPERLINK("https://github.com/wordpress-mobile/WordPress-Android/blob/master/WordPress/src/main/java/org/wordpress/android/ui/AppLogViewerActivity.java")</f>
        <v/>
      </c>
      <c r="D2478" t="inlineStr">
        <is>
          <t>The provided code is a Java class that appears to be part of the Android application for WordPress. It's used as an activity in the app and it seems to handle user interface related tasks like setting up toolbars, handling menu options, inflating layouts etc., but without more context about what this specific piece of code does or its function within the overall system, it's hard to</t>
        </is>
      </c>
      <c r="E2478" t="n">
        <v>0.0027</v>
      </c>
      <c r="F2478" t="n">
        <v>0.0519</v>
      </c>
      <c r="G2478" t="n">
        <v>0.1079</v>
      </c>
      <c r="H2478" t="inlineStr">
        <is>
          <t>The provided code is a Java class that defines an 'add' method for two integers and returns their sum. The function has a time complexity of O(1), meaning it performs a constant number of operations regardless of the size of input values (i.e., its computational cost does not increase with inputs).
Here's a concise summary of this functionality: 
- This</t>
        </is>
      </c>
      <c r="I2478" t="n">
        <v>0.0036</v>
      </c>
      <c r="J2478" t="n">
        <v>0.0571</v>
      </c>
      <c r="K2478" t="n">
        <v>0.1136</v>
      </c>
      <c r="L2478" t="inlineStr">
        <is>
          <t>ThegivenJavaAndroidsourcecoderespresentsaUIcomponentforWordPressmobileapplication.ItinheritsfromBaseAppCompatActivityclassanddisplayslistofpostsbasedongivenblogURL.Keyfeaturesincludeclipboardmanagementforsharingpostlinks,toolbarnavigationmenuoptions,andcustomizedactionbarconfiguration.MainPurpose:DisplayinglistofBlog</t>
        </is>
      </c>
      <c r="M2478" t="n">
        <v>0</v>
      </c>
      <c r="N2478" t="n">
        <v>0</v>
      </c>
      <c r="O2478" t="n">
        <v>0</v>
      </c>
    </row>
    <row r="2479">
      <c r="A2479" t="inlineStr">
        <is>
          <t>wordpress</t>
        </is>
      </c>
      <c r="B2479" t="inlineStr">
        <is>
          <t>WordPress/src/main/java/org/wordpress/android/ui/PreviewModeSelectorPopup.kt</t>
        </is>
      </c>
      <c r="C2479">
        <f>HYPERLINK("https://github.com/wordpress-mobile/WordPress-Android/blob/master/WordPress/src/main/java/org/wordpress/android/ui/PreviewModeSelectorPopup.kt")</f>
        <v/>
      </c>
      <c r="D2479" t="inlineStr">
        <is>
          <t>The provided code is a class named "PreviewModeSelectorPopup" that extends the ListPopupWindow from Android's support library and implements preview mode selection functionality for WordPress app on Android platform. The popup window appears at the end of its anchor view (i.e., button), providing options to select different preview modes such as full screen or inline. It uses ElevationOver</t>
        </is>
      </c>
      <c r="E2479" t="n">
        <v>0.0042</v>
      </c>
      <c r="F2479" t="n">
        <v>0.0597</v>
      </c>
      <c r="G2479" t="n">
        <v>0.1163</v>
      </c>
      <c r="H2479" t="inlineStr">
        <is>
          <t>The code you provided is a Java class named `PreviewModeSelectorPopup` that extends the ListPopupWindow class from Android's support library. This class seems to be used for implementing a popup menu in an application related to WordPress (presumably a blogging platform), possibly for selecting preview modes of web content. 
Here are some key parts of this code:</t>
        </is>
      </c>
      <c r="I2479" t="n">
        <v>0.0033</v>
      </c>
      <c r="J2479" t="n">
        <v>0.0615</v>
      </c>
      <c r="K2479" t="n">
        <v>0.1172</v>
      </c>
      <c r="L2479" t="inlineStr">
        <is>
          <t>The provided code is a class `PreviewModeSelectorPopup` that extends the `ListPopupWindow` from Android's support library and implements a preview mode popup for an application using WordPress. 
It initializes with context, button view as parameters in its constructor. It sets up properties like width, dropdown gravity (right aligned), anchor view, horizontal offset,</t>
        </is>
      </c>
      <c r="M2479" t="n">
        <v>0.0043</v>
      </c>
      <c r="N2479" t="n">
        <v>0.0333</v>
      </c>
      <c r="O2479" t="n">
        <v>0.122</v>
      </c>
    </row>
    <row r="2480">
      <c r="A2480" t="inlineStr">
        <is>
          <t>wordpress</t>
        </is>
      </c>
      <c r="B2480" t="inlineStr">
        <is>
          <t>WordPress/src/main/java/org/wordpress/android/ui/JetpackConnectionSource.kt</t>
        </is>
      </c>
      <c r="C2480">
        <f>HYPERLINK("https://github.com/wordpress-mobile/WordPress-Android/blob/master/WordPress/src/main/java/org/wordpress/android/ui/JetpackConnectionSource.kt")</f>
        <v/>
      </c>
      <c r="D2480" t="inlineStr">
        <is>
          <t>The code provided is an enumeration class named `JetpackConnectionSource` in the Android application's UI package. This class has two values - "notifications" and "stats". The function `toString()` overrides the default toString method of Java by returning the value associated with each enum instance (either "notifications" or "stats"). There is also a companion object that</t>
        </is>
      </c>
      <c r="E2480" t="n">
        <v>0.004</v>
      </c>
      <c r="F2480" t="n">
        <v>0.0645</v>
      </c>
      <c r="G2480" t="n">
        <v>0.119</v>
      </c>
      <c r="H2480" t="inlineStr">
        <is>
          <t>The provided code is a simple enum class in Kotlin named JetpackConnectionSource that has two values NOTIFICATIONS and STATS. The toString method returns the value of the enum as a string. A companion object also provides a fromString function which takes a string input and returns an instance of the enum based on the given string or null if no match was found.</t>
        </is>
      </c>
      <c r="I2480" t="n">
        <v>0.0029</v>
      </c>
      <c r="J2480" t="n">
        <v>0.0563</v>
      </c>
      <c r="K2480" t="n">
        <v>0.0741</v>
      </c>
      <c r="L2480" t="inlineStr">
        <is>
          <t>The provided code is a Kotlin class named JetpackConnectionSource that represents the connection status for notifications and stats in an Android application using Enums. The main purpose of this class seems to be to manage different states or modes related to these two types of connections (i.e., NOTIFICATIONS and STATS). It provides methods to convert string values into corresponding enum constants and vice</t>
        </is>
      </c>
      <c r="M2480" t="n">
        <v>0.0029</v>
      </c>
      <c r="N2480" t="n">
        <v>0.0556</v>
      </c>
      <c r="O2480" t="n">
        <v>0.1111</v>
      </c>
    </row>
    <row r="2481">
      <c r="A2481" t="inlineStr">
        <is>
          <t>wordpress</t>
        </is>
      </c>
      <c r="B2481" t="inlineStr">
        <is>
          <t>WordPress/src/main/java/org/wordpress/android/ui/CommentFullScreenDialogViewModel.kt</t>
        </is>
      </c>
      <c r="C2481">
        <f>HYPERLINK("https://github.com/wordpress-mobile/WordPress-Android/blob/master/WordPress/src/main/java/org/wordpress/android/ui/CommentFullScreenDialogViewModel.kt")</f>
        <v/>
      </c>
      <c r="D2481" t="inlineStr">
        <is>
          <t>The provided code is a ViewModel class `CommentFullScreenDialogViewModel` that extends the Android's ViewModel class from Jetpack library and uses Dagger for dependency injection. This ViewModel has two properties - one MutableLiveData (`_onKeyboardOpened`), which will hold an event when keyboard opens in UI, and another LiveData (`</t>
        </is>
      </c>
      <c r="E2481" t="n">
        <v>0.0048</v>
      </c>
      <c r="F2481" t="n">
        <v>0.0755</v>
      </c>
      <c r="G2481" t="n">
        <v>0.1271</v>
      </c>
      <c r="H2481" t="inlineStr">
        <is>
          <t>The provided code is a ViewModel class in Kotlin for Android application development named "CommentFullScreenDialogViewModel". This class has an @Inject constructor and it uses LiveData to handle events related to the keyboard opening or closing. The function `init` posts a value on MutableLiveData "_onKeyboardOpened" with Event containing Unit (no data). It then defines</t>
        </is>
      </c>
      <c r="I2481" t="n">
        <v>0.0041</v>
      </c>
      <c r="J2481" t="n">
        <v>0.06560000000000001</v>
      </c>
      <c r="K2481" t="n">
        <v>0.12</v>
      </c>
      <c r="L2481" t="inlineStr">
        <is>
          <t>The provided code is a ViewModel class named FullScreenDialogViewModel in an Android application written in Kotlin language. This class extends the functionality of LiveData and MutableLiveData from androidx.lifecycle package to manage keyboard events. The main purpose of this class appears to be notifying any observers when the keyboard opens or closes. It does so by using post</t>
        </is>
      </c>
      <c r="M2481" t="n">
        <v>0.0042</v>
      </c>
      <c r="N2481" t="n">
        <v>0.09089999999999999</v>
      </c>
      <c r="O2481" t="n">
        <v>0.1163</v>
      </c>
    </row>
    <row r="2482">
      <c r="A2482" t="inlineStr">
        <is>
          <t>wordpress</t>
        </is>
      </c>
      <c r="B2482" t="inlineStr">
        <is>
          <t>WordPress/src/main/java/org/wordpress/android/ui/ViewPagerFragment.kt</t>
        </is>
      </c>
      <c r="C2482">
        <f>HYPERLINK("https://github.com/wordpress-mobile/WordPress-Android/blob/master/WordPress/src/main/java/org/wordpress/android/ui/ViewPagerFragment.kt")</f>
        <v/>
      </c>
      <c r="D2482" t="inlineStr">
        <is>
          <t>The provided code is a fragment class in Android that extends the Fragment class from androidx.fragment.app package and uses ViewPager for managing views. The purpose of this class seems to be handling unique IDs for views within its layout. It provides two static methods restoreOriginalViewId and setUniqueIdToView which are used respectively to restore original view id or assign new unique ones</t>
        </is>
      </c>
      <c r="E2482" t="n">
        <v>0.003</v>
      </c>
      <c r="F2482" t="n">
        <v>0.0563</v>
      </c>
      <c r="G2482" t="n">
        <v>0.1128</v>
      </c>
      <c r="H2482" t="inlineStr">
        <is>
          <t>The provided code is a Java class named `ViewPagerFragment` that extends the Android Fragment class. It provides functionality to handle Views in a way similar to how fragments are handled in Android's support library for use with the ViewPager widget. 
Here's an overview of its methods and their functionalities:
- The constructor takes a layout resource ID as</t>
        </is>
      </c>
      <c r="I2482" t="n">
        <v>0.0037</v>
      </c>
      <c r="J2482" t="n">
        <v>0.0597</v>
      </c>
      <c r="K2482" t="n">
        <v>0.0769</v>
      </c>
      <c r="L2482" t="inlineStr">
        <is>
          <t>The given code is part of a backend software component for an Android application named "WordPress". The main purpose of this class `AbstractClassViewPagerFragment` seems to be managing the unique IDs assigned to views within its layout in order to handle ViewPagers correctly when restoring and saving states. 
Here's a concise summary without repeating any code or comments:</t>
        </is>
      </c>
      <c r="M2482" t="n">
        <v>0.0038</v>
      </c>
      <c r="N2482" t="n">
        <v>0.0606</v>
      </c>
      <c r="O2482" t="n">
        <v>0.155</v>
      </c>
    </row>
    <row r="2483">
      <c r="A2483" t="inlineStr">
        <is>
          <t>wordpress</t>
        </is>
      </c>
      <c r="B2483" t="inlineStr">
        <is>
          <t>WordPress/src/main/java/org/wordpress/android/ui/CommentFullScreenDialogFragment.kt</t>
        </is>
      </c>
      <c r="C2483">
        <f>HYPERLINK("https://github.com/wordpress-mobile/WordPress-Android/blob/master/WordPress/src/main/java/org/wordpress/android/ui/CommentFullScreenDialogFragment.kt")</f>
        <v/>
      </c>
      <c r="D2483" t="inlineStr">
        <is>
          <t>The provided code is a part of an Android application that deals with user input and keyboard events within the context of WordPress's Android app. The main functionality it provides includes handling text changes in EditText fields (`EditText`), tracking key presses/releases, managing full screen dialogues, and performing various operations based on user interactions such as clicking buttons or swiping</t>
        </is>
      </c>
      <c r="E2483" t="n">
        <v>0.0037</v>
      </c>
      <c r="F2483" t="n">
        <v>0.058</v>
      </c>
      <c r="G2483" t="n">
        <v>0.07630000000000001</v>
      </c>
      <c r="H2483" t="inlineStr">
        <is>
          <t>The code you provided is a Kotlin function named add that takes two parameters and returns their sum. The functionality of this code can be summarized as follows: This function performs addition operation on the input arguments 'a' and 'b'. It has a time complexity of O(1), meaning it executes in constant time irrespective of the size of inputs.
For example</t>
        </is>
      </c>
      <c r="I2483" t="n">
        <v>0.0039</v>
      </c>
      <c r="J2483" t="n">
        <v>0.0857</v>
      </c>
      <c r="K2483" t="n">
        <v>0.1128</v>
      </c>
      <c r="L2483" t="inlineStr">
        <is>
          <t>Thegivencoderesidesinapackagecalled"org.wordpress.android.ui".It'saimplementedforhandlinguserinteractionsrelatedtolockingdownfullscreenmodeindifferentactivitiesorfragments.Theprimaryroleofthedocumentedclass,"CollapseFullScreenDialogFragment",isidentifiedbyanalyzingtheexistingcomments."Implementation of core</t>
        </is>
      </c>
      <c r="M2483" t="n">
        <v>0.0215</v>
      </c>
      <c r="N2483" t="n">
        <v>0.1905</v>
      </c>
      <c r="O2483" t="n">
        <v>0.0667</v>
      </c>
    </row>
    <row r="2484">
      <c r="A2484" t="inlineStr">
        <is>
          <t>wordpress</t>
        </is>
      </c>
      <c r="B2484" t="inlineStr">
        <is>
          <t>WordPress/src/main/java/org/wordpress/android/ui/WPWebViewUsageCategory.kt</t>
        </is>
      </c>
      <c r="C2484">
        <f>HYPERLINK("https://github.com/wordpress-mobile/WordPress-Android/blob/master/WordPress/src/main/java/org/wordpress/android/ui/WPWebViewUsageCategory.kt")</f>
        <v/>
      </c>
      <c r="D2484" t="inlineStr">
        <is>
          <t>The provided code is an enum class named WPWebViewUsageCategory that has three instances - WEBVIEW_STANDARD, REMOTE_PREVIEW_NOT_AVAILABLE and REMOTE_PREVIEW_NO_NETWORK. Each instance takes two parameters in its constructor; a value of type Int and a menuUiState which</t>
        </is>
      </c>
      <c r="E2484" t="n">
        <v>0.0053</v>
      </c>
      <c r="F2484" t="n">
        <v>0.0408</v>
      </c>
      <c r="G2484" t="n">
        <v>0.0467</v>
      </c>
      <c r="H2484" t="inlineStr">
        <is>
          <t>The provided code is a Kotlin function for addition of two numbers (`add()`). It takes in two parameters `a` and `b` and returns their sum. The time complexity of this operation is O(1), meaning it always executes the same number of steps regardless of input size.
In the README file, there's an example usage of this</t>
        </is>
      </c>
      <c r="I2484" t="n">
        <v>0.0033</v>
      </c>
      <c r="J2484" t="n">
        <v>0.0606</v>
      </c>
      <c r="K2484" t="n">
        <v>0.1172</v>
      </c>
      <c r="L2484" t="inlineStr">
        <is>
          <t>ThegivencodefilerepresentsaJavaEnumnamed"WPWebViewUsageCategory".Ithasthreeinstances:"WEBVIEW_STANDARD", "REMOTE_PREVIEW_NOT_AVAILABLE"," REMOTE_PREVIEW_NO_NETWORK".EachinstanceholdsanintegervaluedifferentfromothersandamenuUIstate</t>
        </is>
      </c>
      <c r="M2484" t="n">
        <v>0</v>
      </c>
      <c r="N2484" t="n">
        <v>0</v>
      </c>
      <c r="O2484" t="n">
        <v>0</v>
      </c>
    </row>
    <row r="2485">
      <c r="A2485" t="inlineStr">
        <is>
          <t>wordpress</t>
        </is>
      </c>
      <c r="B2485" t="inlineStr">
        <is>
          <t>WordPress/src/main/java/org/wordpress/android/ui/JetpackConnectionUtils.java</t>
        </is>
      </c>
      <c r="C2485">
        <f>HYPERLINK("https://github.com/wordpress-mobile/WordPress-Android/blob/master/WordPress/src/main/java/org/wordpress/android/ui/JetpackConnectionUtils.java")</f>
        <v/>
      </c>
      <c r="D2485" t="inlineStr">
        <is>
          <t>The provided code is a utility class named `JetpackConnectionUtils` that wraps some utility methods for Jetpack related functionality in WordPress Android app. The main purpose of this class seems to be tracking analytics events with specific sources and reasons using the AnalyticsTracker from Google Analytics SDK.
Here are brief summaries of its functions:
- **trackWithSource</t>
        </is>
      </c>
      <c r="E2485" t="n">
        <v>0.004</v>
      </c>
      <c r="F2485" t="n">
        <v>0.0645</v>
      </c>
      <c r="G2485" t="n">
        <v>0.1181</v>
      </c>
      <c r="H2485" t="inlineStr">
        <is>
          <t>The provided code is a Java method that tracks an analytics statistic with both source and failure reason parameters using the AnalyticsTracker class from WordPress Android app. The complexity of this function is O(1), meaning it has constant time complexity as it only performs a fixed number of operations regardless of input size. It adds two strings to a HashMap which takes O(1) time on average assuming</t>
        </is>
      </c>
      <c r="I2485" t="n">
        <v>0.0027</v>
      </c>
      <c r="J2485" t="n">
        <v>0.0519</v>
      </c>
      <c r="K2485" t="n">
        <v>0.1079</v>
      </c>
      <c r="L2485" t="inlineStr">
        <is>
          <t>The code provided is a utility class that wraps around the `AnalyticsTracker` to track various statistics related to Jetpack connection sources and failure reasons. 
Here's an overview of its functionality:
1. The method `trackWithSource()` takes in two parameters - a statistic (from AnalyticsTracker) and a source from which this tracking</t>
        </is>
      </c>
      <c r="M2485" t="n">
        <v>0.0037</v>
      </c>
      <c r="N2485" t="n">
        <v>0.06900000000000001</v>
      </c>
      <c r="O2485" t="n">
        <v>0.082</v>
      </c>
    </row>
    <row r="2486">
      <c r="A2486" t="inlineStr">
        <is>
          <t>wordpress</t>
        </is>
      </c>
      <c r="B2486" t="inlineStr">
        <is>
          <t>WordPress/src/main/java/org/wordpress/android/ui/WPBottomSheetDialogFragment.java</t>
        </is>
      </c>
      <c r="C2486">
        <f>HYPERLINK("https://github.com/wordpress-mobile/WordPress-Android/blob/master/WordPress/src/main/java/org/wordpress/android/ui/WPBottomSheetDialogFragment.java")</f>
        <v/>
      </c>
      <c r="D2486" t="inlineStr">
        <is>
          <t>The provided code is a subclass of BottomSheetDialogFragment in the Android application Wordpress. It overrides two methods onCreateDialog and onResume. The purpose of these methods are to create a dialog with specific attributes and restrict its maximum width respectively.
- In method `onCreateDialog`, it creates an instance of BottomSheetDialog by passing context (</t>
        </is>
      </c>
      <c r="E2486" t="n">
        <v>0.0035</v>
      </c>
      <c r="F2486" t="n">
        <v>0.0339</v>
      </c>
      <c r="G2486" t="n">
        <v>0.04</v>
      </c>
      <c r="H2486" t="inlineStr">
        <is>
          <t>The code you provided is a fragment class for creating and managing a bottom sheet dialog in Android using the Material Components library. It extends BottomSheetDialogFragment which provides functionalities to show a modal bottom sheet with custom views or content. The onCreateDialog method creates an instance of BottomSheetDialog by passing context and theme as parameters. The restrictMaxWidthForDialog function sets a</t>
        </is>
      </c>
      <c r="I2486" t="n">
        <v>0.003</v>
      </c>
      <c r="J2486" t="n">
        <v>0.0588</v>
      </c>
      <c r="K2486" t="n">
        <v>0.07580000000000001</v>
      </c>
      <c r="L2486" t="inlineStr">
        <is>
          <t>The provided code is a fragment class that extends BottomSheetDialogFragment from the Android support library for Material Design components in an application related to WordPress (org.wordpress.android). 
It creates and manages a bottom sheet dialog with customizable theme. The main purpose of this class seems to be creating and managing a bottom sheet dialog within a larger app using Material Design principles</t>
        </is>
      </c>
      <c r="M2486" t="n">
        <v>0.003</v>
      </c>
      <c r="N2486" t="n">
        <v>0.0563</v>
      </c>
      <c r="O2486" t="n">
        <v>0.1128</v>
      </c>
    </row>
    <row r="2487">
      <c r="A2487" t="inlineStr">
        <is>
          <t>wordpress</t>
        </is>
      </c>
      <c r="B2487" t="inlineStr">
        <is>
          <t>WordPress/src/main/java/org/wordpress/android/ui/ShortcutsNavigator.java</t>
        </is>
      </c>
      <c r="C2487">
        <f>HYPERLINK("https://github.com/wordpress-mobile/WordPress-Android/blob/master/WordPress/src/main/java/org/wordpress/android/ui/ShortcutsNavigator.java")</f>
        <v/>
      </c>
      <c r="D2487" t="inlineStr">
        <is>
          <t>The provided code is a Java class named `ShortcutsNavigator` which handles navigation based on actions from Android shortcuts (intents). It uses dependency injection to obtain an instance of the `JetpackFeatureRemovalPhaseHelper` and utilizes it for its operations. The method `showTargetScreen` takes in three parameters - an action string, an activity object, and a site</t>
        </is>
      </c>
      <c r="E2487" t="n">
        <v>0.0035</v>
      </c>
      <c r="F2487" t="n">
        <v>0.0333</v>
      </c>
      <c r="G2487" t="n">
        <v>0.08</v>
      </c>
      <c r="H2487" t="inlineStr">
        <is>
          <t>The provided code is a Java class named "ShortcutsNavigator". This class has an instance variable of type JetpackFeatureRemovalPhaseHelper and it's annotated with @Inject. The purpose of this class seems to be navigation between different screens in the application based on actions taken by users through shortcuts (which are represented as Strings). 
There are</t>
        </is>
      </c>
      <c r="I2487" t="n">
        <v>0.0041</v>
      </c>
      <c r="J2487" t="n">
        <v>0.0645</v>
      </c>
      <c r="K2487" t="n">
        <v>0.08</v>
      </c>
      <c r="L2487" t="inlineStr">
        <is>
          <t>The provided code is a Java class named `ShortcutsNavigator` in the package `org.wordpress.android.ui` of an Android application's backend components. This class has been designed to handle navigation actions triggered by shortcuts from Android devices. It uses dependency injection for its dependencies and includes methods that show target screens based on different input parameters such as action strings and current site models</t>
        </is>
      </c>
      <c r="M2487" t="n">
        <v>0.0036</v>
      </c>
      <c r="N2487" t="n">
        <v>0.0548</v>
      </c>
      <c r="O2487" t="n">
        <v>0.1128</v>
      </c>
    </row>
    <row r="2488">
      <c r="A2488" t="inlineStr">
        <is>
          <t>wordpress</t>
        </is>
      </c>
      <c r="B2488" t="inlineStr">
        <is>
          <t>WordPress/src/main/java/org/wordpress/android/ui/FullscreenBottomSheetDialogFragment.kt</t>
        </is>
      </c>
      <c r="C2488">
        <f>HYPERLINK("https://github.com/wordpress-mobile/WordPress-Android/blob/master/WordPress/src/main/java/org/wordpress/android/ui/FullscreenBottomSheetDialogFragment.kt")</f>
        <v/>
      </c>
      <c r="D2488" t="inlineStr">
        <is>
          <t>The provided code is a customization of the BottomSheetDialogFragment from Material Components for Android library to make it full screen and draggable with an added close modal functionality when cancelled by user. The dialog fills the entire screen without any dim behind it and has an onCancel method that calls the 'closeModal' function whenever the dialog gets canceled by the user.</t>
        </is>
      </c>
      <c r="E2488" t="n">
        <v>0.0036</v>
      </c>
      <c r="F2488" t="n">
        <v>0.058</v>
      </c>
      <c r="G2488" t="n">
        <v>0.0752</v>
      </c>
      <c r="H2488" t="inlineStr">
        <is>
          <t>ThegivenJavaorKotlincodeimplementsaclassnamed"FullscreenBottomSheetDialogFragment".Itinheritsfromthe"BottomSheetDialogFragment"classfoundintheAndroidsupportlibrary.Insideitthere'saftercancelmethodthatclosesmodalwhentheusercancelsit.There'salsoanoncreatedialogmethodwhichcreatesafulldrag</t>
        </is>
      </c>
      <c r="I2488" t="n">
        <v>0</v>
      </c>
      <c r="J2488" t="n">
        <v>0</v>
      </c>
      <c r="K2488" t="n">
        <v>0</v>
      </c>
      <c r="L2488" t="inlineStr">
        <is>
          <t>ThegivencodefilerepresentsaBottonsheetdialogfragmentcustomizedforfulldisplayscreenwithoutdimmingorbackgroundinteraction.ItusesGoogle'smaterialdesignprinciplesandappliesdraggingfeaturetopressuserswantclosesmodalintentionalities.
```kotlin
package org.wordpress.android.ui
import android.</t>
        </is>
      </c>
      <c r="M2488" t="n">
        <v>0</v>
      </c>
      <c r="N2488" t="n">
        <v>0</v>
      </c>
      <c r="O2488" t="n">
        <v>0</v>
      </c>
    </row>
    <row r="2489">
      <c r="A2489" t="inlineStr">
        <is>
          <t>wordpress</t>
        </is>
      </c>
      <c r="B2489" t="inlineStr">
        <is>
          <t>WordPress/src/main/java/org/wordpress/android/ui/PreviewModeMenuAdapter.kt</t>
        </is>
      </c>
      <c r="C2489">
        <f>HYPERLINK("https://github.com/wordpress-mobile/WordPress-Android/blob/master/WordPress/src/main/java/org/wordpress/android/ui/PreviewModeMenuAdapter.kt")</f>
        <v/>
      </c>
      <c r="D2489" t="inlineStr">
        <is>
          <t>&lt;&lt;&lt;&lt;&lt;&lt;&lt; HEAD
The provided code is an adapter for a preview mode menu in the Android application Wordpress. It extends `BaseAdapter` and provides functionality to display different modes like MOBILE, TABLET, DESKTOP which are defined as constants in the PreviewMode class. The getCount method returns the size of the 'menuItems' array, while</t>
        </is>
      </c>
      <c r="E2489" t="n">
        <v>0.0042</v>
      </c>
      <c r="F2489" t="n">
        <v>0.0339</v>
      </c>
      <c r="G2489" t="n">
        <v>0.0806</v>
      </c>
      <c r="H2489" t="inlineStr">
        <is>
          <t>The code you provided is an implementation of a custom adapter for preview mode selection in Android application. It extends the BaseAdapter class and provides methods to get count of items, item at certain position, and its id. The selected preview mode (mobile, tablet or desktop) can be passed as parameter during initialization. This adapter will be used by ListViews or RecyclerViews that display these</t>
        </is>
      </c>
      <c r="I2489" t="n">
        <v>0.0033</v>
      </c>
      <c r="J2489" t="n">
        <v>0.0548</v>
      </c>
      <c r="K2489" t="n">
        <v>0.146</v>
      </c>
      <c r="L2489" t="inlineStr">
        <is>
          <t>The code provided is an implementation of a custom adapter for the Preview Mode Menu in Android application. This adapter extends from BaseAdapter and provides functionality to display different preview modes (Mobile, Tablet, Desktop). The getCount method returns the number of items available in the menu which is 3 (mobile, tablet, desktop). In the 'getItem' function, it retrieves the item at</t>
        </is>
      </c>
      <c r="M2489" t="n">
        <v>0.0039</v>
      </c>
      <c r="N2489" t="n">
        <v>0.058</v>
      </c>
      <c r="O2489" t="n">
        <v>0.1504</v>
      </c>
    </row>
    <row r="2490">
      <c r="A2490" t="inlineStr">
        <is>
          <t>wordpress</t>
        </is>
      </c>
      <c r="B2490" t="inlineStr">
        <is>
          <t>WordPress/src/main/java/org/wordpress/android/ui/ListDiffCallback.kt</t>
        </is>
      </c>
      <c r="C2490">
        <f>HYPERLINK("https://github.com/wordpress-mobile/WordPress-Android/blob/master/WordPress/src/main/java/org/wordpress/android/ui/ListDiffCallback.kt")</f>
        <v/>
      </c>
      <c r="D2490" t="inlineStr">
        <is>
          <t>```python
# This code is a custom implementation of the DiffUtil.Callback class in Android for comparing and diffing two lists. 
# It calculates differences between old list (older data) and new list (updated/newer data). The comparison checks if items are same based on 'areItemsTheSame' function provided by user and also compares their contents using '</t>
        </is>
      </c>
      <c r="E2490" t="n">
        <v>0.004</v>
      </c>
      <c r="F2490" t="n">
        <v>0.129</v>
      </c>
      <c r="G2490" t="n">
        <v>0.1575</v>
      </c>
      <c r="H2490" t="inlineStr">
        <is>
          <t>Thisisacustomimplementationofadiffutilcallbackforcomparinglistsbasedontheiritemsandcontents.ItusesgenericparametersTtoallowvariouslisttypes.InthiscontextitcompareswhethertwoelementsareidenticalbyinvokingtwoprovidedlambdafunctionsareItemsTheSameandareContentsTheSamerespectively.Itscomplexityislinearwithrespecttothenumberofitems</t>
        </is>
      </c>
      <c r="I2490" t="n">
        <v>0</v>
      </c>
      <c r="J2490" t="n">
        <v>0</v>
      </c>
      <c r="K2490" t="n">
        <v>0</v>
      </c>
      <c r="L2490" t="inlineStr">
        <is>
          <t>```kotlin
// This Kotlin code defines a custom DiffUtil.Callback class named ListDiffCallback that is used for comparing and calculating the differences between two lists of objects (oldList and newList). 
// The purpose of this callback is to determine whether items in these lists are identical based on their positions or content by invoking provided lambda functions 'are</t>
        </is>
      </c>
      <c r="M2490" t="n">
        <v>0.0038</v>
      </c>
      <c r="N2490" t="n">
        <v>0.0625</v>
      </c>
      <c r="O2490" t="n">
        <v>0.1163</v>
      </c>
    </row>
    <row r="2491">
      <c r="A2491" t="inlineStr">
        <is>
          <t>wordpress</t>
        </is>
      </c>
      <c r="B2491" t="inlineStr">
        <is>
          <t>WordPress/src/main/java/org/wordpress/android/ui/ScrollableViewInitializedListener.kt</t>
        </is>
      </c>
      <c r="C2491">
        <f>HYPERLINK("https://github.com/wordpress-mobile/WordPress-Android/blob/master/WordPress/src/main/java/org/wordpress/android/ui/ScrollableViewInitializedListener.kt")</f>
        <v/>
      </c>
      <c r="D2491" t="inlineStr">
        <is>
          <t>A concise summary of the functionality of this provided code would be that it is a listener interface with one function `onScrollableViewInitialized` which takes an integer parameter 'containerId'. The purpose seems to be related to initializing or configuring some sort of scrollable view based on the given container ID. However, without more context about its usage in relation to other parts of</t>
        </is>
      </c>
      <c r="E2491" t="n">
        <v>0.0029</v>
      </c>
      <c r="F2491" t="n">
        <v>0.0571</v>
      </c>
      <c r="G2491" t="n">
        <v>0.0746</v>
      </c>
      <c r="H2491" t="inlineStr">
        <is>
          <t>The function provided is a part of the interface in Android application named "org.wordpress.android.ui". The name of this method is 'onScrollableViewInitialized'. This function takes an integer parameter called 'containerId' and does not return any value (void). It seems to be related to handling scroll events or initialization of some sort of view container with given id.</t>
        </is>
      </c>
      <c r="I2491" t="n">
        <v>0.0039</v>
      </c>
      <c r="J2491" t="n">
        <v>0.0896</v>
      </c>
      <c r="K2491" t="n">
        <v>0.1172</v>
      </c>
      <c r="L2491" t="inlineStr">
        <is>
          <t>The code provided is a function named "onScrollableViewInitialized" which belongs to the package org.wordpress.android.uiinterface. This function takes an integer parameter 'containerId' and has no return type. Its main purpose appears to be initializing or setting up some sort of scrollable view with the given container ID. The complexity of this operation can be considered O(1</t>
        </is>
      </c>
      <c r="M2491" t="n">
        <v>0.004</v>
      </c>
      <c r="N2491" t="n">
        <v>0.0896</v>
      </c>
      <c r="O2491" t="n">
        <v>0.1181</v>
      </c>
    </row>
    <row r="2492">
      <c r="A2492" t="inlineStr">
        <is>
          <t>wordpress</t>
        </is>
      </c>
      <c r="B2492" t="inlineStr">
        <is>
          <t>WordPress/src/main/java/org/wordpress/android/ui/ActivityNavigator.kt</t>
        </is>
      </c>
      <c r="C2492">
        <f>HYPERLINK("https://github.com/wordpress-mobile/WordPress-Android/blob/master/WordPress/src/main/java/org/wordpress/android/ui/ActivityNavigator.kt")</f>
        <v/>
      </c>
      <c r="D2492" t="inlineStr">
        <is>
          <t>ThegivenJavaorKotlincodeisaboutimplementingvariousfeaturesrelatedtotheAndroidversionofaWordPressApp.ItincludespackagesforUIelements,activities,intents,andothernecessaryfunctionsneededfortheoperationsoftheApp.Therearealsoimportsofdifferentlibrariesusedbythisprojectlike'@browser/customtabs','core',etc.Themain</t>
        </is>
      </c>
      <c r="E2492" t="n">
        <v>0</v>
      </c>
      <c r="F2492" t="n">
        <v>0.1053</v>
      </c>
      <c r="G2492" t="n">
        <v>0</v>
      </c>
      <c r="H2492" t="inlineStr">
        <is>
          <t>The code you provided is a Java package named "org.wordpress.android.ui". It appears to be part of an Android application and contains several import statements for different packages related to WordPress (a blogging platform). The main class in this package seems to be the "WordPress" class which likely handles most of the core functionality of the app.
From a functional perspective, it</t>
        </is>
      </c>
      <c r="I2492" t="n">
        <v>0.007</v>
      </c>
      <c r="J2492" t="n">
        <v>0.0833</v>
      </c>
      <c r="K2492" t="n">
        <v>0.2373</v>
      </c>
      <c r="L2492" t="inlineStr">
        <is>
          <t>Thegivencoderesidesinapackagecalled"org.wordpress.android.ui".Itincludesseveralclassesrelatedtologinsessionmanagementincluding"LoginView", "AccountListItem", and "UserProfileHeaderPresenter". It also includes classes for handling application password authentication including the dialog activities "ApplicationPasswordDialogActivity", "ApplicationPasswordReauthenticateDialogActivity", and "</t>
        </is>
      </c>
      <c r="M2492" t="n">
        <v>0.0091</v>
      </c>
      <c r="N2492" t="n">
        <v>0.0588</v>
      </c>
      <c r="O2492" t="n">
        <v>0.0538</v>
      </c>
    </row>
    <row r="2493">
      <c r="A2493" t="inlineStr">
        <is>
          <t>wordpress</t>
        </is>
      </c>
      <c r="B2493" t="inlineStr">
        <is>
          <t>WordPress/src/main/java/org/wordpress/android/ui/InterceptingFrameLayout.kt</t>
        </is>
      </c>
      <c r="C2493">
        <f>HYPERLINK("https://github.com/wordpress-mobile/WordPress-Android/blob/master/WordPress/src/main/java/org/wordpress/android/ui/InterceptingFrameLayout.kt")</f>
        <v/>
      </c>
      <c r="D2493" t="inlineStr">
        <is>
          <t>The provided code is a custom FrameLayout class named InterceptingFrameLayout that intercepts touch events to avoid inner views (e.g., RecyclerView in reader_post_likers_faces_list.xml). The function onInterceptTouchEvent() returns true which means it will consume the event and not pass it down to child views for processing. This can be useful</t>
        </is>
      </c>
      <c r="E2493" t="n">
        <v>0.0045</v>
      </c>
      <c r="F2493" t="n">
        <v>0.0645</v>
      </c>
      <c r="G2493" t="n">
        <v>0.125</v>
      </c>
      <c r="H2493" t="inlineStr">
        <is>
          <t>ThegivenJavaAndroidcoderepresentsaninterceptionframeworkforhandlingtoucheventsinsideAFrameLayout.Itdoesnotperformanyactualmathematicaloperationsbutreturnsalwaystruewhentouchisdetectedwhichmaybeusedasabreastbarrierfordownstreamprocessingoractions. Thecomplexityofthisoperationisthenumberoneconstanttime complexityO(1).</t>
        </is>
      </c>
      <c r="I2493" t="n">
        <v>0</v>
      </c>
      <c r="J2493" t="n">
        <v>0</v>
      </c>
      <c r="K2493" t="n">
        <v>0</v>
      </c>
      <c r="L2493" t="inlineStr">
        <is>
          <t>&lt;!-- This code snippet is for an Android application --&gt;
The provided code creates a custom FrameLayout class named "InterceptingFrameLayout". It extends the standard FrameLayout and overrides its onInterceptTouchEvent method to always return true. The purpose of this interception is to prevent touch events from being passed down to child views (typically used in scenarios where</t>
        </is>
      </c>
      <c r="M2493" t="n">
        <v>0.0039</v>
      </c>
      <c r="N2493" t="n">
        <v>0.0645</v>
      </c>
      <c r="O2493" t="n">
        <v>0.1172</v>
      </c>
    </row>
    <row r="2494">
      <c r="A2494" t="inlineStr">
        <is>
          <t>wordpress</t>
        </is>
      </c>
      <c r="B2494" t="inlineStr">
        <is>
          <t>WordPress/src/main/java/org/wordpress/android/ui/WPWebViewActivity.java</t>
        </is>
      </c>
      <c r="C2494">
        <f>HYPERLINK("https://github.com/wordpress-mobile/WordPress-Android/blob/master/WordPress/src/main/java/org/wordpress/android/ui/WPWebViewActivity.java")</f>
        <v/>
      </c>
      <c r="D2494" t="inlineStr">
        <is>
          <t>The code provided appears to be part of a larger software system related to WordPress for Android devices. It seems to contain various import statements and classes from the android framework as well as custom components or libraries used in this project. The main class extends an Activity and includes methods for handling user interactions such as back button presses (onBackPressed()), inflating menus with MenuInflater(),</t>
        </is>
      </c>
      <c r="E2494" t="n">
        <v>0.0033</v>
      </c>
      <c r="F2494" t="n">
        <v>0.0548</v>
      </c>
      <c r="G2494" t="n">
        <v>0.146</v>
      </c>
      <c r="H2494" t="inlineStr">
        <is>
          <t>The code you provided is a Java class that extends an Android Activity and includes various methods for handling UI events such as onCreate(), onOptionsItemSelected() etc., among others. It also contains import statements for classes from the android framework like Activity, Intent, View, TextView, Menu, MenuInflater, MenuItem, Handler, WebViewClient, CookieManager, etc.</t>
        </is>
      </c>
      <c r="I2494" t="n">
        <v>0.0036</v>
      </c>
      <c r="J2494" t="n">
        <v>0.0339</v>
      </c>
      <c r="K2494" t="n">
        <v>0.0407</v>
      </c>
      <c r="L2494" t="inlineStr">
        <is>
          <t>The provided code is a part of an Android application that appears to be related to the management and display of WordPress content within an app. It includes various import statements for necessary classes from different packages like android.* or com.go.
 The main purpose of this class seems to be managing user interactions with web views displaying WordPress contents. 
 This class extends 'Activity' which means it</t>
        </is>
      </c>
      <c r="M2494" t="n">
        <v>0.0033</v>
      </c>
      <c r="N2494" t="n">
        <v>0.0267</v>
      </c>
      <c r="O2494" t="n">
        <v>0.1087</v>
      </c>
    </row>
    <row r="2495">
      <c r="A2495" t="inlineStr">
        <is>
          <t>wordpress</t>
        </is>
      </c>
      <c r="B2495" t="inlineStr">
        <is>
          <t>WordPress/src/main/java/org/wordpress/android/ui/ActivityLauncher.java</t>
        </is>
      </c>
      <c r="C2495">
        <f>HYPERLINK("https://github.com/wordpress-mobile/WordPress-Android/blob/master/WordPress/src/main/java/org/wordpress/android/ui/ActivityLauncher.java")</f>
        <v/>
      </c>
      <c r="D2495" t="inlineStr">
        <is>
          <t>The provided code is a part of the Android application for WordPress and it's designed to handle UI-related functionalities such as displaying posts from different sources in an activity or fragment. It uses various libraries like androidx core app Task Stack Builder, fragments etc., and also utilizes FluxC architecture which handles data flow between components efficiently. The complexity seems to be O(n), but without</t>
        </is>
      </c>
      <c r="E2495" t="n">
        <v>0.0034</v>
      </c>
      <c r="F2495" t="n">
        <v>0.0533</v>
      </c>
      <c r="G2495" t="n">
        <v>0.1103</v>
      </c>
      <c r="H2495" t="inlineStr">
        <is>
          <t>The code you provided is a Java class that extends an Android Activity and includes import statements for various packages related to WordPress functionality in the context of mobile app development. The main function it defines (`add()`), takes two parameters `a` and `b`, adds them together and returns the result. This operation has a time complexity of O(1).
In summary, this</t>
        </is>
      </c>
      <c r="I2495" t="n">
        <v>0.0039</v>
      </c>
      <c r="J2495" t="n">
        <v>0.0571</v>
      </c>
      <c r="K2495" t="n">
        <v>0.1128</v>
      </c>
      <c r="L2495" t="inlineStr">
        <is>
          <t>The provided code is part of a WordPress Android application's backend component that handles the display and management of reader posts (articles). The main purpose of this module seems to be managing post interactions such as sharing or saving them for later reading. 
Specifically, it appears to handle operations related to displaying blog prompt summaries in an activity and also provides functionality for users to share these</t>
        </is>
      </c>
      <c r="M2495" t="n">
        <v>0.0036</v>
      </c>
      <c r="N2495" t="n">
        <v>0.0789</v>
      </c>
      <c r="O2495" t="n">
        <v>0.1439</v>
      </c>
    </row>
    <row r="2496">
      <c r="A2496" t="inlineStr">
        <is>
          <t>wordpress</t>
        </is>
      </c>
      <c r="B2496" t="inlineStr">
        <is>
          <t>WordPress/src/main/java/org/wordpress/android/ui/JetpackConnectionResultActivity.java</t>
        </is>
      </c>
      <c r="C2496">
        <f>HYPERLINK("https://github.com/wordpress-mobile/WordPress-Android/blob/master/WordPress/src/main/java/org/wordpress/android/ui/JetpackConnectionResultActivity.java")</f>
        <v/>
      </c>
      <c r="D2496" t="inlineStr">
        <is>
          <t>The code provided is a part of the WordPress Android application's user interface (UI). It appears to be related to handling login and account management in this app. The main function being performed here seems to be setting up an ActionBar toolbar for navigation purposes along with some other functionalities such as tracking analytics events or managing site actions via FluxC. However, without more specific details about what</t>
        </is>
      </c>
      <c r="E2496" t="n">
        <v>0.0027</v>
      </c>
      <c r="F2496" t="n">
        <v>0.0519</v>
      </c>
      <c r="G2496" t="n">
        <v>0.1071</v>
      </c>
      <c r="H2496" t="inlineStr">
        <is>
          <t>The code provided is a Java class that extends the BaseAppCompatActivity from Android and contains several methods for handling user interactions such as login, logout, account creation etc. It also includes functionality to handle site-related actions like adding or removing sites. The complexity of this implementation appears to be O(N), where N represents the number of elements in some data structures used by the application (e</t>
        </is>
      </c>
      <c r="I2496" t="n">
        <v>0.0033</v>
      </c>
      <c r="J2496" t="n">
        <v>0.0526</v>
      </c>
      <c r="K2496" t="n">
        <v>0.1449</v>
      </c>
      <c r="L2496" t="inlineStr">
        <is>
          <t>The provided code is a part of the WordPress Android application's user interface layer. It defines an activity that allows users to log in and manage their accounts on various WordPress sites.
It starts by importing necessary packages for handling UI components, content management, network operations, text processing, and other utilities used throughout the app. 
Next, it sets up a login flow</t>
        </is>
      </c>
      <c r="M2496" t="n">
        <v>0.0029</v>
      </c>
      <c r="N2496" t="n">
        <v>0.0282</v>
      </c>
      <c r="O2496" t="n">
        <v>0.0746</v>
      </c>
    </row>
    <row r="2497">
      <c r="A2497" t="inlineStr">
        <is>
          <t>wordpress</t>
        </is>
      </c>
      <c r="B2497" t="inlineStr">
        <is>
          <t>WordPress/src/main/java/org/wordpress/android/ui/WPWebViewMenuUiState.kt</t>
        </is>
      </c>
      <c r="C2497">
        <f>HYPERLINK("https://github.com/wordpress-mobile/WordPress-Android/blob/master/WordPress/src/main/java/org/wordpress/android/ui/WPWebViewMenuUiState.kt")</f>
        <v/>
      </c>
      <c r="D2497" t="inlineStr">
        <is>
          <t>The code provided is a data class named WPWebViewMenuUiState in the package org.wordpress.android.ui of an Android application's source code. This class models the UI state of the menu within the WordPress WebView Activity. It has six properties representing different aspects of its visibility and actionability on the user interface (UI). The default values for these properties are as</t>
        </is>
      </c>
      <c r="E2497" t="n">
        <v>0.0037</v>
      </c>
      <c r="F2497" t="n">
        <v>0.0571</v>
      </c>
      <c r="G2497" t="n">
        <v>0.0769</v>
      </c>
      <c r="H2497" t="inlineStr">
        <is>
          <t>ThegivenJavaorKotlincodeimplementsadderfunctionwhichtakesin2numbersasargumentsandreturnstheirsum.IthasacomplexityofO(1),meaningitperformsconstanttimeoperationsregardlessofinputsizenowriteabriefsummaryofthemulipleclassesindifferentpackagescontainingdifferentkindsoftaskswithdifferentcomplexitiesincludingthisone.</t>
        </is>
      </c>
      <c r="I2497" t="n">
        <v>0</v>
      </c>
      <c r="J2497" t="n">
        <v>0</v>
      </c>
      <c r="K2497" t="n">
        <v>0</v>
      </c>
      <c r="L2497" t="inlineStr">
        <is>
          <t>The code provided is a data class in Kotlin named WPWebViewMenuUiState that models the UI state of the menu within the WordPress WebView Activity on Android. This class has six properties representing different states and behaviors related to browser menus (e.g., visibility and show as action behavior). The default values for these properties are set according to typical web view functionalities but</t>
        </is>
      </c>
      <c r="M2497" t="n">
        <v>0.0035</v>
      </c>
      <c r="N2497" t="n">
        <v>0.0563</v>
      </c>
      <c r="O2497" t="n">
        <v>0.1119</v>
      </c>
    </row>
    <row r="2498">
      <c r="A2498" t="inlineStr">
        <is>
          <t>wordpress</t>
        </is>
      </c>
      <c r="B2498" t="inlineStr">
        <is>
          <t>WordPress/src/main/java/org/wordpress/android/ui/AddQuickPressShortcutActivity.java</t>
        </is>
      </c>
      <c r="C2498">
        <f>HYPERLINK("https://github.com/wordpress-mobile/WordPress-Android/blob/master/WordPress/src/main/java/org/wordpress/android/ui/AddQuickPressShortcutActivity.java")</f>
        <v/>
      </c>
      <c r="D2498" t="inlineStr">
        <is>
          <t>ThegivencodeispartofaWordPressAndroidapplicationwhichusesvariousfeaturesfromdifferentlibrariesincludingVolleyfornetworkingrequestsandGoogle'smaterialdesignlibraryfordialogues.Itimplementsaninterfacewithonitemclicklistenertohandleselectioneventsinalistview.Thecodealsoutilizesalertdialogsfortoastmessagesorconfirmationsbeforeproceed</t>
        </is>
      </c>
      <c r="E2498" t="n">
        <v>0</v>
      </c>
      <c r="F2498" t="n">
        <v>0</v>
      </c>
      <c r="G2498" t="n">
        <v>0</v>
      </c>
      <c r="H2498" t="inlineStr">
        <is>
          <t>The provided code is a Java implementation of the add function which takes two numbers as parameters and returns their sum. The time complexity of this operation is O(1), meaning it performs a constant number of operations regardless of input size.
It appears to be part of an Android application that uses libraries like Volley for networking tasks or Material Dialogs for user interface interactions. It's</t>
        </is>
      </c>
      <c r="I2498" t="n">
        <v>0.0028</v>
      </c>
      <c r="J2498" t="n">
        <v>0.0789</v>
      </c>
      <c r="K2498" t="n">
        <v>0.1449</v>
      </c>
      <c r="L2498" t="inlineStr">
        <is>
          <t>ThegivenJavaAndroidsourcecodefilerepresentsaUIcomponentfordisplayinglistsofblogpostsfromWordPresswebsiteinanapplication.IthasamainactivitythatdisplaysalistviewcontainingshortenedversionsofthepostsinabackgroundimageassociatedwitheachpostusingNetworkImageView.Eachiteminthetlistcanbeselectedtotransitiont</t>
        </is>
      </c>
      <c r="M2498" t="n">
        <v>0</v>
      </c>
      <c r="N2498" t="n">
        <v>0</v>
      </c>
      <c r="O2498" t="n">
        <v>0</v>
      </c>
    </row>
    <row r="2499">
      <c r="A2499" t="inlineStr">
        <is>
          <t>wordpress</t>
        </is>
      </c>
      <c r="B2499" t="inlineStr">
        <is>
          <t>WordPress/src/main/java/org/wordpress/android/ui/FullScreenDialogFragment.java</t>
        </is>
      </c>
      <c r="C2499">
        <f>HYPERLINK("https://github.com/wordpress-mobile/WordPress-Android/blob/master/WordPress/src/main/java/org/wordpress/android/ui/FullScreenDialogFragment.java")</f>
        <v/>
      </c>
      <c r="D2499" t="inlineStr">
        <is>
          <t>The code you provided appears to be a part of an Android application that uses the AppCompat library for compatibility with older versions of Android and provides UI functionalities such as dialogs, toolbars etc., along with some custom implementation related to WordPress features. The complexity is O(n), where n represents number of lines in the code base. It seems like it's implementing core algorithms but without actual</t>
        </is>
      </c>
      <c r="E2499" t="n">
        <v>0.0032</v>
      </c>
      <c r="F2499" t="n">
        <v>0.0519</v>
      </c>
      <c r="G2499" t="n">
        <v>0.2271</v>
      </c>
      <c r="H2499" t="inlineStr">
        <is>
          <t>The code you provided is a Java class that extends `DialogFragment` and includes various methods for setting up the dialog's UI and behavior. It also contains import statements for Android-specific packages which are used to build user interfaces in Android applications.
Here's a concise summary of its functionality: This DialogFragment displays an alert or confirmation message with options (yes/no</t>
        </is>
      </c>
      <c r="I2499" t="n">
        <v>0.0037</v>
      </c>
      <c r="J2499" t="n">
        <v>0.0282</v>
      </c>
      <c r="K2499" t="n">
        <v>0.1145</v>
      </c>
      <c r="L2499" t="inlineStr">
        <is>
          <t>The provided code is part of a WordPress Android application's user interface component. The main purpose of this class seems to be the creation and management of dialog windows related to various functionalities within the app such as post publishing or media uploading.
It uses several import statements for necessary classes from different packages like android.app, android.content, android.graphics etc.</t>
        </is>
      </c>
      <c r="M2499" t="n">
        <v>0.0031</v>
      </c>
      <c r="N2499" t="n">
        <v>0.0563</v>
      </c>
      <c r="O2499" t="n">
        <v>0.1145</v>
      </c>
    </row>
    <row r="2500">
      <c r="A2500" t="inlineStr">
        <is>
          <t>wordpress</t>
        </is>
      </c>
      <c r="B2500" t="inlineStr">
        <is>
          <t>WordPress/src/main/java/org/wordpress/android/ui/FilteredRecyclerView.java</t>
        </is>
      </c>
      <c r="C2500">
        <f>HYPERLINK("https://github.com/wordpress-mobile/WordPress-Android/blob/master/WordPress/src/main/java/org/wordpress/android/ui/FilteredRecyclerView.java")</f>
        <v/>
      </c>
      <c r="D2500" t="inlineStr">
        <is>
          <t>The code you've provided appears to be a custom View or Widget in an Android application related to WordPress. It includes various imports for necessary classes and packages such as android.widget (for widgets like TextView), androidx.recyclerview.widget (for RecyclerView), com.google.android.material.appbar (for AppBarLayout), etc.,</t>
        </is>
      </c>
      <c r="E2500" t="n">
        <v>0.0044</v>
      </c>
      <c r="F2500" t="n">
        <v>0.0345</v>
      </c>
      <c r="G2500" t="n">
        <v>0.0439</v>
      </c>
      <c r="H2500" t="inlineStr">
        <is>
          <t>The provided code is a Java package that contains several import statements for Android development libraries and classes such as Context, TypedArray, AttributeSet, RelativeLayout, RecyclerView, etc., which are used in the implementation of an android UI component (toolbar, spinner, recycler view). The complexity can be considered O(N), where N represents the number of imported classes</t>
        </is>
      </c>
      <c r="I2500" t="n">
        <v>0.0033</v>
      </c>
      <c r="J2500" t="n">
        <v>0.0312</v>
      </c>
      <c r="K2500" t="n">
        <v>0.1181</v>
      </c>
      <c r="L2500" t="inlineStr">
        <is>
          <t>ThegivenJavaAndroidsourcecodefilerepresentsaUIcomponentfordisplayingblogpostsfromWordPresswebsiteinanapplication.Itusesvariouscustomviewsincludingtoolbarspinnersprogressbarsandtextviews.Theprimaryroleoffullcodeandspecifiedattributesinthedocumentationisrelatedtoloadinganddisplaysafewblogpostswiththeirmetadatausingasync</t>
        </is>
      </c>
      <c r="M2500" t="n">
        <v>0</v>
      </c>
      <c r="N2500" t="n">
        <v>0</v>
      </c>
      <c r="O2500" t="n">
        <v>0</v>
      </c>
    </row>
    <row r="2501">
      <c r="A2501" t="inlineStr">
        <is>
          <t>wordpress</t>
        </is>
      </c>
      <c r="B2501" t="inlineStr">
        <is>
          <t>WordPress/src/main/java/org/wordpress/android/ui/EmptyViewMessageType.java</t>
        </is>
      </c>
      <c r="C2501">
        <f>HYPERLINK("https://github.com/wordpress-mobile/WordPress-Android/blob/master/WordPress/src/main/java/org/wordpress/android/ui/EmptyViewMessageType.java")</f>
        <v/>
      </c>
      <c r="D2501" t="inlineStr">
        <is>
          <t>The code provided is an enum named `EmptyViewMessageType` in the package org.wordpress.android.ui of a WordPress Android application. This enum represents different types of messages that can be displayed to users when there are no content or errors during loading data from a server. The values include LOADING for showing a progress indicator, NO_CONTENT for indicating that there's nothing</t>
        </is>
      </c>
      <c r="E2501" t="n">
        <v>0.0031</v>
      </c>
      <c r="F2501" t="n">
        <v>0.0282</v>
      </c>
      <c r="G2501" t="n">
        <v>0.0385</v>
      </c>
      <c r="H2501" t="inlineStr">
        <is>
          <t>The provided code is an enumeration in Java named EmptyViewMessageType that represents different types of messages to be displayed on a UI based on the state of data loading or content availability. The function getEnumFromString takes a string value and returns the corresponding Enum type from this list. If no match found it defaults to NO_CONTENT.
In summary, there are</t>
        </is>
      </c>
      <c r="I2501" t="n">
        <v>0.003</v>
      </c>
      <c r="J2501" t="n">
        <v>0.058</v>
      </c>
      <c r="K2501" t="n">
        <v>0.1136</v>
      </c>
      <c r="L2501" t="inlineStr">
        <is>
          <t>The provided code is a Java enum named `EmptyViewMessageType` that represents different types of messages to be displayed in the UI when there are no content or errors encountered during data loading from network sources. The purpose of this enum is to provide a standardized way of representing these various states and enabling easy comparison between them for conditional rendering purposes. 
It does so by defining</t>
        </is>
      </c>
      <c r="M2501" t="n">
        <v>0.0028</v>
      </c>
      <c r="N2501" t="n">
        <v>0.0541</v>
      </c>
      <c r="O2501" t="n">
        <v>0.0725</v>
      </c>
    </row>
    <row r="2502">
      <c r="A2502" t="inlineStr">
        <is>
          <t>wordpress</t>
        </is>
      </c>
      <c r="B2502" t="inlineStr">
        <is>
          <t>WordPress/src/main/java/org/wordpress/android/ui/ShareIntentReceiverFragment.java</t>
        </is>
      </c>
      <c r="C2502">
        <f>HYPERLINK("https://github.com/wordpress-mobile/WordPress-Android/blob/master/WordPress/src/main/java/org/wordpress/android/ui/ShareIntentReceiverFragment.java")</f>
        <v/>
      </c>
      <c r="D2502" t="inlineStr">
        <is>
          <t>The provided code appears to be part of a larger application and is likely related to the user interface for selecting sites or blogs in WordPress Android app. It includes imports for necessary libraries such as androidx dependencies, RecyclerView, and custom classes like SitePickerAdapter and ViewHolderHandler. The class extends Fragment which means it's intended to function within an activity that supports fragment transactions</t>
        </is>
      </c>
      <c r="E2502" t="n">
        <v>0.0029</v>
      </c>
      <c r="F2502" t="n">
        <v>0.0278</v>
      </c>
      <c r="G2502" t="n">
        <v>0.0741</v>
      </c>
      <c r="H2502" t="inlineStr">
        <is>
          <t>The provided code is a Java class named "Share". This class appears to be part of an Android application and it's likely used for handling sharing functionality within the app. It extends from Fragment which means this class represents a fragment in your android activity or dialog that can handle user interactions like clicks on buttons etc.
It uses RecyclerView, Adapter classes along with</t>
        </is>
      </c>
      <c r="I2502" t="n">
        <v>0.0037</v>
      </c>
      <c r="J2502" t="n">
        <v>0.0548</v>
      </c>
      <c r="K2502" t="n">
        <v>0.1103</v>
      </c>
      <c r="L2502" t="inlineStr">
        <is>
          <t>The provided code is a fragment class named "SitePickerFragment" that appears to be part of the WordPress Android application's UI layer. This fragment displays a list of sites (blog posts) for users to choose from after logging in.
It extends Fragment and uses RecyclerView with a custom adapter called SitePickerAdapter for displaying site records. The main purpose of</t>
        </is>
      </c>
      <c r="M2502" t="n">
        <v>0.0037</v>
      </c>
      <c r="N2502" t="n">
        <v>0.0597</v>
      </c>
      <c r="O2502" t="n">
        <v>0.1154</v>
      </c>
    </row>
    <row r="2503">
      <c r="A2503" t="inlineStr">
        <is>
          <t>wordpress</t>
        </is>
      </c>
      <c r="B2503" t="inlineStr">
        <is>
          <t>WordPress/src/main/java/org/wordpress/android/ui/PreviewMode.kt</t>
        </is>
      </c>
      <c r="C2503">
        <f>HYPERLINK("https://github.com/wordpress-mobile/WordPress-Android/blob/master/WordPress/src/main/java/org/wordpress/android/ui/PreviewMode.kt")</f>
        <v/>
      </c>
      <c r="D2503" t="inlineStr">
        <is>
          <t>The provided code defines an enum class `PreviewMode` with two modes - MOBILE and TABLET each having a different preview width (400 for mobile, 800 for tablet). It also provides an interface `PreviewModeHandler` that handles the selection of these available preview modes as well as any changes in them. The complexity is O(N) where N refers</t>
        </is>
      </c>
      <c r="E2503" t="n">
        <v>0.0033</v>
      </c>
      <c r="F2503" t="n">
        <v>0.0312</v>
      </c>
      <c r="G2503" t="n">
        <v>0.0391</v>
      </c>
      <c r="H2503" t="inlineStr">
        <is>
          <t>ThegivenJavaorKotlincodeisimplementinganenumerationnamed'PreviewMode'withtwoinstances:'MOBILE','TABLET'.Eachinstancehasassociatedakeyandapreviewwidth.'DESKTOP''sdefaultvalueis1200.Thereisthenativeinterfacename'PreviewModeHandler',whichcontainsfunctions'selectedPre</t>
        </is>
      </c>
      <c r="I2503" t="n">
        <v>0</v>
      </c>
      <c r="J2503" t="n">
        <v>0</v>
      </c>
      <c r="K2503" t="n">
        <v>0</v>
      </c>
      <c r="L2503" t="inlineStr">
        <is>
          <t>ThegivencodeispartofaWordPressAndroidapplicationwhichdefinesthreedifferentpreviewmodes:Mobile,TabletandDesktop.Eachmodehasasingledefinedrenderingwidth.Thesemodesarerepresentedbyinstancesofthe`PreviewMode`enumclasswhereeachinstancecarriesainformationaboutitsownuniquekeyandassociatedrenderingwidth.Moreover,thereisan</t>
        </is>
      </c>
      <c r="M2503" t="n">
        <v>0</v>
      </c>
      <c r="N2503" t="n">
        <v>0</v>
      </c>
      <c r="O2503" t="n">
        <v>0</v>
      </c>
    </row>
    <row r="2504">
      <c r="A2504" t="inlineStr">
        <is>
          <t>wordpress</t>
        </is>
      </c>
      <c r="B2504" t="inlineStr">
        <is>
          <t>WordPress/src/main/java/org/wordpress/android/ui/postsrs/PostRsListActivity.kt</t>
        </is>
      </c>
      <c r="C2504">
        <f>HYPERLINK("https://github.com/wordpress-mobile/WordPress-Android/blob/master/WordPress/src/main/java/org/wordpress/android/ui/postsrs/PostRsListActivity.kt")</f>
        <v/>
      </c>
      <c r="D2504" t="inlineStr">
        <is>
          <t>The code you provided appears to be a part of the Wordpress Android application's source code for managing and displaying posts in an activity named "PostRsListScreen". It uses various libraries such as Dagger Hilt, Kotlin Coroutine, Jetpack Compose, etc., which are used extensively in modern applications. The main functionality seems to involve creating or editing posts with</t>
        </is>
      </c>
      <c r="E2504" t="n">
        <v>0.0038</v>
      </c>
      <c r="F2504" t="n">
        <v>0.0303</v>
      </c>
      <c r="G2504" t="n">
        <v>0.0775</v>
      </c>
      <c r="H2504" t="inlineStr">
        <is>
          <t>The provided code is a Kotlin function named `add` that takes two parameters (numbers), adds them together and returns the result. The time complexity of this operation is O(1).
In the README file, it's mentioned that there are multiple components in the repository including backend software components. This could be an implementation of core algorithms or other functionalities related to</t>
        </is>
      </c>
      <c r="I2504" t="n">
        <v>0.0043</v>
      </c>
      <c r="J2504" t="n">
        <v>0.1429</v>
      </c>
      <c r="K2504" t="n">
        <v>0.2273</v>
      </c>
      <c r="L2504" t="inlineStr">
        <is>
          <t>Thegivensourcecodefileappears to be a Kotlin file that contains the implementation of an Android application using Jetpack Compose for UI rendering and Dagger Hilt for dependency injection. The main purpose of this code is likely to manage post creation in a WordPress environment. 
It takes inputs from various sources (like BlazeFlowSource) and produces outputs which are</t>
        </is>
      </c>
      <c r="M2504" t="n">
        <v>0.0033</v>
      </c>
      <c r="N2504" t="n">
        <v>0.0635</v>
      </c>
      <c r="O2504" t="n">
        <v>0.1575</v>
      </c>
    </row>
    <row r="2505">
      <c r="A2505" t="inlineStr">
        <is>
          <t>wordpress</t>
        </is>
      </c>
      <c r="B2505" t="inlineStr">
        <is>
          <t>WordPress/src/main/java/org/wordpress/android/ui/postsrs/PostRsErrorUtils.kt</t>
        </is>
      </c>
      <c r="C2505">
        <f>HYPERLINK("https://github.com/wordpress-mobile/WordPress-Android/blob/master/WordPress/src/main/java/org/wordpress/android/ui/postsrs/PostRsErrorUtils.kt")</f>
        <v/>
      </c>
      <c r="D2505" t="inlineStr">
        <is>
          <t>The code provided is a utility class for handling errors related to the retrieval of posts from WordPress via an Android application using UniFFI (Universal FFI). It provides helper functions that unwrap exceptions thrown by API calls and checks if they represent authentication failures.
Here's a brief summary of its functionality:
1. `unwrapException` function: This</t>
        </is>
      </c>
      <c r="E2505" t="n">
        <v>0.004</v>
      </c>
      <c r="F2505" t="n">
        <v>0.0625</v>
      </c>
      <c r="G2505" t="n">
        <v>0.1181</v>
      </c>
      <c r="H2505" t="inlineStr">
        <is>
          <t>The code you provided appears to be a Java package for managing errors in an Android application using WordPress API. It includes utilities and helper functions related to error handling of the RS post screens (Reservation System Post Reservations). The complexity is O(N), as it involves iterating over exceptions based on certain conditions like authentication failure.
In detail: 
- `un</t>
        </is>
      </c>
      <c r="I2505" t="n">
        <v>0.003</v>
      </c>
      <c r="J2505" t="n">
        <v>0.0294</v>
      </c>
      <c r="K2505" t="n">
        <v>0.07580000000000001</v>
      </c>
      <c r="L2505" t="inlineStr">
        <is>
          <t>ThegivenJava/Kotlinsourcecoderesidesinapackagecalled"org.wordpress.android.ui.posts".It'spurposeisrelatedtothescreeningandsyncingofflinecontenttowordpresswebsiteviaWordPressSyncManager.java.ThecodeusesvariousclassesfornetworkcommunicationlikeNetworkUtilsWrapper.javaandresourceprovider.java.There</t>
        </is>
      </c>
      <c r="M2505" t="n">
        <v>0</v>
      </c>
      <c r="N2505" t="n">
        <v>0</v>
      </c>
      <c r="O2505" t="n">
        <v>0</v>
      </c>
    </row>
    <row r="2506">
      <c r="A2506" t="inlineStr">
        <is>
          <t>wordpress</t>
        </is>
      </c>
      <c r="B2506" t="inlineStr">
        <is>
          <t>WordPress/src/main/java/org/wordpress/android/ui/postsrs/UriToFileMapper.kt</t>
        </is>
      </c>
      <c r="C2506">
        <f>HYPERLINK("https://github.com/wordpress-mobile/WordPress-Android/blob/master/WordPress/src/main/java/org/wordpress/android/ui/postsrs/UriToFileMapper.kt")</f>
        <v/>
      </c>
      <c r="D2506" t="inlineStr">
        <is>
          <t>ThegivenKotlin code is a class named 'UriToFileMapper' which uses Dagger Hilt for dependency injection and has an injected constructor with the application context as one of its parameters. The purpose of this class seems to be mapping URIs (Uniform Resource Identifier) into temporary files on Android devices using Java I/O operations. 
It defines a</t>
        </is>
      </c>
      <c r="E2506" t="n">
        <v>0.0034</v>
      </c>
      <c r="F2506" t="n">
        <v>0.0317</v>
      </c>
      <c r="G2506" t="n">
        <v>0.119</v>
      </c>
      <c r="H2506" t="inlineStr">
        <is>
          <t>The provided code is a class `UriToFileMapper` that uses Dagger Hilt for dependency injection and has an injected constructor with the application context as one of its parameters. The function `copyUriToTempFile()` takes in a URI (Uniform Resource Identifier), gets the mimetype using the content resolver's getType method, determines the file extension based on</t>
        </is>
      </c>
      <c r="I2506" t="n">
        <v>0.0035</v>
      </c>
      <c r="J2506" t="n">
        <v>0.0323</v>
      </c>
      <c r="K2506" t="n">
        <v>0.08</v>
      </c>
      <c r="L2506" t="inlineStr">
        <is>
          <t>The provided code is a class named "UriToFileMapper" which serves to map URIs (Uniform Resource Identifier) into temporary files in the Android application context's cache directory. The purpose of this class seems to be file conversion or mapping from URI format to File object for further processing and manipulation within an android app environment. This process involves opening input stream with given uri using</t>
        </is>
      </c>
      <c r="M2506" t="n">
        <v>0.0034</v>
      </c>
      <c r="N2506" t="n">
        <v>0.0548</v>
      </c>
      <c r="O2506" t="n">
        <v>0.1103</v>
      </c>
    </row>
    <row r="2507">
      <c r="A2507" t="inlineStr">
        <is>
          <t>wordpress</t>
        </is>
      </c>
      <c r="B2507" t="inlineStr">
        <is>
          <t>WordPress/src/main/java/org/wordpress/android/ui/postsrs/PostRsSettingsUiState.kt</t>
        </is>
      </c>
      <c r="C2507">
        <f>HYPERLINK("https://github.com/wordpress-mobile/WordPress-Android/blob/master/WordPress/src/main/java/org/wordpress/android/ui/postsrs/PostRsSettingsUiState.kt")</f>
        <v/>
      </c>
      <c r="D2507" t="inlineStr">
        <is>
          <t>ThegivencodeimplementsaWordPressAndroidapplication'sUIformanagingblogposts.Itusesasemanticdesignprincipalsuchasthemefunctionalityisencapsulatedintosealedinterfacesandclasses.TherearedifferentstatesafieldlikeEmpty,Loading,LoadedorErrorwhichrepresentsthestateofapostfieldinvolvedwithloadingmoreauthors.Also</t>
        </is>
      </c>
      <c r="E2507" t="n">
        <v>0</v>
      </c>
      <c r="F2507" t="n">
        <v>0</v>
      </c>
      <c r="G2507" t="n">
        <v>0</v>
      </c>
      <c r="H2507" t="inlineStr">
        <is>
          <t>ThegivenJavaorKotlincodeimplementsanalgorithmtoadduptwonumbers.ItusesbasicarithmeticoperationswhichhaveacomplexityofO(1).Therearealsointerfacesandclassesdefinedforhandlingdifferentstatesrelatedtoloadingandprocessingofauthordetailsfromawpappliation. Thecomplexityofthiscodeinvolvesloop</t>
        </is>
      </c>
      <c r="I2507" t="n">
        <v>0</v>
      </c>
      <c r="J2507" t="n">
        <v>0</v>
      </c>
      <c r="K2507" t="n">
        <v>0</v>
      </c>
      <c r="L2507" t="inlineStr">
        <is>
          <t>The provided code is a Java implementation of an Android application that interacts with WordPress' backend components via REST API calls. The main purpose of this module seems to be managing and updating post data on the server based on user interactions in the app.
Here are some key operations performed by the code: 
1. It uses `PostRsRestClient` for making requests</t>
        </is>
      </c>
      <c r="M2507" t="n">
        <v>0.0036</v>
      </c>
      <c r="N2507" t="n">
        <v>0.08699999999999999</v>
      </c>
      <c r="O2507" t="n">
        <v>0.188</v>
      </c>
    </row>
    <row r="2508">
      <c r="A2508" t="inlineStr">
        <is>
          <t>wordpress</t>
        </is>
      </c>
      <c r="B2508" t="inlineStr">
        <is>
          <t>WordPress/src/main/java/org/wordpress/android/ui/postsrs/PostRsDateFormatter.kt</t>
        </is>
      </c>
      <c r="C2508">
        <f>HYPERLINK("https://github.com/wordpress-mobile/WordPress-Android/blob/master/WordPress/src/main/java/org/wordpress/android/ui/postsrs/PostRsDateFormatter.kt")</f>
        <v/>
      </c>
      <c r="D2508" t="inlineStr">
        <is>
          <t>The provided code is a formatter for post dates from the WordPress-RS API. It formats GMT (Greenwich Mean Time) date objects to display in different formats depending on whether they are scheduled posts or older than one year. The formatting behavior matches that of an old Flux/C based post list. This repository contains backend software components and complexity can be considered as O(n</t>
        </is>
      </c>
      <c r="E2508" t="n">
        <v>0.0038</v>
      </c>
      <c r="F2508" t="n">
        <v>0.08110000000000001</v>
      </c>
      <c r="G2508" t="n">
        <v>0.1111</v>
      </c>
      <c r="H2508" t="inlineStr">
        <is>
          <t>ThegivencodeformatsAGMTdatetimefordisplayinapostlistaccordingtoconditionsspecifiedincomments.ItusesconditionalstatementstogeneratesdifferentoutputdependingonwhetherthepostisschEDULEDorNOTschEDULED. The code also checks if the post is less than a year old and formats it accordingly. Otherwise, it displays an abbreviated absolute date.</t>
        </is>
      </c>
      <c r="I2508" t="n">
        <v>0.0076</v>
      </c>
      <c r="J2508" t="n">
        <v>0.0588</v>
      </c>
      <c r="K2508" t="n">
        <v>0.0515</v>
      </c>
      <c r="L2508" t="inlineStr">
        <is>
          <t>The provided code is a function named `format` that takes in two parameters - a Date object (representing the post date from WordPress) and an optional PostStatus parameter. The purpose of this function appears to be to format the given date into different formats based on its relative time compared to the current system time. This makes it easier for users to understand when posts were made without having to manually calculate</t>
        </is>
      </c>
      <c r="M2508" t="n">
        <v>0.003</v>
      </c>
      <c r="N2508" t="n">
        <v>0.0506</v>
      </c>
      <c r="O2508" t="n">
        <v>0.1042</v>
      </c>
    </row>
    <row r="2509">
      <c r="A2509" t="inlineStr">
        <is>
          <t>wordpress</t>
        </is>
      </c>
      <c r="B2509" t="inlineStr">
        <is>
          <t>WordPress/src/main/java/org/wordpress/android/ui/postsrs/PostRsListTab.kt</t>
        </is>
      </c>
      <c r="C2509">
        <f>HYPERLINK("https://github.com/wordpress-mobile/WordPress-Android/blob/master/WordPress/src/main/java/org/wordpress/android/ui/postsrs/PostRsListTab.kt")</f>
        <v/>
      </c>
      <c r="D2509" t="inlineStr">
        <is>
          <t>The provided code defines an enum class `PostRsListTab` with four instances - PUBLISHED, DRAFTS, SCHEDULED and README. Each instance is initialized with a label resource ID (for the tab name in UI), an empty message resource ID (to display when no posts are available for that status/type), a list of post statuses to</t>
        </is>
      </c>
      <c r="E2509" t="n">
        <v>0.0035</v>
      </c>
      <c r="F2509" t="n">
        <v>0.0328</v>
      </c>
      <c r="G2509" t="n">
        <v>0.04</v>
      </c>
      <c r="H2509" t="inlineStr">
        <is>
          <t>Thegivencodeisforaddingtwonumbersusingthe'+'operatorinKotlin.IthasacomplexityofO(1). Thereadmeexplainswhatthiscodedoesandhowitworks. Italsoincludescommentswhichdescribetheimplementedalgorithm.
# Python Code:
```python
def add(a, b):
    return a</t>
        </is>
      </c>
      <c r="I2509" t="n">
        <v>0</v>
      </c>
      <c r="J2509" t="n">
        <v>0</v>
      </c>
      <c r="K2509" t="n">
        <v>0</v>
      </c>
      <c r="L2509" t="inlineStr">
        <is>
          <t>The provided code represents an enumeration class named `PostRsListTab` in the Android application's backend components of WordPress. This class is used to define different tabs for displaying posts based on their status and order in a WordPress API response. Each tab has its own label resource ID, empty message resource ID, list of post statuses it displays, and ordering preference (ascending or desc</t>
        </is>
      </c>
      <c r="M2509" t="n">
        <v>0.0034</v>
      </c>
      <c r="N2509" t="n">
        <v>0.0556</v>
      </c>
      <c r="O2509" t="n">
        <v>0.1111</v>
      </c>
    </row>
    <row r="2510">
      <c r="A2510" t="inlineStr">
        <is>
          <t>wordpress</t>
        </is>
      </c>
      <c r="B2510" t="inlineStr">
        <is>
          <t>WordPress/src/main/java/org/wordpress/android/ui/postsrs/PostRsListUiState.kt</t>
        </is>
      </c>
      <c r="C2510">
        <f>HYPERLINK("https://github.com/wordpress-mobile/WordPress-Android/blob/master/WordPress/src/main/java/org/wordpress/android/ui/postsrs/PostRsListUiState.kt")</f>
        <v/>
      </c>
      <c r="D2510" t="inlineStr">
        <is>
          <t>ThegivenKotlin code defines several classes and interfaces related to a blogging platform's functionality. It includes the following components:
- `SnackbarMessage` class that holds data for displaying snackbars with optional actions. The message text is provided as well as an action label (which can be null), and an onClick function which executes when this action is clicked.</t>
        </is>
      </c>
      <c r="E2510" t="n">
        <v>0.0033</v>
      </c>
      <c r="F2510" t="n">
        <v>0.0625</v>
      </c>
      <c r="G2510" t="n">
        <v>0.1172</v>
      </c>
      <c r="H2510" t="inlineStr">
        <is>
          <t>ThegivenKotlincodeisimplementingthreeclasseswithnamed'SnackbarMessage', 'PendingConfirmation','ConfirmationDialogState' and 'PostTabUiState'. The 'SnackbarMessage' class has three properties - message (type String), actionLabel (type String?) and onAction (type function). The 'PendingConfirmation' is</t>
        </is>
      </c>
      <c r="I2510" t="n">
        <v>0.007900000000000001</v>
      </c>
      <c r="J2510" t="n">
        <v>0.0606</v>
      </c>
      <c r="K2510" t="n">
        <v>0.0521</v>
      </c>
      <c r="L2510" t="inlineStr">
        <is>
          <t>The provided code is a part of the WordPress Android app's backend software component. It defines several data classes and interfaces related to post management in this application. 
Here are some key components:
1. `SnackbarMessage` - This class represents a message that will be displayed as a snackbar at the bottom of the screen. The message contains text (`</t>
        </is>
      </c>
      <c r="M2510" t="n">
        <v>0.0041</v>
      </c>
      <c r="N2510" t="n">
        <v>0.0606</v>
      </c>
      <c r="O2510" t="n">
        <v>0.1527</v>
      </c>
    </row>
    <row r="2511">
      <c r="A2511" t="inlineStr">
        <is>
          <t>wordpress</t>
        </is>
      </c>
      <c r="B2511" t="inlineStr">
        <is>
          <t>WordPress/src/main/java/org/wordpress/android/ui/postsrs/PostRsSettingsViewModel.kt</t>
        </is>
      </c>
      <c r="C2511">
        <f>HYPERLINK("https://github.com/wordpress-mobile/WordPress-Android/blob/master/WordPress/src/main/java/org/wordpress/android/ui/postsrs/PostRsSettingsViewModel.kt")</f>
        <v/>
      </c>
      <c r="D2511" t="inlineStr">
        <is>
          <t>The code you provided is a summary of the functionality of some backend software components related to WordPress Android app development. The complexity is O(N), indicating that it may involve complex algorithms or data structures with an upper bound determined by N (a variable representing something like number of elements). It also shows initial commit points and size of the code base which indicates its age and growth over time.
&lt;</t>
        </is>
      </c>
      <c r="E2511" t="n">
        <v>0.0034</v>
      </c>
      <c r="F2511" t="n">
        <v>0.0506</v>
      </c>
      <c r="G2511" t="n">
        <v>0.1049</v>
      </c>
      <c r="H2511" t="inlineStr">
        <is>
          <t>The code provided is a Kotlin function named "add" that takes two parameters and returns their sum. The time complexity of this operation is O(1), meaning it performs the addition in constant time regardless of the size of the input numbers (a or b).
In summary, this function adds two numbers together without repeating any code. It's part of an Android application with</t>
        </is>
      </c>
      <c r="I2511" t="n">
        <v>0.0029</v>
      </c>
      <c r="J2511" t="n">
        <v>0.0548</v>
      </c>
      <c r="K2511" t="n">
        <v>0.1111</v>
      </c>
      <c r="L2511" t="inlineStr">
        <is>
          <t>ThegivenKotlin/Java code appears to be a ViewModel for managing the state and behavior of an application component related to posts on WordPress sites. It uses Dagger Hilt for dependency injection, Kotlin Coroutines for asynchronous programming, and interacts with various repositories (like SelectedSiteRepository) which handle site-related operations. The main functionality includes fetching post</t>
        </is>
      </c>
      <c r="M2511" t="n">
        <v>0.0042</v>
      </c>
      <c r="N2511" t="n">
        <v>0.0323</v>
      </c>
      <c r="O2511" t="n">
        <v>0.0806</v>
      </c>
    </row>
    <row r="2512">
      <c r="A2512" t="inlineStr">
        <is>
          <t>wordpress</t>
        </is>
      </c>
      <c r="B2512" t="inlineStr">
        <is>
          <t>WordPress/src/main/java/org/wordpress/android/ui/postsrs/PostRsListViewModel.kt</t>
        </is>
      </c>
      <c r="C2512">
        <f>HYPERLINK("https://github.com/wordpress-mobile/WordPress-Android/blob/master/WordPress/src/main/java/org/wordpress/android/ui/postsrs/PostRsListViewModel.kt")</f>
        <v/>
      </c>
      <c r="D2512" t="inlineStr">
        <is>
          <t>The code provided appears to be a part of the Wordpress Android application's ViewModel for managing posts (`PostModel`). It uses Dagger Hilt and Kotlin Coroutine libraries for dependency injection and asynchronous programming respectively. The `@MainThread` annotation suggests that this class is designed to run on the main thread only. This ensures UI updates are performed in a safe</t>
        </is>
      </c>
      <c r="E2512" t="n">
        <v>0.0037</v>
      </c>
      <c r="F2512" t="n">
        <v>0.0299</v>
      </c>
      <c r="G2512" t="n">
        <v>0.1154</v>
      </c>
      <c r="H2512" t="inlineStr">
        <is>
          <t>The provided code is a Kotlin function named `add` which takes two parameters and returns their sum. It operates with constant time complexity O(1), meaning it performs the same number of operations regardless of input size. The summary can be "Defines an addition operation that adds two numbers together.".
In the README file, there are several sections describing the repository's</t>
        </is>
      </c>
      <c r="I2512" t="n">
        <v>0.003</v>
      </c>
      <c r="J2512" t="n">
        <v>0.0571</v>
      </c>
      <c r="K2512" t="n">
        <v>0.07580000000000001</v>
      </c>
      <c r="L2512" t="inlineStr">
        <is>
          <t>ThegivenKotlin/Java code appears to be a ViewModel class for managing and tracking the status of posts in a WordPress app. The main purpose is to handle post creation, update, deletion, and other related operations.
Key functionalities include: 
1. Handling user input through MutableStateFlow objects (e.g., search query) that are</t>
        </is>
      </c>
      <c r="M2512" t="n">
        <v>0.0037</v>
      </c>
      <c r="N2512" t="n">
        <v>0.0339</v>
      </c>
      <c r="O2512" t="n">
        <v>0.08260000000000001</v>
      </c>
    </row>
    <row r="2513">
      <c r="A2513" t="inlineStr">
        <is>
          <t>wordpress</t>
        </is>
      </c>
      <c r="B2513" t="inlineStr">
        <is>
          <t>WordPress/src/main/java/org/wordpress/android/ui/postsrs/PostRsSettingsActivity.kt</t>
        </is>
      </c>
      <c r="C2513">
        <f>HYPERLINK("https://github.com/wordpress-mobile/WordPress-Android/blob/master/WordPress/src/main/java/org/wordpress/android/ui/postsrs/PostRsSettingsActivity.kt")</f>
        <v/>
      </c>
      <c r="D2513" t="inlineStr">
        <is>
          <t>The code you've provided appears to be a part of an Android application with Dagger Hilt and Kotlin Coroutine usage for dependency injection and asynchronous programming respectively. It imports various necessary classes from different packages like android.content, android.os, androidx.activity etc., defines several functions and variables which are likely used in the context of media picker functionality within this</t>
        </is>
      </c>
      <c r="E2513" t="n">
        <v>0.0037</v>
      </c>
      <c r="F2513" t="n">
        <v>0.0571</v>
      </c>
      <c r="G2513" t="n">
        <v>0.1154</v>
      </c>
      <c r="H2513" t="inlineStr">
        <is>
          <t>The provided code is a simple function named `add` that takes two parameters (numbers), adds them together and returns the result. The time complexity of this operation is O(1). It's used for adding numbers in mathematics.
&lt;jupyter_code&gt;
# Code: 
def add(a, b):
    return a + b
&lt;j</t>
        </is>
      </c>
      <c r="I2513" t="n">
        <v>0.0039</v>
      </c>
      <c r="J2513" t="n">
        <v>0.0702</v>
      </c>
      <c r="K2513" t="n">
        <v>0.1261</v>
      </c>
      <c r="L2513" t="inlineStr">
        <is>
          <t>ThegivencodefilerepresentsaMediaPickerActivityinanAndroidapplication.It'sresponsibleforhandlingmediauploadsinvariousformatsincludingimagesandsvgfiles.Inputstoitsfunctionsincludesselectedmediatypeandcallbackurlfortheuploadedmedia.Onceprocessingisfinished,itreturnsabundlecontainingmetadataabouttheprocessedsocialsharingpost.Main</t>
        </is>
      </c>
      <c r="M2513" t="n">
        <v>0</v>
      </c>
      <c r="N2513" t="n">
        <v>0</v>
      </c>
      <c r="O2513" t="n">
        <v>0</v>
      </c>
    </row>
    <row r="2514">
      <c r="A2514" t="inlineStr">
        <is>
          <t>wordpress</t>
        </is>
      </c>
      <c r="B2514" t="inlineStr">
        <is>
          <t>WordPress/src/main/java/org/wordpress/android/ui/postsrs/PostRsListEvent.kt</t>
        </is>
      </c>
      <c r="C2514">
        <f>HYPERLINK("https://github.com/wordpress-mobile/WordPress-Android/blob/master/WordPress/src/main/java/org/wordpress/android/ui/postsrs/PostRsListEvent.kt")</f>
        <v/>
      </c>
      <c r="D2514" t="inlineStr">
        <is>
          <t>The code provided is a sealed interface named PostRsListEvent that represents different events related to posts on WordPress for Android app. It has five data classes representing the actions or events which can happen when interacting with post objects in an application like editing a post (with site and post details), creating a new post (just with site details), viewing a post (by URL), reading a post (using</t>
        </is>
      </c>
      <c r="E2514" t="n">
        <v>0.0027</v>
      </c>
      <c r="F2514" t="n">
        <v>0.0263</v>
      </c>
      <c r="G2514" t="n">
        <v>0.0357</v>
      </c>
      <c r="H2514" t="inlineStr">
        <is>
          <t>The provided code is a Kotlin function named `add` that takes two parameters and returns their sum. It has a time complexity of O(1), meaning it performs a constant number of operations regardless of the size of the input data. The function adds together two numbers.
In the README file, there are details about this repository which includes its purpose (being backend software components</t>
        </is>
      </c>
      <c r="I2514" t="n">
        <v>0.0034</v>
      </c>
      <c r="J2514" t="n">
        <v>0.0548</v>
      </c>
      <c r="K2514" t="n">
        <v>0.1471</v>
      </c>
      <c r="L2514" t="inlineStr">
        <is>
          <t>The provided code is a Kotlin data class implementation of several event types related to posts in an Android application using WordPress as its backend. The purpose of this code is to define the different actions that can be performed on posts within the context of a specific site, including creating and editing posts, viewing posts, sharing posts, promoting with Blaze (a premium feature offered by WordPress for blogging platforms</t>
        </is>
      </c>
      <c r="M2514" t="n">
        <v>0.0026</v>
      </c>
      <c r="N2514" t="n">
        <v>0.0513</v>
      </c>
      <c r="O2514" t="n">
        <v>0.1408</v>
      </c>
    </row>
    <row r="2515">
      <c r="A2515" t="inlineStr">
        <is>
          <t>wordpress</t>
        </is>
      </c>
      <c r="B2515" t="inlineStr">
        <is>
          <t>WordPress/src/main/java/org/wordpress/android/ui/postsrs/screens/PostRsListItem.kt</t>
        </is>
      </c>
      <c r="C2515">
        <f>HYPERLINK("https://github.com/wordpress-mobile/WordPress-Android/blob/master/WordPress/src/main/java/org/wordpress/android/ui/postsrs/screens/PostRsListItem.kt")</f>
        <v/>
      </c>
      <c r="D2515" t="inlineStr">
        <is>
          <t>The provided code is a Kotlin/Java implementation of an Android application using Jetpack Compose for UI components and animations. The main functionality seems to be related to creating different screens or views in the app with various layouts and animations. It uses infinite transitions and floating point number animation which are part of the 'androidx.compose.animation.core' package. There</t>
        </is>
      </c>
      <c r="E2515" t="n">
        <v>0.0038</v>
      </c>
      <c r="F2515" t="n">
        <v>0.08699999999999999</v>
      </c>
      <c r="G2515" t="n">
        <v>0.1163</v>
      </c>
      <c r="H2515" t="inlineStr">
        <is>
          <t>The provided code is a simple function that adds two numbers together and returns the result. It does not contain any complex algorithms or data structures used in real-world applications. The time complexity of this operation is O(1), meaning it takes constant time to execute regardless of the size of the input values 'a' and 'b'.
Here are some key components from the given code sn</t>
        </is>
      </c>
      <c r="I2515" t="n">
        <v>0.0028</v>
      </c>
      <c r="J2515" t="n">
        <v>0.0526</v>
      </c>
      <c r="K2515" t="n">
        <v>0.1087</v>
      </c>
      <c r="L2515" t="inlineStr">
        <is>
          <t>The provided code appears to be a part of an Android application using Jetpack Compose for UI components and animations. The main purpose seems to be creating a custom animation that cycles through different states (like loading, success or error) with infinite repetitions.
Here're the key operations identified from this code snippet: 
1. It uses `animate</t>
        </is>
      </c>
      <c r="M2515" t="n">
        <v>0.0033</v>
      </c>
      <c r="N2515" t="n">
        <v>0.0308</v>
      </c>
      <c r="O2515" t="n">
        <v>0.1172</v>
      </c>
    </row>
    <row r="2516">
      <c r="A2516" t="inlineStr">
        <is>
          <t>wordpress</t>
        </is>
      </c>
      <c r="B2516" t="inlineStr">
        <is>
          <t>WordPress/src/main/java/org/wordpress/android/ui/postsrs/screens/PostRsSettingsScreen.kt</t>
        </is>
      </c>
      <c r="C2516">
        <f>HYPERLINK("https://github.com/wordpress-mobile/WordPress-Android/blob/master/WordPress/src/main/java/org/wordpress/android/ui/postsrs/screens/PostRsSettingsScreen.kt")</f>
        <v/>
      </c>
      <c r="D2516" t="inlineStr">
        <is>
          <t>The provided code appears to be a part of an Android application using Jetpack Compose for UI components and animations. It seems to handle the back button press event with `BackHandler` from androidx compose activity package. The code also uses various layout elements like Box, Column, Row etc., along with animation features such as infinite transitions and float animations. However,</t>
        </is>
      </c>
      <c r="E2516" t="n">
        <v>0.003</v>
      </c>
      <c r="F2516" t="n">
        <v>0.0294</v>
      </c>
      <c r="G2516" t="n">
        <v>0.07580000000000001</v>
      </c>
      <c r="H2516" t="inlineStr">
        <is>
          <t>The provided code is a package named "org.wordpress.android.ui.posts" which contains screens for displaying posts on an Android application. The complexity of this code seems to be O(N), where N represents the number of components or algorithms implemented in it. Some specific parts may have higher complexities due to nested loops or recursive calls within functions.
However, without</t>
        </is>
      </c>
      <c r="I2516" t="n">
        <v>0</v>
      </c>
      <c r="J2516" t="n">
        <v>0.0857</v>
      </c>
      <c r="K2516" t="n">
        <v>0.1163</v>
      </c>
      <c r="L2516" t="inlineStr">
        <is>
          <t>Thegivencodefileappears to be implementing a user interface for displaying posts on an Android application using Jetpack Compose. It appears to have several components such as View, BackHandler and infinite animations which are used to create the UI's behavior and animation. The code size is 1000 lines long with comments indicating implementation of core algorithms. This repository contains backend software components</t>
        </is>
      </c>
      <c r="M2516" t="n">
        <v>0.0043</v>
      </c>
      <c r="N2516" t="n">
        <v>0.058</v>
      </c>
      <c r="O2516" t="n">
        <v>0.2273</v>
      </c>
    </row>
    <row r="2517">
      <c r="A2517" t="inlineStr">
        <is>
          <t>wordpress</t>
        </is>
      </c>
      <c r="B2517" t="inlineStr">
        <is>
          <t>WordPress/src/main/java/org/wordpress/android/ui/postsrs/screens/PostRsTabListScreen.kt</t>
        </is>
      </c>
      <c r="C2517">
        <f>HYPERLINK("https://github.com/wordpress-mobile/WordPress-Android/blob/master/WordPress/src/main/java/org/wordpress/android/ui/postsrs/screens/PostRsTabListScreen.kt")</f>
        <v/>
      </c>
      <c r="D2517" t="inlineStr">
        <is>
          <t>The provided code is a Composable function that displays a list of posts in a column layout with scroll functionality and also includes buttons for loading more posts when the user reaches the end of the list or when there are no more posts to load. The implementation uses Jetpack Compose's Material 3 library for UI components such as Text, Button, Circular Progress Indic</t>
        </is>
      </c>
      <c r="E2517" t="n">
        <v>0.006</v>
      </c>
      <c r="F2517" t="n">
        <v>0.0548</v>
      </c>
      <c r="G2517" t="n">
        <v>0.1879</v>
      </c>
      <c r="H2517" t="inlineStr">
        <is>
          <t>The provided code is a simple function for addition of two numbers in Python language. The functionality of the code includes taking two parameters 'a' and 'b', performing an arithmetic operation to add these two numbers together and returning the result. This function has a time complexity of O(1), indicating that it performs a fixed number of operations regardless of input size.
In contrast, the</t>
        </is>
      </c>
      <c r="I2517" t="n">
        <v>0.0037</v>
      </c>
      <c r="J2517" t="n">
        <v>0.0541</v>
      </c>
      <c r="K2517" t="n">
        <v>0.1095</v>
      </c>
      <c r="L2517" t="inlineStr">
        <is>
          <t>The provided code appears to be a Composable function in Kotlin for Android that displays a list of posts with the ability to load more when scrolling reaches the end. The main purpose is to display content and handle user interactions such as loading more data when necessary.
Here's an overview of what it does: 
It uses Jetpack Compose library to</t>
        </is>
      </c>
      <c r="M2517" t="n">
        <v>0.003</v>
      </c>
      <c r="N2517" t="n">
        <v>0.0571</v>
      </c>
      <c r="O2517" t="n">
        <v>0.0752</v>
      </c>
    </row>
    <row r="2518">
      <c r="A2518" t="inlineStr">
        <is>
          <t>wordpress</t>
        </is>
      </c>
      <c r="B2518" t="inlineStr">
        <is>
          <t>WordPress/src/main/java/org/wordpress/android/ui/postsrs/screens/PostRsListScreen.kt</t>
        </is>
      </c>
      <c r="C2518">
        <f>HYPERLINK("https://github.com/wordpress-mobile/WordPress-Android/blob/master/WordPress/src/main/java/org/wordpress/android/ui/postsrs/screens/PostRsListScreen.kt")</f>
        <v/>
      </c>
      <c r="D2518" t="inlineStr">
        <is>
          <t>The provided code appears to be a part of an Android application using Jetpack Compose for UI components and paging library for handling pagination in the app's posts screen. The code is importing various necessary libraries such as androidx.compose.foundation.layout (for layout related functionalities), androidx.compose.foundation.pager (for creating horizontal page</t>
        </is>
      </c>
      <c r="E2518" t="n">
        <v>0.0038</v>
      </c>
      <c r="F2518" t="n">
        <v>0.0317</v>
      </c>
      <c r="G2518" t="n">
        <v>0.0833</v>
      </c>
      <c r="H2518" t="inlineStr">
        <is>
          <t>The provided code is a simple function named "add" that takes two parameters and returns their sum. The functionality of this code can be summarized as follows:
- It defines a function called `add` which accepts 2 arguments (numbers).
- Inside the function, it performs an addition operation on these numbers using the '+' operator.
- Finally, it returns</t>
        </is>
      </c>
      <c r="I2518" t="n">
        <v>0.0037</v>
      </c>
      <c r="J2518" t="n">
        <v>0.0635</v>
      </c>
      <c r="K2518" t="n">
        <v>0.1145</v>
      </c>
      <c r="L2518" t="inlineStr">
        <is>
          <t>The provided code appears to be a part of an Android application using Jetpack Compose for UI development. The main purpose seems to be the implementation of a screen with features such as search bar, back button and add/close icons. 
There are several components used in this code including `Box`, `Column`, `TextField` (for input fields), `Icon</t>
        </is>
      </c>
      <c r="M2518" t="n">
        <v>0.0033</v>
      </c>
      <c r="N2518" t="n">
        <v>0.0615</v>
      </c>
      <c r="O2518" t="n">
        <v>0.1563</v>
      </c>
    </row>
    <row r="2519">
      <c r="A2519" t="inlineStr">
        <is>
          <t>wordpress</t>
        </is>
      </c>
      <c r="B2519" t="inlineStr">
        <is>
          <t>WordPress/src/main/java/org/wordpress/android/ui/postsrs/screens/PostRsBadges.kt</t>
        </is>
      </c>
      <c r="C2519">
        <f>HYPERLINK("https://github.com/wordpress-mobile/WordPress-Android/blob/master/WordPress/src/main/java/org/wordpress/android/ui/postsrs/screens/PostRsBadges.kt")</f>
        <v/>
      </c>
      <c r="D2519" t="inlineStr">
        <is>
          <t>The provided code is a Jetpack Compose function named `internal fun BadgeRow` that displays a list of badges in a horizontal row with some spacing between them. The badges are represented by integer resource IDs which are converted to strings using the string resource function (`stringResource()`). 
It uses Jetpack Compose's Material</t>
        </is>
      </c>
      <c r="E2519" t="n">
        <v>0</v>
      </c>
      <c r="F2519" t="n">
        <v>0.0333</v>
      </c>
      <c r="G2519" t="n">
        <v>0.0407</v>
      </c>
      <c r="H2519" t="inlineStr">
        <is>
          <t>The code provided appears to be a Kotlin function for adding two numbers together. The functionality of this code is straightforward and can be summarized as follows:
```plaintext
Function Name: add
Input Parameters: Two integers (a &amp; b) 
Return Value: Integer which represents the sum of input parameters 'a' and 'b'.
Description: This function</t>
        </is>
      </c>
      <c r="I2519" t="n">
        <v>0.0045</v>
      </c>
      <c r="J2519" t="n">
        <v>0.0984</v>
      </c>
      <c r="K2519" t="n">
        <v>0.1587</v>
      </c>
      <c r="L2519" t="inlineStr">
        <is>
          <t>The provided code is a Composable function named "BadgeRow" that takes in two parameters - a list of badges and an optional Modifier for layout purposes. The purpose of this function seems to be displaying the labels corresponding to each integer ID in the input list as text elements with rounded corners using Material 3's Text component. Each label is separated by space distance of 4</t>
        </is>
      </c>
      <c r="M2519" t="n">
        <v>0.0028</v>
      </c>
      <c r="N2519" t="n">
        <v>0.0541</v>
      </c>
      <c r="O2519" t="n">
        <v>0.1087</v>
      </c>
    </row>
    <row r="2520">
      <c r="A2520" t="inlineStr">
        <is>
          <t>wordpress</t>
        </is>
      </c>
      <c r="B2520" t="inlineStr">
        <is>
          <t>WordPress/src/main/java/org/wordpress/android/ui/postsrs/terms/TermSelectionModels.kt</t>
        </is>
      </c>
      <c r="C2520">
        <f>HYPERLINK("https://github.com/wordpress-mobile/WordPress-Android/blob/master/WordPress/src/main/java/org/wordpress/android/ui/postsrs/terms/TermSelectionModels.kt")</f>
        <v/>
      </c>
      <c r="D2520" t="inlineStr">
        <is>
          <t>Thegivencodeimplementsasemanticmodelfortermselectioninawordpressapp.Itconsistsofthreeclasses:- `SelectableTerm`classrepresentstermswhichhaveattributeslikeid,name,level,andwhetheritisselctedornot.- `TermSelectionUiState`classrepresentsstateofuserinterfacethatincludesloadingstatus,searchingstatus</t>
        </is>
      </c>
      <c r="E2520" t="n">
        <v>0</v>
      </c>
      <c r="F2520" t="n">
        <v>0</v>
      </c>
      <c r="G2520" t="n">
        <v>0</v>
      </c>
      <c r="H2520" t="inlineStr">
        <is>
          <t>The code you provided is a data class definition for `SelectableTerm` with several properties such as `valid` (long), `name` (string), and `level` (integer). It also has an optional property `isSelected` (boolean) which defaults to false if not specified during instantiation. 
Next, there's another data class named `TermSelectionU</t>
        </is>
      </c>
      <c r="I2520" t="n">
        <v>0.0039</v>
      </c>
      <c r="J2520" t="n">
        <v>0.0357</v>
      </c>
      <c r="K2520" t="n">
        <v>0.042</v>
      </c>
      <c r="L2520" t="inlineStr">
        <is>
          <t>The provided code is a Kotlin implementation of the 'Term Selection' feature in an Android application using MVVM architecture and sealed interfaces for event handling. The main purpose of this code is to manage user interactions related to term selection within different hierarchies or options. 
It includes three data classes - SelectableTerm (representing terms with properties like id, name, level</t>
        </is>
      </c>
      <c r="M2520" t="n">
        <v>0.003</v>
      </c>
      <c r="N2520" t="n">
        <v>0.0597</v>
      </c>
      <c r="O2520" t="n">
        <v>0.1515</v>
      </c>
    </row>
    <row r="2521">
      <c r="A2521" t="inlineStr">
        <is>
          <t>wordpress</t>
        </is>
      </c>
      <c r="B2521" t="inlineStr">
        <is>
          <t>WordPress/src/main/java/org/wordpress/android/ui/postsrs/terms/TermSelectionScreen.kt</t>
        </is>
      </c>
      <c r="C2521">
        <f>HYPERLINK("https://github.com/wordpress-mobile/WordPress-Android/blob/master/WordPress/src/main/java/org/wordpress/android/ui/postsrs/terms/TermSelectionScreen.kt")</f>
        <v/>
      </c>
      <c r="D2521" t="inlineStr">
        <is>
          <t>The provided code appears to be a part of an Android application using Jetpack Compose for UI components and seems to handle user interactions such as back button presses with the BackHandler class from androidx compose. The code also uses various other composables like Column, Row, Box, LazyColumn etc., along with Material 3 design principles. It has imports for</t>
        </is>
      </c>
      <c r="E2521" t="n">
        <v>0.0031</v>
      </c>
      <c r="F2521" t="n">
        <v>0.0299</v>
      </c>
      <c r="G2521" t="n">
        <v>0.07630000000000001</v>
      </c>
      <c r="H2521" t="inlineStr">
        <is>
          <t>The code you provided is a simple function in Python that adds two numbers together and returns the result. The functionality of this code can be summarized as follows:
- It defines a function named 'add' which takes two parameters (numbers), `a` and `b`. 
- Inside the function, it performs an addition operation on these two numbers using the plus operator</t>
        </is>
      </c>
      <c r="I2521" t="n">
        <v>0.0036</v>
      </c>
      <c r="J2521" t="n">
        <v>0.0896</v>
      </c>
      <c r="K2521" t="n">
        <v>0.1128</v>
      </c>
      <c r="L2521" t="inlineStr">
        <is>
          <t>The provided code appears to be a part of an Android application using Jetpack Compose for UI development. The main purpose of this code is likely related to handling user interactions and displaying content in the form of lists or grids. 
Here's a concise summary focusing on functionality and behavior:
1. This code defines various composables (functions that describe how to</t>
        </is>
      </c>
      <c r="M2521" t="n">
        <v>0.007</v>
      </c>
      <c r="N2521" t="n">
        <v>0.0857</v>
      </c>
      <c r="O2521" t="n">
        <v>0.1921</v>
      </c>
    </row>
    <row r="2522">
      <c r="A2522" t="inlineStr">
        <is>
          <t>wordpress</t>
        </is>
      </c>
      <c r="B2522" t="inlineStr">
        <is>
          <t>WordPress/src/main/java/org/wordpress/android/ui/postsrs/terms/TermSelectionActivity.kt</t>
        </is>
      </c>
      <c r="C2522">
        <f>HYPERLINK("https://github.com/wordpress-mobile/WordPress-Android/blob/master/WordPress/src/main/java/org/wordpress/android/ui/postsrs/terms/TermSelectionActivity.kt")</f>
        <v/>
      </c>
      <c r="D2522" t="inlineStr">
        <is>
          <t>The code you provided is a Kotlin class called TermSelectionActivity that extends BaseAppCompatActivity and uses Dagger Hilt for dependency injection. This activity displays the terms of selection to users and provides functionality to select them. The view model used in this context is named 'TermSelectionViewModel'. It's observed using collectAsState{} function which allows observing changes without blocking the main thread</t>
        </is>
      </c>
      <c r="E2522" t="n">
        <v>0.0041</v>
      </c>
      <c r="F2522" t="n">
        <v>0.0588</v>
      </c>
      <c r="G2522" t="n">
        <v>0.1145</v>
      </c>
      <c r="H2522" t="inlineStr">
        <is>
          <t>The provided code is a Kotlin-based Android application that uses Dagger Hilt for dependency injection and Coroutine to handle asynchronous operations. The main functionality of the app seems to be related to term selection in an online platform where terms are used in various contexts like categories or topics within posts.
It appears there're multiple classes involved such as `BaseAppCompatActivity</t>
        </is>
      </c>
      <c r="I2522" t="n">
        <v>0.0036</v>
      </c>
      <c r="J2522" t="n">
        <v>0.0286</v>
      </c>
      <c r="K2522" t="n">
        <v>0.07580000000000001</v>
      </c>
      <c r="L2522" t="inlineStr">
        <is>
          <t>The code provided is a Kotlin class named 'TermSelectionActivity' which extends the base activity 'BaseAppCompatActivity'. This class represents an Android Activity that allows users to select terms from WordPress posts. 
It uses Dagger Hilt for dependency injection and has access to a ViewModel through viewModels(). The main purpose of this class seems to be to handle user interactions related</t>
        </is>
      </c>
      <c r="M2522" t="n">
        <v>0.0037</v>
      </c>
      <c r="N2522" t="n">
        <v>0.0597</v>
      </c>
      <c r="O2522" t="n">
        <v>0.1145</v>
      </c>
    </row>
    <row r="2523">
      <c r="A2523" t="inlineStr">
        <is>
          <t>wordpress</t>
        </is>
      </c>
      <c r="B2523" t="inlineStr">
        <is>
          <t>WordPress/src/main/java/org/wordpress/android/ui/postsrs/terms/TermSelectionViewModel.kt</t>
        </is>
      </c>
      <c r="C2523">
        <f>HYPERLINK("https://github.com/wordpress-mobile/WordPress-Android/blob/master/WordPress/src/main/java/org/wordpress/android/ui/postsrs/terms/TermSelectionViewModel.kt")</f>
        <v/>
      </c>
      <c r="D2523" t="inlineStr">
        <is>
          <t>The code you provided appears to be a high-level summary of the functionality and structure of an Android application's repository for managing WordPress posts using REST API calls. It does not contain any actual implementation details or specific functions but provides information about its components such as ViewModels, coroutine handling, network utilities wrapper etc., indicating it is likely part of a larger system with complex algorithms implemented</t>
        </is>
      </c>
      <c r="E2523" t="n">
        <v>0.0057</v>
      </c>
      <c r="F2523" t="n">
        <v>0.0519</v>
      </c>
      <c r="G2523" t="n">
        <v>0.1839</v>
      </c>
      <c r="H2523" t="inlineStr">
        <is>
          <t>The code you provided is a Kotlin function for adding two numbers together. It takes in two parameters (numbers), adds them together and returns the result. The time complexity of this operation is O(1).
In summary, it's a simple mathematical addition function with constant time complexity. 
Here are some details about its functionality:
- Input: Two numerical</t>
        </is>
      </c>
      <c r="I2523" t="n">
        <v>0.0032</v>
      </c>
      <c r="J2523" t="n">
        <v>0.0606</v>
      </c>
      <c r="K2523" t="n">
        <v>0.1163</v>
      </c>
      <c r="L2523" t="inlineStr">
        <is>
          <t>ThegivenKotlin/Java code appears to be a ViewModel class for managing the state and behavior of posts related functionality in an Android application using Dagger Hilt, Coroutines, and other dependencies such as SiteModel, SelectedSiteRepository, PostRsRestClient etc. The main purpose is likely to fetch, update or delete blog posts from WordPress sites.
It</t>
        </is>
      </c>
      <c r="M2523" t="n">
        <v>0.0043</v>
      </c>
      <c r="N2523" t="n">
        <v>0.0667</v>
      </c>
      <c r="O2523" t="n">
        <v>0.0813</v>
      </c>
    </row>
    <row r="2524">
      <c r="A2524" t="inlineStr">
        <is>
          <t>wordpress</t>
        </is>
      </c>
      <c r="B2524" t="inlineStr">
        <is>
          <t>WordPress/src/main/java/org/wordpress/android/ui/postsrs/data/WpServiceProvider.kt</t>
        </is>
      </c>
      <c r="C2524">
        <f>HYPERLINK("https://github.com/wordpress-mobile/WordPress-Android/blob/master/WordPress/src/main/java/org/wordpress/android/ui/postsrs/data/WpServiceProvider.kt")</f>
        <v/>
      </c>
      <c r="D2524" t="inlineStr">
        <is>
          <t>ThegivenKotlin code is a part of the WordPress Android application's data import module. It provides functionality for creating and caching instances of [WpService] which are used to interact with various backend services related to WordPress. The dependencies required include context (from android), Dagger Hilt qualifiers (@ApplicationContext), FluxC stores like AccountStore etc., as well as specific</t>
        </is>
      </c>
      <c r="E2524" t="n">
        <v>0.004</v>
      </c>
      <c r="F2524" t="n">
        <v>0.09379999999999999</v>
      </c>
      <c r="G2524" t="n">
        <v>0.07870000000000001</v>
      </c>
      <c r="H2524" t="inlineStr">
        <is>
          <t>ThegivenKotlin/Java code is a part of an Android application that uses Dagger Hilt for dependency injection and has several classes imported from different packages such as org.wordpress.android.fluxc.model, org.wordpress.android.fluxc.network.rest.wpapi.applicationpasswords etc., which are used to handle various functionalities related to WordPress app</t>
        </is>
      </c>
      <c r="I2524" t="n">
        <v>0.0046</v>
      </c>
      <c r="J2524" t="n">
        <v>0.0333</v>
      </c>
      <c r="K2524" t="n">
        <v>0.0893</v>
      </c>
      <c r="L2524" t="inlineStr">
        <is>
          <t>ThegivenJavaKotlinsourcecodeimportsthenecessarydependenciesfortheprojectincludingclasseslikeSiteModel, AccountStore, WpRequestExecutor, DatabaseChangeNotifier and WordPressApiCache. It also imports the necessary interfaces for network availability checks like WpNetworkAvailabilityProvider and authentication providers like createWpComAuthProvider. The code creates instances of a service called [W</t>
        </is>
      </c>
      <c r="M2524" t="n">
        <v>0.0058</v>
      </c>
      <c r="N2524" t="n">
        <v>0.05</v>
      </c>
      <c r="O2524" t="n">
        <v>0.0481</v>
      </c>
    </row>
    <row r="2525">
      <c r="A2525" t="inlineStr">
        <is>
          <t>wordpress</t>
        </is>
      </c>
      <c r="B2525" t="inlineStr">
        <is>
          <t>WordPress/src/main/java/org/wordpress/android/ui/postsrs/data/PostRsRestClient.kt</t>
        </is>
      </c>
      <c r="C2525">
        <f>HYPERLINK("https://github.com/wordpress-mobile/WordPress-Android/blob/master/WordPress/src/main/java/org/wordpress/android/ui/postsrs/data/PostRsRestClient.kt")</f>
        <v/>
      </c>
      <c r="D2525" t="inlineStr">
        <is>
          <t>The provided code appears to be related to a WordPress Android app and it's part of the data import functionality for posts. It uses Dagger Hilt for dependency injection and interfaces from UniFFI (a Kotlin library for interacting with WordPress REST API), which provides various functionalities like fetching post formats, media list parameters, term creation params etc., based on different view contexts</t>
        </is>
      </c>
      <c r="E2525" t="n">
        <v>0.0035</v>
      </c>
      <c r="F2525" t="n">
        <v>0.0563</v>
      </c>
      <c r="G2525" t="n">
        <v>0.0746</v>
      </c>
      <c r="H2525" t="inlineStr">
        <is>
          <t>ThegivencodeisforaddingtwonumbersusingDaggerHiltserviceinjectiontoreadfromdatabasesiteinformation.ItusesRestAPItofetchsiteinfoandperformoperationslikepostingcommentsoruploadingmedia. ThecomplexityofthisoperationisO(N),whereNrepresentsthenumberofsitesinthedatabase.
# READ</t>
        </is>
      </c>
      <c r="I2525" t="n">
        <v>0</v>
      </c>
      <c r="J2525" t="n">
        <v>0</v>
      </c>
      <c r="K2525" t="n">
        <v>0</v>
      </c>
      <c r="L2525" t="inlineStr">
        <is>
          <t>Thegivencoderesidesinapackagecalled"org.wordpress.android.ui.posts".Itperformsvariousfunctionsrelatedtostorypostingincludingauthorinfoprocessingandmediaupload. It utilizesDaggerHiltfordependencyinjection, and interacts withWordPressAPIs for data retrieval and manipulation. The code is designed to be read</t>
        </is>
      </c>
      <c r="M2525" t="n">
        <v>0.0108</v>
      </c>
      <c r="N2525" t="n">
        <v>0.0625</v>
      </c>
      <c r="O2525" t="n">
        <v>0.0556</v>
      </c>
    </row>
    <row r="2526">
      <c r="A2526" t="inlineStr">
        <is>
          <t>wordpress</t>
        </is>
      </c>
      <c r="B2526" t="inlineStr">
        <is>
          <t>WordPress/src/main/java/org/wordpress/android/ui/publicize/PublicizeTwitterDeprecationNoticeConstants.kt</t>
        </is>
      </c>
      <c r="C2526">
        <f>HYPERLINK("https://github.com/wordpress-mobile/WordPress-Android/blob/master/WordPress/src/main/java/org/wordpress/android/ui/publicize/PublicizeTwitterDeprecationNoticeConstants.kt")</f>
        <v/>
      </c>
      <c r="D2526" t="inlineStr">
        <is>
          <t>The code provided is a constant value named TWITTER_DEPRECATION_FIND_OUT_MORE_URL that holds the URL for an article on WordPress blog detailing why Twitter auto sharing feature might be coming to an end. This constant has been declared in package org.wordpress.android.ui.publicize and it's used as a reference</t>
        </is>
      </c>
      <c r="E2526" t="n">
        <v>0.0049</v>
      </c>
      <c r="F2526" t="n">
        <v>0.0635</v>
      </c>
      <c r="G2526" t="n">
        <v>0.1282</v>
      </c>
      <c r="H2526" t="inlineStr">
        <is>
          <t>The code you provided is a constant value assignment in Java for the URL of Twitter's deprecation notice on WordPress blog. The functionality it provides is to store a string (URL link) into a variable named TWITTER_DEPRECATION_FIND_OUT_MORE_URL. It does not perform any mathematical operations or add numbers as per your request. Its complexity</t>
        </is>
      </c>
      <c r="I2526" t="n">
        <v>0.0035</v>
      </c>
      <c r="J2526" t="n">
        <v>0.0299</v>
      </c>
      <c r="K2526" t="n">
        <v>0.04</v>
      </c>
      <c r="L2526" t="inlineStr">
        <is>
          <t>The provided code is a constant value named TWITTER_DEPRECATION_FIND_OUT_MORE_URL that holds the URL for an article on WordPress' blog detailing why Twitter auto sharing is coming to an end. The purpose of this code seems to be providing information about deprecated features or services in software development and maintenance. It provides context by giving insights into how</t>
        </is>
      </c>
      <c r="M2526" t="n">
        <v>0.0038</v>
      </c>
      <c r="N2526" t="n">
        <v>0.0857</v>
      </c>
      <c r="O2526" t="n">
        <v>0.1163</v>
      </c>
    </row>
    <row r="2527">
      <c r="A2527" t="inlineStr">
        <is>
          <t>wordpress</t>
        </is>
      </c>
      <c r="B2527" t="inlineStr">
        <is>
          <t>WordPress/src/main/java/org/wordpress/android/ui/publicize/PublicizeBaseFragment.java</t>
        </is>
      </c>
      <c r="C2527">
        <f>HYPERLINK("https://github.com/wordpress-mobile/WordPress-Android/blob/master/WordPress/src/main/java/org/wordpress/android/ui/publicize/PublicizeBaseFragment.java")</f>
        <v/>
      </c>
      <c r="D2527" t="inlineStr">
        <is>
          <t>The provided code is a fragment class for publicizing content on WordPress Android app. It extends the Fragment class from androidx library and uses Toolbar widget to set title of the activity or fragment. The toolbar's navigation icon can also be changed with this function.
Please note that the `@StringRes` annotation indicates that resId should refer to a resource in your application</t>
        </is>
      </c>
      <c r="E2527" t="n">
        <v>0.0029</v>
      </c>
      <c r="F2527" t="n">
        <v>0.0563</v>
      </c>
      <c r="G2527" t="n">
        <v>0.1119</v>
      </c>
      <c r="H2527" t="inlineStr">
        <is>
          <t>The provided code is a fragment class for the WordPress Android app named PublicizeBaseFragment that extends Fragment from androidx library. It includes methods to set title and navigation icon on a toolbar in an activity. The complexity of these functions are O(1), meaning they have constant time complexity as it does not depend on input size or number.
In this context, let's</t>
        </is>
      </c>
      <c r="I2527" t="n">
        <v>0.0029</v>
      </c>
      <c r="J2527" t="n">
        <v>0.0278</v>
      </c>
      <c r="K2527" t="n">
        <v>0.1119</v>
      </c>
      <c r="L2527" t="inlineStr">
        <is>
          <t>The provided code is a fragment class named "PublicizeBaseFragment" in the Android application's backend components. This class extends Fragment and provides functionalities related to setting title and navigation icon on a toolbar within an activity of the app. 
It has four methods: getToolbar(), setTitle(int resId), setTitle(String title), and setNavigationIcon</t>
        </is>
      </c>
      <c r="M2527" t="n">
        <v>0.0045</v>
      </c>
      <c r="N2527" t="n">
        <v>0.1</v>
      </c>
      <c r="O2527" t="n">
        <v>0.124</v>
      </c>
    </row>
    <row r="2528">
      <c r="A2528" t="inlineStr">
        <is>
          <t>wordpress</t>
        </is>
      </c>
      <c r="B2528" t="inlineStr">
        <is>
          <t>WordPress/src/main/java/org/wordpress/android/ui/publicize/PublicizeTwitterDeprecationNoticeWarningView.kt</t>
        </is>
      </c>
      <c r="C2528">
        <f>HYPERLINK("https://github.com/wordpress-mobile/WordPress-Android/blob/master/WordPress/src/main/java/org/wordpress/android/ui/publicize/PublicizeTwitterDeprecationNoticeWarningView.kt")</f>
        <v/>
      </c>
      <c r="D2528" t="inlineStr">
        <is>
          <t>The provided code is a custom view class `PublicizeTwitterDeprecationNoticeWarningView` that extends the ConstraintLayout in Android. This view displays a warning notice with a title and description text views. The layout for this view is defined in 'publicize_twitter_deprecation_notice_warning' XML file. Two methods are declared to set the title and description of</t>
        </is>
      </c>
      <c r="E2528" t="n">
        <v>0.0044</v>
      </c>
      <c r="F2528" t="n">
        <v>0.0645</v>
      </c>
      <c r="G2528" t="n">
        <v>0.082</v>
      </c>
      <c r="H2528" t="inlineStr">
        <is>
          <t>The code you provided is a custom view class in Kotlin for Android that extends ConstraintLayout and implements functionality to display a deprecated notice on Twitter with a warning message. It has two methods `setTitle` and `setDescription` which are used to set the title and description of this view respectively. The complexity of these functions is O(1), meaning they have constant time complexity as</t>
        </is>
      </c>
      <c r="I2528" t="n">
        <v>0.0037</v>
      </c>
      <c r="J2528" t="n">
        <v>0.0822</v>
      </c>
      <c r="K2528" t="n">
        <v>0.1471</v>
      </c>
      <c r="L2528" t="inlineStr">
        <is>
          <t>The provided code is a custom view class named `PublicizeTwitterDeprecationNoticeWarningView` in an Android application that extends the ConstraintLayout. This class displays a warning notice for Twitter publicizing feature deprecation. The main purpose of this class seems to be setting and displaying title and description text views on screen.
Here's a concise summary based on the</t>
        </is>
      </c>
      <c r="M2528" t="n">
        <v>0.004</v>
      </c>
      <c r="N2528" t="n">
        <v>0.0625</v>
      </c>
      <c r="O2528" t="n">
        <v>0.07870000000000001</v>
      </c>
    </row>
    <row r="2529">
      <c r="A2529" t="inlineStr">
        <is>
          <t>wordpress</t>
        </is>
      </c>
      <c r="B2529" t="inlineStr">
        <is>
          <t>WordPress/src/main/java/org/wordpress/android/ui/publicize/PublicizeAccountChooserListAdapter.java</t>
        </is>
      </c>
      <c r="C2529">
        <f>HYPERLINK("https://github.com/wordpress-mobile/WordPress-Android/blob/master/WordPress/src/main/java/org/wordpress/android/ui/publicize/PublicizeAccountChooserListAdapter.java")</f>
        <v/>
      </c>
      <c r="D2529" t="inlineStr">
        <is>
          <t>The code provided is an adapter for a RecyclerView in the WordPress Android application. It's designed to display a list of Publicize connections (social media accounts connected with your Wordpress account). The adapter provides functionality for handling user interactions such as selecting and deselecting items from the list. This includes changing the selection state of each item when clicked on by users. Additionally, it also</t>
        </is>
      </c>
      <c r="E2529" t="n">
        <v>0.0037</v>
      </c>
      <c r="F2529" t="n">
        <v>0.0541</v>
      </c>
      <c r="G2529" t="n">
        <v>0.1095</v>
      </c>
      <c r="H2529" t="inlineStr">
        <is>
          <t>The code you provided is a Java class that extends the RecyclerView's Adapter class and it represents an adapter for showing publicize connections in WordPress Android app. It includes methods to bind data with views, handle click events on items, etc., which are typical operations of adapters in Android development. The complexity can be considered as O(n), where n refers to the number of</t>
        </is>
      </c>
      <c r="I2529" t="n">
        <v>0.0028</v>
      </c>
      <c r="J2529" t="n">
        <v>0.027</v>
      </c>
      <c r="K2529" t="n">
        <v>0.0368</v>
      </c>
      <c r="L2529" t="inlineStr">
        <is>
          <t>The provided code is a Java class named `PublicizeAccountChooserListAdapter` that extends the RecyclerView Adapter in Android. This adapter serves as an interface between data (a list of PublicizeConnections) and views to display this data within a RecyclerView component.
Key operations include inflating layout for each item view, binding data from model</t>
        </is>
      </c>
      <c r="M2529" t="n">
        <v>0.0043</v>
      </c>
      <c r="N2529" t="n">
        <v>0.0678</v>
      </c>
      <c r="O2529" t="n">
        <v>0.0813</v>
      </c>
    </row>
    <row r="2530">
      <c r="A2530" t="inlineStr">
        <is>
          <t>wordpress</t>
        </is>
      </c>
      <c r="B2530" t="inlineStr">
        <is>
          <t>WordPress/src/main/java/org/wordpress/android/ui/publicize/PublicizeErrorDialogFragment.kt</t>
        </is>
      </c>
      <c r="C2530">
        <f>HYPERLINK("https://github.com/wordpress-mobile/WordPress-Android/blob/master/WordPress/src/main/java/org/wordpress/android/ui/publicize/PublicizeErrorDialogFragment.kt")</f>
        <v/>
      </c>
      <c r="D2530" t="inlineStr">
        <is>
          <t>The code you provided is a DialogFragment subclass in an Android application for WordPress. This class represents a dialog that appears when there's an error related to sharing content on Facebook. The `onCreateDialog` method creates the dialog and sets its behavior based on certain conditions (e.g., user trying to share but doesn't have any available Facebook pages). If these conditions are met</t>
        </is>
      </c>
      <c r="E2530" t="n">
        <v>0.0035</v>
      </c>
      <c r="F2530" t="n">
        <v>0.0548</v>
      </c>
      <c r="G2530" t="n">
        <v>0.0746</v>
      </c>
      <c r="H2530" t="inlineStr">
        <is>
          <t>The code you provided is a fragment of an Android application that extends DialogFragment and creates a dialog for displaying errors related to sharing content on Facebook. The function `onCreateDialog` sets up the dialog with specific behavior based on the reason resource ID passed as argument. If this ID corresponds to a string indicating there are no available Facebook pages, it shows a Material Alert Dialog warning about this</t>
        </is>
      </c>
      <c r="I2530" t="n">
        <v>0.0026</v>
      </c>
      <c r="J2530" t="n">
        <v>0.026</v>
      </c>
      <c r="K2530" t="n">
        <v>0.1064</v>
      </c>
      <c r="L2530" t="inlineStr">
        <is>
          <t>The provided code is a subclass of DialogFragment named PublicizeErrorDialogFragment. This class displays an error dialog when sharing content to Facebook without having any available pages on the user's account.
It takes in one argument which is the reason resource ID for why sharing failed (in this case it should be R.string.sharing_facebook_account_must_have</t>
        </is>
      </c>
      <c r="M2530" t="n">
        <v>0.0035</v>
      </c>
      <c r="N2530" t="n">
        <v>0.0299</v>
      </c>
      <c r="O2530" t="n">
        <v>0.0403</v>
      </c>
    </row>
    <row r="2531">
      <c r="A2531" t="inlineStr">
        <is>
          <t>wordpress</t>
        </is>
      </c>
      <c r="B2531" t="inlineStr">
        <is>
          <t>WordPress/src/main/java/org/wordpress/android/ui/publicize/PublicizeListViewModel.kt</t>
        </is>
      </c>
      <c r="C2531">
        <f>HYPERLINK("https://github.com/wordpress-mobile/WordPress-Android/blob/master/WordPress/src/main/java/org/wordpress/android/ui/publicize/PublicizeListViewModel.kt")</f>
        <v/>
      </c>
      <c r="D2531" t="inlineStr">
        <is>
          <t>ThegivenKotlin/Java code is a ViewModel class named "PublicizeListViewModel". This class has several dependencies injected through its constructor and uses them to perform operations related to publicizing content on WordPress platforms. The main functionality of this class seems to be managing the connection between different services for publicization purposes using PublicizeUpdateServicesV2 instance. It also utilizes EventBus</t>
        </is>
      </c>
      <c r="E2531" t="n">
        <v>0.0044</v>
      </c>
      <c r="F2531" t="n">
        <v>0.0625</v>
      </c>
      <c r="G2531" t="n">
        <v>0.1181</v>
      </c>
      <c r="H2531" t="inlineStr">
        <is>
          <t>The provided code is a Kotlin class named `PublicizeListViewModel` that uses dependency injection to initialize its fields with specific implementations of interfaces or classes such as `PublicizeUpdateServicesV2` and `EventBusWrapper`. The purpose of this class seems to be managing the publicizing process for WordPress sites in an Android application.
It has two private variables (</t>
        </is>
      </c>
      <c r="I2531" t="n">
        <v>0.0034</v>
      </c>
      <c r="J2531" t="n">
        <v>0.06560000000000001</v>
      </c>
      <c r="K2531" t="n">
        <v>0.1587</v>
      </c>
      <c r="L2531" t="inlineStr">
        <is>
          <t>The provided code is a ViewModel class named 'PublicizeListViewModel'. This class primarily serves as a medium for data binding between the UI and the business logic of updating services on WordPress sites. 
It uses dependency injection to provide instances of classes such as AccountStore, EventBusWrapper, PublicizeUpdateServicesV2 which are crucial for its operation. The ViewModel holds Live</t>
        </is>
      </c>
      <c r="M2531" t="n">
        <v>0.0039</v>
      </c>
      <c r="N2531" t="n">
        <v>0.09379999999999999</v>
      </c>
      <c r="O2531" t="n">
        <v>0.1172</v>
      </c>
    </row>
    <row r="2532">
      <c r="A2532" t="inlineStr">
        <is>
          <t>wordpress</t>
        </is>
      </c>
      <c r="B2532" t="inlineStr">
        <is>
          <t>WordPress/src/main/java/org/wordpress/android/ui/publicize/PublicizeConstants.java</t>
        </is>
      </c>
      <c r="C2532">
        <f>HYPERLINK("https://github.com/wordpress-mobile/WordPress-Android/blob/master/WordPress/src/main/java/org/wordpress/android/ui/publicize/PublicizeConstants.java")</f>
        <v/>
      </c>
      <c r="D2532" t="inlineStr">
        <is>
          <t>This code defines a public class named `PublicizeConstants` in the package org.wordpress.android.ui.publicize that holds constants for different social media platforms (Google Plus, Facebook, Twitter, LinkedIn). It also has an enum called ConnectAction with values CONNECT, DISCONNECT, RECONNECT and CONNECT_ANOTHER_</t>
        </is>
      </c>
      <c r="E2532" t="n">
        <v>0.0056</v>
      </c>
      <c r="F2532" t="n">
        <v>0.0769</v>
      </c>
      <c r="G2532" t="n">
        <v>0.0901</v>
      </c>
      <c r="H2532" t="inlineStr">
        <is>
          <t>The provided code is a Java class named PublicizeConstants that contains several constants and an enum type ConnectAction. The constants represent different types of connections to various social media platforms like Google Plus, Facebook, Twitter, LinkedIn etc., along with their corresponding IDs and URL for sharing support on WordPress. 
There are two methods defined in the class - CONNECT, DISCONNE</t>
        </is>
      </c>
      <c r="I2532" t="n">
        <v>0.003</v>
      </c>
      <c r="J2532" t="n">
        <v>0.0299</v>
      </c>
      <c r="K2532" t="n">
        <v>0.0379</v>
      </c>
      <c r="L2532" t="inlineStr">
        <is>
          <t>The provided code is a Java class named PublicizeConstants that contains several public static final String constants and an enum ConnectAction. The purpose of this class seems to be related to the functionality of social media sharing on WordPress Android app. It defines various service IDs for different types of connections (e.g., Google Plus, Facebook, Twitter) as well as actions users can perform with these services (</t>
        </is>
      </c>
      <c r="M2532" t="n">
        <v>0.0032</v>
      </c>
      <c r="N2532" t="n">
        <v>0.0533</v>
      </c>
      <c r="O2532" t="n">
        <v>0.1079</v>
      </c>
    </row>
    <row r="2533">
      <c r="A2533" t="inlineStr">
        <is>
          <t>wordpress</t>
        </is>
      </c>
      <c r="B2533" t="inlineStr">
        <is>
          <t>WordPress/src/main/java/org/wordpress/android/ui/publicize/PublicizeListFragment.java</t>
        </is>
      </c>
      <c r="C2533">
        <f>HYPERLINK("https://github.com/wordpress-mobile/WordPress-Android/blob/master/WordPress/src/main/java/org/wordpress/android/ui/publicize/PublicizeListFragment.java")</f>
        <v/>
      </c>
      <c r="D2533" t="inlineStr">
        <is>
          <t>The code provided appears to be a part of the WordPress Android app's publicize feature implementation. It includes import statements for necessary classes and packages like Activity, Bundle, LayoutInflater, View, RecyclerView etc., as well as custom views such as ImageView and TextView. The main class seems to extend JetpackPoweredBottomSheetFragment which is</t>
        </is>
      </c>
      <c r="E2533" t="n">
        <v>0.0036</v>
      </c>
      <c r="F2533" t="n">
        <v>0.0667</v>
      </c>
      <c r="G2533" t="n">
        <v>0.0813</v>
      </c>
      <c r="H2533" t="inlineStr">
        <is>
          <t>The provided code is a Java class that extends an Android Activity and implements some methods such as onCreate(), onSaveInstanceState() etc. It also uses the ViewModelProvider to get an instance of PublicizeListViewModel. The main functionality seems to be related with publicizing content from WordPress site onto other platforms (like social media).
The function add() defined in this package appears</t>
        </is>
      </c>
      <c r="I2533" t="n">
        <v>0.0041</v>
      </c>
      <c r="J2533" t="n">
        <v>0.0597</v>
      </c>
      <c r="K2533" t="n">
        <v>0.1527</v>
      </c>
      <c r="L2533" t="inlineStr">
        <is>
          <t>Thegivencoderesidesinapackagecalled"org.wordpress.android.ui.publicize".It'sresponsibleforhandlinguserinteractionsrelatedtounifiedpushnotifications.Specifically,thisincludesdisplayingalistoffavoritesitedwebsitesbyuserswhohaveoptedintopublicizepushnotifications.Moreover,thereismainactivitythat</t>
        </is>
      </c>
      <c r="M2533" t="n">
        <v>0</v>
      </c>
      <c r="N2533" t="n">
        <v>0</v>
      </c>
      <c r="O2533" t="n">
        <v>0</v>
      </c>
    </row>
    <row r="2534">
      <c r="A2534" t="inlineStr">
        <is>
          <t>wordpress</t>
        </is>
      </c>
      <c r="B2534" t="inlineStr">
        <is>
          <t>WordPress/src/main/java/org/wordpress/android/ui/publicize/PublicizeEvents.java</t>
        </is>
      </c>
      <c r="C2534">
        <f>HYPERLINK("https://github.com/wordpress-mobile/WordPress-Android/blob/master/WordPress/src/main/java/org/wordpress/android/ui/publicize/PublicizeEvents.java")</f>
        <v/>
      </c>
      <c r="D2534" t="inlineStr">
        <is>
          <t>The code provided appears to be related to a WordPress Android app's publicize feature. It includes two event classes for the Publicize module of this application - ConnectionsChanged and ActionCompleted. The first one is likely an empty class that signifies when connections have been changed in some way (not specified). For the second class, it represents an action completion event with properties indicating whether the action</t>
        </is>
      </c>
      <c r="E2534" t="n">
        <v>0.0033</v>
      </c>
      <c r="F2534" t="n">
        <v>0.0541</v>
      </c>
      <c r="G2534" t="n">
        <v>0.1087</v>
      </c>
      <c r="H2534" t="inlineStr">
        <is>
          <t>The code provided is a Java class named `PublicizeEvents` that contains three static nested classes for handling events related to publicizing content on WordPress Android app. The main event class, `ActionCompleted`, holds information about the completion of an action such as connecting or disconnecting from a service. It includes whether the operation was successful (`mSucceeded`), the type of</t>
        </is>
      </c>
      <c r="I2534" t="n">
        <v>0</v>
      </c>
      <c r="J2534" t="n">
        <v>0</v>
      </c>
      <c r="K2534" t="n">
        <v>0</v>
      </c>
      <c r="L2534" t="inlineStr">
        <is>
          <t>The provided code is a Java class named `PublicizeEvents` that handles events related to the Publicize feature in WordPress Android app. This class has two static nested classes: `ConnectionsChanged` and `ActionCompleted`. The `ActionCompleted` class represents an event triggered when an action completes. It includes information about whether the action was successful (`mSucceeded`</t>
        </is>
      </c>
      <c r="M2534" t="n">
        <v>0.0042</v>
      </c>
      <c r="N2534" t="n">
        <v>0.0667</v>
      </c>
      <c r="O2534" t="n">
        <v>0.0806</v>
      </c>
    </row>
    <row r="2535">
      <c r="A2535" t="inlineStr">
        <is>
          <t>wordpress</t>
        </is>
      </c>
      <c r="B2535" t="inlineStr">
        <is>
          <t>WordPress/src/main/java/org/wordpress/android/ui/publicize/PublicizeListActivity.java</t>
        </is>
      </c>
      <c r="C2535">
        <f>HYPERLINK("https://github.com/wordpress-mobile/WordPress-Android/blob/master/WordPress/src/main/java/org/wordpress/android/ui/publicize/PublicizeListActivity.java")</f>
        <v/>
      </c>
      <c r="D2535" t="inlineStr">
        <is>
          <t>The code you provided appears to be a part of the WordPress Android application's publicizing feature implementation. It includes import statements for necessary libraries and classes such as ProgressDialog, Bundle, MenuItem etc., along with some custom class names like AppBarLayout, EventBus, MaterialAlertDialogBuilder etc. The complexity is O(N), indicating that it might involve loops or recursions based</t>
        </is>
      </c>
      <c r="E2535" t="n">
        <v>0.0033</v>
      </c>
      <c r="F2535" t="n">
        <v>0.0606</v>
      </c>
      <c r="G2535" t="n">
        <v>0.0781</v>
      </c>
      <c r="H2535" t="inlineStr">
        <is>
          <t>The code you provided is a Java class that extends the Fragment class from Android's support library and uses EventBus for event handling. It also includes some methods related to analytics tracking and menu item selection. The complexity of this code seems to be O(N), where N represents the number of subscribers to the EventBus. Comments have been included explaining various parts of the code.</t>
        </is>
      </c>
      <c r="I2535" t="n">
        <v>0.0028</v>
      </c>
      <c r="J2535" t="n">
        <v>0.0267</v>
      </c>
      <c r="K2535" t="n">
        <v>0.1095</v>
      </c>
      <c r="L2535" t="inlineStr">
        <is>
          <t>ThegivenJavaAndroidsourcecoderesidesinapackagecalled"org.wordpress.android.ui.publicize". It is a part of the Android application's backend functionality related to publicizing content on WordPress platforms. The code defines an activity with features such as toolbars and app bars for navigation, progress dialogues for user feedback during operations, event bus subscriptions for communication between</t>
        </is>
      </c>
      <c r="M2535" t="n">
        <v>0.0048</v>
      </c>
      <c r="N2535" t="n">
        <v>0.0667</v>
      </c>
      <c r="O2535" t="n">
        <v>0.0847</v>
      </c>
    </row>
    <row r="2536">
      <c r="A2536" t="inlineStr">
        <is>
          <t>wordpress</t>
        </is>
      </c>
      <c r="B2536" t="inlineStr">
        <is>
          <t>WordPress/src/main/java/org/wordpress/android/ui/publicize/ConnectButton.java</t>
        </is>
      </c>
      <c r="C2536">
        <f>HYPERLINK("https://github.com/wordpress-mobile/WordPress-Android/blob/master/WordPress/src/main/java/org/wordpress/android/ui/publicize/ConnectButton.java")</f>
        <v/>
      </c>
      <c r="D2536" t="inlineStr">
        <is>
          <t>The code provided is a custom MaterialButton that represents the connect button for publicizing content on WordPress Android app. The purpose of this class seems to be managing and updating the UI based on different states (like connecting, disconnecting or reconnecting). It uses an enum 'ConnectAction' which can take values like CONNECT, DISCONNECT, RECONNECT etc., depending upon</t>
        </is>
      </c>
      <c r="E2536" t="n">
        <v>0.0032</v>
      </c>
      <c r="F2536" t="n">
        <v>0.0615</v>
      </c>
      <c r="G2536" t="n">
        <v>0.1163</v>
      </c>
      <c r="H2536" t="inlineStr">
        <is>
          <t>The provided code is a custom MaterialButton class named ConnectButton that serves as a connect/disconnect button for publicizing content on WordPress Android app. The function updateView() updates the view based on the current state of mConnectAction which could be CONNECT or other states defined in PublicizeConstants.ConnectAction enum. It uses String resources to set the text and icon displayed on the button</t>
        </is>
      </c>
      <c r="I2536" t="n">
        <v>0.003</v>
      </c>
      <c r="J2536" t="n">
        <v>0.0563</v>
      </c>
      <c r="K2536" t="n">
        <v>0.0752</v>
      </c>
      <c r="L2536" t="inlineStr">
        <is>
          <t>The provided code is a custom MaterialButton subclass named ConnectButton in the package org.wordpress.android.ui.publicize. This button serves as an interface for connecting to external services like Twitter or Facebook. 
Here's what it does: The class extends from MaterialButton and provides three constructors with different sets of parameters. It maintains state about its current connection status</t>
        </is>
      </c>
      <c r="M2536" t="n">
        <v>0.004</v>
      </c>
      <c r="N2536" t="n">
        <v>0.0588</v>
      </c>
      <c r="O2536" t="n">
        <v>0.07870000000000001</v>
      </c>
    </row>
    <row r="2537">
      <c r="A2537" t="inlineStr">
        <is>
          <t>wordpress</t>
        </is>
      </c>
      <c r="B2537" t="inlineStr">
        <is>
          <t>WordPress/src/main/java/org/wordpress/android/ui/publicize/PublicizeTwitterDeprecationNoticeAnalyticsTracker.kt</t>
        </is>
      </c>
      <c r="C2537">
        <f>HYPERLINK("https://github.com/wordpress-mobile/WordPress-Android/blob/master/WordPress/src/main/java/org/wordpress/android/ui/publicize/PublicizeTwitterDeprecationNoticeAnalyticsTracker.kt")</f>
        <v/>
      </c>
      <c r="D2537" t="inlineStr">
        <is>
          <t>The code provided is a part of the Android application's publicize feature related to Twitter deprecation notice analytics tracking. It uses dependency injection (via Dagger 2 @Inject annotation) and has two classes - PublicizeTwitterDeprecationNoticeAnalyticsTracker and Source. The first class injects an instance of AnalyticsTrackerWrapper into its constructor and provides functionality for</t>
        </is>
      </c>
      <c r="E2537" t="n">
        <v>0.0043</v>
      </c>
      <c r="F2537" t="n">
        <v>0.0339</v>
      </c>
      <c r="G2537" t="n">
        <v>0.0813</v>
      </c>
      <c r="H2537" t="inlineStr">
        <is>
          <t>ThegivenJava codeisfortrackingeventsrelatedtopublicizetwitterfeatureintheWordPressAndroidapp.Itusesdependencyinyjectionframeworktoallowforsimpletestability.TherearedependencieslikeAnalyticsTrackerandAnalyticsTrackerWrapperwhichhandlesalltheeventtrackinglogics.ThemaincomponentistheSealedClass'Source',withtwoobjects-</t>
        </is>
      </c>
      <c r="I2537" t="n">
        <v>0</v>
      </c>
      <c r="J2537" t="n">
        <v>0</v>
      </c>
      <c r="K2537" t="n">
        <v>0</v>
      </c>
      <c r="L2537" t="inlineStr">
        <is>
          <t>The provided code is a Kotlin class named `PublicizeTwitterDeprecationNoticeAnalyticsTracker` that serves as an analytics tracker for the Twitter deprecation notice feature in WordPress Android app. This class has one primary function called `trackTwitterNoticeLinkTapped()` which tracks when users tap on the link related to the Twitter deprecation notice</t>
        </is>
      </c>
      <c r="M2537" t="n">
        <v>0.0039</v>
      </c>
      <c r="N2537" t="n">
        <v>0.0727</v>
      </c>
      <c r="O2537" t="n">
        <v>0.08400000000000001</v>
      </c>
    </row>
    <row r="2538">
      <c r="A2538" t="inlineStr">
        <is>
          <t>wordpress</t>
        </is>
      </c>
      <c r="B2538" t="inlineStr">
        <is>
          <t>WordPress/src/main/java/org/wordpress/android/ui/publicize/PublicizeButtonPrefsFragment.java</t>
        </is>
      </c>
      <c r="C2538">
        <f>HYPERLINK("https://github.com/wordpress-mobile/WordPress-Android/blob/master/WordPress/src/main/java/org/wordpress/android/ui/publicize/PublicizeButtonPrefsFragment.java")</f>
        <v/>
      </c>
      <c r="D2538" t="inlineStr">
        <is>
          <t>The code provided is for the Publicize feature in a WordPress Android app. It appears to be part of an application that allows users to share content from their site on various social media platforms and other services. The functionality seems to include JSON parsing, network utilities, string manipulation functions, as well as analytics tracking mechanisms. This code might interact with backend servers or databases to fetch/send data</t>
        </is>
      </c>
      <c r="E2538" t="n">
        <v>0.0035</v>
      </c>
      <c r="F2538" t="n">
        <v>0.026</v>
      </c>
      <c r="G2538" t="n">
        <v>0.1071</v>
      </c>
      <c r="H2538" t="inlineStr">
        <is>
          <t>The code you provided is a Java function for addition of two numbers (`add()`). The functionality it provides includes taking in two parameters `a` and `b`, performing the operation `a + b`, then returning the result. This process does not involve any complex algorithms or data structures. Therefore, its complexity can be considered O(1), meaning that it has constant time complexity</t>
        </is>
      </c>
      <c r="I2538" t="n">
        <v>0.0039</v>
      </c>
      <c r="J2538" t="n">
        <v>0.058</v>
      </c>
      <c r="K2538" t="n">
        <v>0.1128</v>
      </c>
      <c r="L2538" t="inlineStr">
        <is>
          <t>The provided code is part of a WordPress Android application's publicize module. It manages the functionality for sharing content to social media platforms such as Facebook and Twitter using buttons on the app interface. The main purpose of this code seems to be managing the interaction between different components of the system (like Dispatcher and SiteModel) in order to share posts or pages from within the app.</t>
        </is>
      </c>
      <c r="M2538" t="n">
        <v>0.0032</v>
      </c>
      <c r="N2538" t="n">
        <v>0.0789</v>
      </c>
      <c r="O2538" t="n">
        <v>0.1079</v>
      </c>
    </row>
    <row r="2539">
      <c r="A2539" t="inlineStr">
        <is>
          <t>wordpress</t>
        </is>
      </c>
      <c r="B2539" t="inlineStr">
        <is>
          <t>WordPress/src/main/java/org/wordpress/android/ui/publicize/PublicizeDetailFragment.java</t>
        </is>
      </c>
      <c r="C2539">
        <f>HYPERLINK("https://github.com/wordpress-mobile/WordPress-Android/blob/master/WordPress/src/main/java/org/wordpress/android/ui/publicize/PublicizeDetailFragment.java")</f>
        <v/>
      </c>
      <c r="D2539" t="inlineStr">
        <is>
          <t>The provided code is a part of the WordPress Android app's publicize feature implementation. It includes import statements for necessary libraries and classes used in this specific module. The main class extends RecyclerView Adapter which provides views to represent items from data sets. This adapter is responsible for displaying Publicize services associated with a site on Word Press platform. The functionality involves connecting new accounts or updating existing</t>
        </is>
      </c>
      <c r="E2539" t="n">
        <v>0.0035</v>
      </c>
      <c r="F2539" t="n">
        <v>0.0779</v>
      </c>
      <c r="G2539" t="n">
        <v>0.1071</v>
      </c>
      <c r="H2539" t="inlineStr">
        <is>
          <t>The code you provided is a Java function for addition of two numbers (`add()`). It takes in two parameters `a` and `b`, performs the operation `a + b`, and returns the result. The time complexity of this function is O(1), meaning it only executes one simple arithmetic operation regardless of input size.
Here's a conc</t>
        </is>
      </c>
      <c r="I2539" t="n">
        <v>0.0033</v>
      </c>
      <c r="J2539" t="n">
        <v>0.0625</v>
      </c>
      <c r="K2539" t="n">
        <v>0.1181</v>
      </c>
      <c r="L2539" t="inlineStr">
        <is>
          <t>The provided code is for a fragment in an Android application that manages the publicizing of posts to various social media platforms (like Twitter). It uses RecyclerView and custom adapters to display data from PublicizeTable dataset on WordPress site model objects. The main purpose of this code seems to be managing connections with different services like Twitter, Facebook etc. based on user interactions. This includes operations</t>
        </is>
      </c>
      <c r="M2539" t="n">
        <v>0.0033</v>
      </c>
      <c r="N2539" t="n">
        <v>0.027</v>
      </c>
      <c r="O2539" t="n">
        <v>0.1087</v>
      </c>
    </row>
    <row r="2540">
      <c r="A2540" t="inlineStr">
        <is>
          <t>wordpress</t>
        </is>
      </c>
      <c r="B2540" t="inlineStr">
        <is>
          <t>WordPress/src/main/java/org/wordpress/android/ui/publicize/PublicizeWebViewFragment.java</t>
        </is>
      </c>
      <c r="C2540">
        <f>HYPERLINK("https://github.com/wordpress-mobile/WordPress-Android/blob/master/WordPress/src/main/java/org/wordpress/android/ui/publicize/PublicizeWebViewFragment.java")</f>
        <v/>
      </c>
      <c r="D2540" t="inlineStr">
        <is>
          <t>The code provided appears to be part of a WordPress Android application's publicize feature implementation. It includes import statements for necessary classes and packages such as android.net.Uri, android.os.Bundle, android.text.TextUtils, etc., along with some custom ones like org.greenrobot.eventbus.EventBus, org.wordpress.android.models.Publicize</t>
        </is>
      </c>
      <c r="E2540" t="n">
        <v>0.0049</v>
      </c>
      <c r="F2540" t="n">
        <v>0.0667</v>
      </c>
      <c r="G2540" t="n">
        <v>0.09089999999999999</v>
      </c>
      <c r="H2540" t="inlineStr">
        <is>
          <t>The code provided is a Java function named "add" that takes two integers as input and returns their sum. This functionality can be summarised in the following way: The add function adds (or sums up) two numbers together to produce an output. It operates under O(1), meaning its time complexity remains constant regardless of the size of inputs it processes.
Here's another example</t>
        </is>
      </c>
      <c r="I2540" t="n">
        <v>0.0038</v>
      </c>
      <c r="J2540" t="n">
        <v>0.0548</v>
      </c>
      <c r="K2540" t="n">
        <v>0.1481</v>
      </c>
      <c r="L2540" t="inlineStr">
        <is>
          <t>ThegivenJavaAndroidsourcecodefilerepresentsafragmentclassnamed"PublicizeFragment".Itperformsvariousfunctionsrelatedtomonitoringandsocialmediaintegrationinanapplication. Its main purpose is todisplaywebviewsforconnectingserviceslikeFacebookorTwitterusingtheirAPIs. It alsohandlesprogressbarvisibilitybasedonloadstatusoffunctions. The</t>
        </is>
      </c>
      <c r="M2540" t="n">
        <v>0</v>
      </c>
      <c r="N2540" t="n">
        <v>0</v>
      </c>
      <c r="O2540" t="n">
        <v>0</v>
      </c>
    </row>
    <row r="2541">
      <c r="A2541" t="inlineStr">
        <is>
          <t>wordpress</t>
        </is>
      </c>
      <c r="B2541" t="inlineStr">
        <is>
          <t>WordPress/src/main/java/org/wordpress/android/ui/publicize/PublicizeActions.java</t>
        </is>
      </c>
      <c r="C2541">
        <f>HYPERLINK("https://github.com/wordpress-mobile/WordPress-Android/blob/master/WordPress/src/main/java/org/wordpress/android/ui/publicize/PublicizeActions.java")</f>
        <v/>
      </c>
      <c r="D2541" t="inlineStr">
        <is>
          <t>The code provided is a Java class named PublicizeActions that handles API calls to connect or disconnect publicize services on WordPress Android app. It uses Volley for network requests and EventBus for event handling. The main functionality includes connecting (or re-connecting in case of failure) with different publicizing services like Twitter, Facebook etc., as well as disconnection from them. This process involves sending</t>
        </is>
      </c>
      <c r="E2541" t="n">
        <v>0.0038</v>
      </c>
      <c r="F2541" t="n">
        <v>0.0278</v>
      </c>
      <c r="G2541" t="n">
        <v>0.1111</v>
      </c>
      <c r="H2541" t="inlineStr">
        <is>
          <t>The provided code is a Java class named "PublicizeAct" which contains methods for interacting with WordPress publicize services via API calls to connect and disconnect them. The complexity of these operations are O(N), where N represents the number of items in some data structures (like JSON objects or arrays). This means that as input size increases, the time taken by each operation will increase linearly.</t>
        </is>
      </c>
      <c r="I2541" t="n">
        <v>0.0033</v>
      </c>
      <c r="J2541" t="n">
        <v>0.027</v>
      </c>
      <c r="K2541" t="n">
        <v>0.073</v>
      </c>
      <c r="L2541" t="inlineStr">
        <is>
          <t>The given code is a Java class named "PublicizeActivity". This class appears to be responsible for managing the connection and disconnection of publicizing services in an Android application. It interacts with WordPress REST API endpoints related to publicizing connections (e.g., connecting or disconnecting from social media platforms).
It uses several libraries such as Volley for network requests, Event</t>
        </is>
      </c>
      <c r="M2541" t="n">
        <v>0.0037</v>
      </c>
      <c r="N2541" t="n">
        <v>0.0597</v>
      </c>
      <c r="O2541" t="n">
        <v>0.1154</v>
      </c>
    </row>
    <row r="2542">
      <c r="A2542" t="inlineStr">
        <is>
          <t>wordpress</t>
        </is>
      </c>
      <c r="B2542" t="inlineStr">
        <is>
          <t>WordPress/src/main/java/org/wordpress/android/ui/publicize/PublicizeServiceIcon.kt</t>
        </is>
      </c>
      <c r="C2542">
        <f>HYPERLINK("https://github.com/wordpress-mobile/WordPress-Android/blob/master/WordPress/src/main/java/org/wordpress/android/ui/publicize/PublicizeServiceIcon.kt")</f>
        <v/>
      </c>
      <c r="D2542" t="inlineStr">
        <is>
          <t>```kotlin
// This enum maps the service ID to its corresponding local icon resource ID for Publicize services. 
// Custom icons can be used for each of these services as well.
enum class PublicizeServiceIcon(private val serviceId: String, @DrawableRes private val iconResId: Int) {
    BLUESKY("bl</t>
        </is>
      </c>
      <c r="E2542" t="n">
        <v>0.0042</v>
      </c>
      <c r="F2542" t="n">
        <v>0.0392</v>
      </c>
      <c r="G2542" t="n">
        <v>0.0862</v>
      </c>
      <c r="H2542" t="inlineStr">
        <is>
          <t>The provided code is a Kotlin function named `add` that takes two parameters (numbers or any numerical types in general) and returns their summation result. The time complexity of this operation is O(1).
In the README file, it provides an example summary of functionality with concise, clear language. It also mentions about its Complexity which is O(</t>
        </is>
      </c>
      <c r="I2542" t="n">
        <v>0.0038</v>
      </c>
      <c r="J2542" t="n">
        <v>0.0606</v>
      </c>
      <c r="K2542" t="n">
        <v>0.1163</v>
      </c>
      <c r="L2542" t="inlineStr">
        <is>
          <t>```kotlin
// This code defines an enum class `PublicizeServiceIcon` which maps service IDs to their corresponding local icon resource IDs for the Publicize Services in WordPress Android app. 
// The purpose of this is to provide a consistent way to reference icons across different parts of the application without hard coding them directly into each module. 
// It also</t>
        </is>
      </c>
      <c r="M2542" t="n">
        <v>0.0031</v>
      </c>
      <c r="N2542" t="n">
        <v>0.0625</v>
      </c>
      <c r="O2542" t="n">
        <v>0.07630000000000001</v>
      </c>
    </row>
    <row r="2543">
      <c r="A2543" t="inlineStr">
        <is>
          <t>wordpress</t>
        </is>
      </c>
      <c r="B2543" t="inlineStr">
        <is>
          <t>WordPress/src/main/java/org/wordpress/android/ui/publicize/PublicizeAccountChooserDialogFragment.java</t>
        </is>
      </c>
      <c r="C2543">
        <f>HYPERLINK("https://github.com/wordpress-mobile/WordPress-Android/blob/master/WordPress/src/main/java/org/wordpress/android/ui/publicize/PublicizeAccountChooserDialogFragment.java")</f>
        <v/>
      </c>
      <c r="D2543" t="inlineStr">
        <is>
          <t>The code you provided appears to be a part of the WordPress Android app's publicize feature implementation. It involves importing various necessary libraries and classes such as Activity, Dialog, JSONArray/JSONObject for handling data in JSON format, RecyclerView for displaying lists, etc. The main functionality seems to involve setting up dialog fragments with Material Alert Dialog Builder, showing different services</t>
        </is>
      </c>
      <c r="E2543" t="n">
        <v>0.0037</v>
      </c>
      <c r="F2543" t="n">
        <v>0.058</v>
      </c>
      <c r="G2543" t="n">
        <v>0.07630000000000001</v>
      </c>
      <c r="H2543" t="inlineStr">
        <is>
          <t>The code provided is a Java package for managing publicizing connections on WordPress Android app. It includes imports of various libraries and classes used in the application. The complexity appears to be O(N), where N represents the number of items being processed by the algorithm implemented within this context. However, without more specific details about what's happening inside these methods or functions, it's hard to provide</t>
        </is>
      </c>
      <c r="I2543" t="n">
        <v>0.0028</v>
      </c>
      <c r="J2543" t="n">
        <v>0.0519</v>
      </c>
      <c r="K2543" t="n">
        <v>0.1449</v>
      </c>
      <c r="L2543" t="inlineStr">
        <is>
          <t>The provided code is a part of the WordPress Android app's publicize feature implementation. It provides functionality for managing and connecting to external services using which content can be shared on various platforms like Twitter, Facebook etc. 
It starts with importing necessary libraries and classes required for its operation. The main class extends DialogFragment from androidx.fragment.app package. This fragment displays</t>
        </is>
      </c>
      <c r="M2543" t="n">
        <v>0.004</v>
      </c>
      <c r="N2543" t="n">
        <v>0.08450000000000001</v>
      </c>
      <c r="O2543" t="n">
        <v>0.1136</v>
      </c>
    </row>
    <row r="2544">
      <c r="A2544" t="inlineStr">
        <is>
          <t>wordpress</t>
        </is>
      </c>
      <c r="B2544" t="inlineStr">
        <is>
          <t>WordPress/src/main/java/org/wordpress/android/ui/publicize/services/PublicizeUpdateServicesV2.kt</t>
        </is>
      </c>
      <c r="C2544">
        <f>HYPERLINK("https://github.com/wordpress-mobile/WordPress-Android/blob/master/WordPress/src/main/java/org/wordpress/android/ui/publicize/services/PublicizeUpdateServicesV2.kt")</f>
        <v/>
      </c>
      <c r="D2544" t="inlineStr">
        <is>
          <t>The code provided is for updating the list of publicize services in WordPress Android application using REST API calls. It uses dependency injection to provide a RestClientProvider which it uses to make requests and parse responses. The updateServices function takes two parameters - site id and success/failure callbacks that are invoked based on whether the request was successful or not respectively. The implementation involves parsing JSON</t>
        </is>
      </c>
      <c r="E2544" t="n">
        <v>0.0028</v>
      </c>
      <c r="F2544" t="n">
        <v>0.0541</v>
      </c>
      <c r="G2544" t="n">
        <v>0.1087</v>
      </c>
      <c r="H2544" t="inlineStr">
        <is>
          <t>The provided code appears to be a part of an Android application that interacts with WordPress REST API for publicizing services related operations such as updating the list of services. The function `updateServices` is used to update the local service list by making a request to the server and processing the response.
It uses dependency injection via Koin (or similar framework in other parts of the app</t>
        </is>
      </c>
      <c r="I2544" t="n">
        <v>0.0027</v>
      </c>
      <c r="J2544" t="n">
        <v>0.0533</v>
      </c>
      <c r="K2544" t="n">
        <v>0.07190000000000001</v>
      </c>
      <c r="L2544" t="inlineStr">
        <is>
          <t>The provided code is a part of the Android application's backend component that handles updating the list of publicizing services for a specific WordPress site. It uses REST API calls to fetch and update data from the server. The main functionality it provides includes fetching a JSON response containing details about all available publicizing services on the server side (`RestRequest.Listener` block), parses this information</t>
        </is>
      </c>
      <c r="M2544" t="n">
        <v>0.0034</v>
      </c>
      <c r="N2544" t="n">
        <v>0.027</v>
      </c>
      <c r="O2544" t="n">
        <v>0.1103</v>
      </c>
    </row>
    <row r="2545">
      <c r="A2545" t="inlineStr">
        <is>
          <t>wordpress</t>
        </is>
      </c>
      <c r="B2545" t="inlineStr">
        <is>
          <t>WordPress/src/main/java/org/wordpress/android/ui/publicize/adapters/PublicizeConnectionAdapter.java</t>
        </is>
      </c>
      <c r="C2545">
        <f>HYPERLINK("https://github.com/wordpress-mobile/WordPress-Android/blob/master/WordPress/src/main/java/org/wordpress/android/ui/publicize/adapters/PublicizeConnectionAdapter.java")</f>
        <v/>
      </c>
      <c r="D2545" t="inlineStr">
        <is>
          <t>The code provided appears to be part of a WordPress Android application's publicize feature adapter for displaying and managing connections with external services (like social media platforms). The RecyclerView Adapter is used here to manage the data displayed in a list-type UI component. It inflates views from layout XML files based on the `ViewHolder` pattern, binding data to these views using methods</t>
        </is>
      </c>
      <c r="E2545" t="n">
        <v>0.0029</v>
      </c>
      <c r="F2545" t="n">
        <v>0.0278</v>
      </c>
      <c r="G2545" t="n">
        <v>0.0746</v>
      </c>
      <c r="H2545" t="inlineStr">
        <is>
          <t>The code you provided is a Java class that extends RecyclerView.Adapter and it's used to populate the items in a RecyclerView with data from PublicizeConnections. The complexity of this function seems O(n), as it iterates over all elements in the list of connections when onBindViewHolder() method gets called for each item. This means if there are</t>
        </is>
      </c>
      <c r="I2545" t="n">
        <v>0.0039</v>
      </c>
      <c r="J2545" t="n">
        <v>0.0597</v>
      </c>
      <c r="K2545" t="n">
        <v>0.1172</v>
      </c>
      <c r="L2545" t="inlineStr">
        <is>
          <t>The given code is part of a WordPress Android application's backend component that handles the display and management of publicizing services (like social media platforms) connected to a WordPress site. 
It uses an adapter pattern with RecyclerView for displaying data in a list format. The main purpose of this class seems to be managing connections between various publicizing services and WordPress sites. It provides</t>
        </is>
      </c>
      <c r="M2545" t="n">
        <v>0.0028</v>
      </c>
      <c r="N2545" t="n">
        <v>0.0548</v>
      </c>
      <c r="O2545" t="n">
        <v>0.1103</v>
      </c>
    </row>
    <row r="2546">
      <c r="A2546" t="inlineStr">
        <is>
          <t>wordpress</t>
        </is>
      </c>
      <c r="B2546" t="inlineStr">
        <is>
          <t>WordPress/src/main/java/org/wordpress/android/ui/publicize/adapters/PublicizeServiceAdapter.java</t>
        </is>
      </c>
      <c r="C2546">
        <f>HYPERLINK("https://github.com/wordpress-mobile/WordPress-Android/blob/master/WordPress/src/main/java/org/wordpress/android/ui/publicize/adapters/PublicizeServiceAdapter.java")</f>
        <v/>
      </c>
      <c r="D2546" t="inlineStr">
        <is>
          <t>The provided code is for an Android application that uses RecyclerView to display a list of Publicize services and connections in the WordPress app. It includes functionalities such as displaying service icons based on their types using `PublicizeServiceIcon` class, handling user interactions like clicks on items or buttons, updating data when new publicize services are added etc. The complexity of this code seems linear</t>
        </is>
      </c>
      <c r="E2546" t="n">
        <v>0.0028</v>
      </c>
      <c r="F2546" t="n">
        <v>0.0278</v>
      </c>
      <c r="G2546" t="n">
        <v>0.1103</v>
      </c>
      <c r="H2546" t="inlineStr">
        <is>
          <t>The provided code is a Java class that extends the RecyclerView Adapter for displaying publicizing services in an Android application. The add() function appears to be part of this adapter's functionality and it seems to perform addition operation on two integers. However, without more context or specific details about its usage within the larger program, we can only provide a general summary based on what we see here</t>
        </is>
      </c>
      <c r="I2546" t="n">
        <v>0.0057</v>
      </c>
      <c r="J2546" t="n">
        <v>0.0779</v>
      </c>
      <c r="K2546" t="n">
        <v>0.1825</v>
      </c>
      <c r="L2546" t="inlineStr">
        <is>
          <t>The provided code is a Java class that extends RecyclerView.Adapter and serves as an adapter for the Publicize feature in WordPress Android app. It's responsible for managing data of type PublicizeConnection and binding it to views within a RecyclerView layout. The main purpose of this code could be summarized as follows: "Manages and binds publicize connection data with corresponding</t>
        </is>
      </c>
      <c r="M2546" t="n">
        <v>0.0031</v>
      </c>
      <c r="N2546" t="n">
        <v>0.058</v>
      </c>
      <c r="O2546" t="n">
        <v>0.07630000000000001</v>
      </c>
    </row>
    <row r="2547">
      <c r="A2547" t="inlineStr">
        <is>
          <t>wordpress</t>
        </is>
      </c>
      <c r="B2547" t="inlineStr">
        <is>
          <t>WordPress/src/main/java/org/wordpress/android/ui/uploads/UploadServiceFacade.kt</t>
        </is>
      </c>
      <c r="C2547">
        <f>HYPERLINK("https://github.com/wordpress-mobile/WordPress-Android/blob/master/WordPress/src/main/java/org/wordpress/android/ui/uploads/UploadServiceFacade.kt")</f>
        <v/>
      </c>
      <c r="D2547" t="inlineStr">
        <is>
          <t>```kotlin
// This is an injectable class built on top of [UploadService] to provide testability for classes that use it by avoiding any static methods and keeping dependencies explicit through constructor injection. 
class UploadServiceFacade @Inject constructor(private val appContext: Context) {
    // Function to upload a post using the [UploadService</t>
        </is>
      </c>
      <c r="E2547" t="n">
        <v>0.0045</v>
      </c>
      <c r="F2547" t="n">
        <v>0.0727</v>
      </c>
      <c r="G2547" t="n">
        <v>0.124</v>
      </c>
      <c r="H2547" t="inlineStr">
        <is>
          <t>This is a Java code snippet for an injectable class built on top of the [UploadService] that provides testability for classes that use it. It should never contain any static methods. The main purpose of this class is to provide retry functionality for uploading posts via the UploadService.
The `uploadPost` method takes in a context and post model along with</t>
        </is>
      </c>
      <c r="I2547" t="n">
        <v>0.004</v>
      </c>
      <c r="J2547" t="n">
        <v>0.0882</v>
      </c>
      <c r="K2547" t="n">
        <v>0.1136</v>
      </c>
      <c r="L2547" t="inlineStr">
        <is>
          <t>```java
// This class is a facade for the UploadService and its main purpose is to provide testability 
// for classes that use UploadService by not containing any static methods. It provides two public functions: uploadPost() which takes in context, post model, track analytics flag and source for logging as parameters. The first function starts an instance of Upload</t>
        </is>
      </c>
      <c r="M2547" t="n">
        <v>0.0037</v>
      </c>
      <c r="N2547" t="n">
        <v>0.09229999999999999</v>
      </c>
      <c r="O2547" t="n">
        <v>0.1145</v>
      </c>
    </row>
    <row r="2548">
      <c r="A2548" t="inlineStr">
        <is>
          <t>wordpress</t>
        </is>
      </c>
      <c r="B2548" t="inlineStr">
        <is>
          <t>WordPress/src/main/java/org/wordpress/android/ui/uploads/UploadService.java</t>
        </is>
      </c>
      <c r="C2548">
        <f>HYPERLINK("https://github.com/wordpress-mobile/WordPress-Android/blob/master/WordPress/src/main/java/org/wordpress/android/ui/uploads/UploadService.java")</f>
        <v/>
      </c>
      <c r="D2548" t="inlineStr">
        <is>
          <t>The code provided is a service that handles uploading media files to WordPress from an Android application using the FluxC library for data management and event bus for communication between different components of the app. The service subscribes to events related to posts being changed (including remote autosave post), processes these changes, and then dispatches actions to update or create new media items in response. It also</t>
        </is>
      </c>
      <c r="E2548" t="n">
        <v>0.0027</v>
      </c>
      <c r="F2548" t="n">
        <v>0.0267</v>
      </c>
      <c r="G2548" t="n">
        <v>0.07190000000000001</v>
      </c>
      <c r="H2548" t="inlineStr">
        <is>
          <t>The code you provided is a Java class that extends the Android Service class and uses several libraries such as EventBus for event handling. It also contains import statements from various packages related to WordPress application development. The complexity of this code seems to be O(N), where N represents some operation or data structure in your program. However, without more context about how it's used within the larger system,</t>
        </is>
      </c>
      <c r="I2548" t="n">
        <v>0.0026</v>
      </c>
      <c r="J2548" t="n">
        <v>0.0253</v>
      </c>
      <c r="K2548" t="n">
        <v>0.1064</v>
      </c>
      <c r="L2548" t="inlineStr">
        <is>
          <t>The provided code is a service class that handles media upload functionality in WordPress for Android app. It uses the FluxC framework to interact with backend services and database operations. The main purpose of this service seems to be managing file uploads and related activities such as auto saving posts or updating post content when new files are uploaded.
It listens for events from other parts of the application using</t>
        </is>
      </c>
      <c r="M2548" t="n">
        <v>0.0031</v>
      </c>
      <c r="N2548" t="n">
        <v>0.0513</v>
      </c>
      <c r="O2548" t="n">
        <v>0.1056</v>
      </c>
    </row>
    <row r="2549">
      <c r="A2549" t="inlineStr">
        <is>
          <t>wordpress</t>
        </is>
      </c>
      <c r="B2549" t="inlineStr">
        <is>
          <t>WordPress/src/main/java/org/wordpress/android/ui/uploads/UploadActionUseCase.kt</t>
        </is>
      </c>
      <c r="C2549">
        <f>HYPERLINK("https://github.com/wordpress-mobile/WordPress-Android/blob/master/WordPress/src/main/java/org/wordpress/android/ui/uploads/UploadActionUseCase.kt")</f>
        <v/>
      </c>
      <c r="D2549" t="inlineStr">
        <is>
          <t>The code you provided is a part of the Android application's backend software components related to uploading and saving posts in WordPress. It uses Dagger for dependency injection and FluxC as its architecture design pattern. The class `UploadActionUseCase` contains different actions like UPLOAD, REMOTE_AUTO_SAVE, DO_NOTHING etc., which are used during</t>
        </is>
      </c>
      <c r="E2549" t="n">
        <v>0.0044</v>
      </c>
      <c r="F2549" t="n">
        <v>0.0645</v>
      </c>
      <c r="G2549" t="n">
        <v>0.123</v>
      </c>
      <c r="H2549" t="inlineStr">
        <is>
          <t>The code provided is a part of an Android application using Dagger for dependency injection and FluxC as the architecture to manage state in this app. The class `UploadActionUseCase` has several upload actions like UPLOAD, REMOTE_AUTO_SAVE, DO_NOTHING etc., which are used by different components within the app. This class also uses constants such</t>
        </is>
      </c>
      <c r="I2549" t="n">
        <v>0.0041</v>
      </c>
      <c r="J2549" t="n">
        <v>0.0312</v>
      </c>
      <c r="K2549" t="n">
        <v>0.12</v>
      </c>
      <c r="L2549" t="inlineStr">
        <is>
          <t>The provided code is a Dagger/Kotlin based Android application that deals with upload actions in the context of WordPress posts. It has four main functionalities related to auto save, uploading as draft, remote autosave and actual post upload. The purpose of this class seems to be managing these different types of upload actions for WordPress posts.
The `UploadAction` enum defines</t>
        </is>
      </c>
      <c r="M2549" t="n">
        <v>0.003</v>
      </c>
      <c r="N2549" t="n">
        <v>0.058</v>
      </c>
      <c r="O2549" t="n">
        <v>0.1136</v>
      </c>
    </row>
    <row r="2550">
      <c r="A2550" t="inlineStr">
        <is>
          <t>wordpress</t>
        </is>
      </c>
      <c r="B2550" t="inlineStr">
        <is>
          <t>WordPress/src/main/java/org/wordpress/android/ui/uploads/UploadHandler.java</t>
        </is>
      </c>
      <c r="C2550">
        <f>HYPERLINK("https://github.com/wordpress-mobile/WordPress-Android/blob/master/WordPress/src/main/java/org/wordpress/android/ui/uploads/UploadHandler.java")</f>
        <v/>
      </c>
      <c r="D2550" t="inlineStr">
        <is>
          <t>The provided code is an interface named `UploadHandler` that defines three methods for uploading objects of type T and managing in-progress uploads. The method signatures are as follows:
- `void upload(@NonNull T object)` - This method takes a non-null object of generic type T and initiates the upload process. 
- `boolean hasIn</t>
        </is>
      </c>
      <c r="E2550" t="n">
        <v>0.0042</v>
      </c>
      <c r="F2550" t="n">
        <v>0.0667</v>
      </c>
      <c r="G2550" t="n">
        <v>0.0806</v>
      </c>
      <c r="H2550" t="inlineStr">
        <is>
          <t>ThegivenJava-basedcodeimplementsaninterfacecalled"UploadHandler".Itdeclaresthreefunctions:"upload", "hasInProgressUploads"," and "cancelInProgressUploads".Thesefunctionshavebeenusedtomanageuploadoperationsinvariouspartssoftheapplication.However,thereisnoactuallogicforuploadactioninsideloadhandlerimplmentation.Instead,it</t>
        </is>
      </c>
      <c r="I2550" t="n">
        <v>0.0296</v>
      </c>
      <c r="J2550" t="n">
        <v>0.09520000000000001</v>
      </c>
      <c r="K2550" t="n">
        <v>0.0658</v>
      </c>
      <c r="L2550" t="inlineStr">
        <is>
          <t>The provided code is a Java interface named "UploadHandler". This interface has three methods: 
1) The method 'upload' takes an object of type T as input and uploads it to some destination. It does not return anything (i.e., its return type is void).
2) The method 'hasInProgressUploads' checks if there are any</t>
        </is>
      </c>
      <c r="M2550" t="n">
        <v>0.0042</v>
      </c>
      <c r="N2550" t="n">
        <v>0.06560000000000001</v>
      </c>
      <c r="O2550" t="n">
        <v>0.0806</v>
      </c>
    </row>
    <row r="2551">
      <c r="A2551" t="inlineStr">
        <is>
          <t>wordpress</t>
        </is>
      </c>
      <c r="B2551" t="inlineStr">
        <is>
          <t>WordPress/src/main/java/org/wordpress/android/ui/uploads/PostEvents.java</t>
        </is>
      </c>
      <c r="C2551">
        <f>HYPERLINK("https://github.com/wordpress-mobile/WordPress-Android/blob/master/WordPress/src/main/java/org/wordpress/android/ui/uploads/PostEvents.java")</f>
        <v/>
      </c>
      <c r="D2551" t="inlineStr">
        <is>
          <t>The code provided is a Java class named `PostEvents` that contains nested static classes representing different events related to post uploading and editing in WordPress for Android app. The outer class has four inner classes each representing an event type with one final field of the same name as the event type (e.g., PostUploadStarted). These are used to encapsulate data associated with specific types of</t>
        </is>
      </c>
      <c r="E2551" t="n">
        <v>0.0028</v>
      </c>
      <c r="F2551" t="n">
        <v>0.027</v>
      </c>
      <c r="G2551" t="n">
        <v>0.073</v>
      </c>
      <c r="H2551" t="inlineStr">
        <is>
          <t>The provided code is a Java package named `org.wordpress.android.ui.uploads` that contains classes for handling different events related to post uploading in an Android application. The complexity of the implementation appears to be O(N), as there are multiple nested static inner classes each with their own constructor and fields. Each class represents a specific event type (e.g., PostUpload</t>
        </is>
      </c>
      <c r="I2551" t="n">
        <v>0.0032</v>
      </c>
      <c r="J2551" t="n">
        <v>0.0563</v>
      </c>
      <c r="K2551" t="n">
        <v>0.0775</v>
      </c>
      <c r="L2551" t="inlineStr">
        <is>
          <t>The provided code is a Java class named `PostEvents` that contains several static nested classes related to post events in WordPress Android application. The main purpose of this class seems to be managing different types of posts and their associated actions such as uploading, cancellation, media cancellation, or opening the editor for editing an existing post. 
Each of these subclasses has one field (</t>
        </is>
      </c>
      <c r="M2551" t="n">
        <v>0.0028</v>
      </c>
      <c r="N2551" t="n">
        <v>0.0563</v>
      </c>
      <c r="O2551" t="n">
        <v>0.0735</v>
      </c>
    </row>
    <row r="2552">
      <c r="A2552" t="inlineStr">
        <is>
          <t>wordpress</t>
        </is>
      </c>
      <c r="B2552" t="inlineStr">
        <is>
          <t>WordPress/src/main/java/org/wordpress/android/ui/uploads/VideoOptimizerContracts.kt</t>
        </is>
      </c>
      <c r="C2552">
        <f>HYPERLINK("https://github.com/wordpress-mobile/WordPress-Android/blob/master/WordPress/src/main/java/org/wordpress/android/ui/uploads/VideoOptimizerContracts.kt")</f>
        <v/>
      </c>
      <c r="D2552" t="inlineStr">
        <is>
          <t>The provided code is a part of the WordPress Android app's upload module which deals with video optimization tasks. It provides an interface `VideoOptimizerProvider` that starts the process to optimize videos and also interfaces for listening to progress updates on these optimizations. The class `ProgressEvent` represents events containing media data along with its current progress in the optimization task.</t>
        </is>
      </c>
      <c r="E2552" t="n">
        <v>0.0037</v>
      </c>
      <c r="F2552" t="n">
        <v>0.0588</v>
      </c>
      <c r="G2552" t="n">
        <v>0.1145</v>
      </c>
      <c r="H2552" t="inlineStr">
        <is>
          <t>ThegivenJavaorKotlincodeisforavideooptimizeprocessinWordPressAndroidapp.Itusesinterfacesfortype-safecommunicationbetweencomponents.Aproviderclasshandlesvideooptimizationsbycallingasynchronousmethodsforeachtask.Onetypicalistenerwaitsfordoneeventsfrommultiplevideosatonce.Finally,itutilizesadat</t>
        </is>
      </c>
      <c r="I2552" t="n">
        <v>0</v>
      </c>
      <c r="J2552" t="n">
        <v>0</v>
      </c>
      <c r="K2552" t="n">
        <v>0</v>
      </c>
      <c r="L2552" t="inlineStr">
        <is>
          <t>The provided code is a Kotlin implementation of an interface named "VideoOptimizerProvider". This interface has two methods - start(), which initiates the process to optimize videos and onVideoOptimizationCompleted(media: MediaModel), which notifies when video optimization is completed for a specific media item. The function onVideoOptimizationProgress(media: MediaModel, progress:</t>
        </is>
      </c>
      <c r="M2552" t="n">
        <v>0.0048</v>
      </c>
      <c r="N2552" t="n">
        <v>0.0727</v>
      </c>
      <c r="O2552" t="n">
        <v>0.1695</v>
      </c>
    </row>
    <row r="2553">
      <c r="A2553" t="inlineStr">
        <is>
          <t>wordpress</t>
        </is>
      </c>
      <c r="B2553" t="inlineStr">
        <is>
          <t>WordPress/src/main/java/org/wordpress/android/ui/uploads/MediaUploadHandler.java</t>
        </is>
      </c>
      <c r="C2553">
        <f>HYPERLINK("https://github.com/wordpress-mobile/WordPress-Android/blob/master/WordPress/src/main/java/org/wordpress/android/ui/uploads/MediaUploadHandler.java")</f>
        <v/>
      </c>
      <c r="D2553" t="inlineStr">
        <is>
          <t>The code provided appears to be a part of the WordPress Android app's upload functionality. It uses GreenRobot Event Bus for event handling and FluxC as its architecture for managing state in an application with multiple components. The main functionalities include media uploading and cancellation. This includes dispatching events from different parts of the system when actions are performed (like upload or cancel). The size complexity</t>
        </is>
      </c>
      <c r="E2553" t="n">
        <v>0.0033</v>
      </c>
      <c r="F2553" t="n">
        <v>0.0533</v>
      </c>
      <c r="G2553" t="n">
        <v>0.1087</v>
      </c>
      <c r="H2553" t="inlineStr">
        <is>
          <t>ThegivencodeisforaddingtwonumbersusingGreenRobotsEventBusframeworkinAndroidapplication.ItlistensfortheeventsfromFluxCdispatcherandperformsactionsrelatedtoadddingnumbers. ThecomplexityofthisoperationisO(1),whichmeansitdoesnotrequireanyiterationsoroperationsbasedonsizefirstnumber. It'sjustas</t>
        </is>
      </c>
      <c r="I2553" t="n">
        <v>0</v>
      </c>
      <c r="J2553" t="n">
        <v>0</v>
      </c>
      <c r="K2553" t="n">
        <v>0</v>
      </c>
      <c r="L2553" t="inlineStr">
        <is>
          <t>The provided code is part of a WordPress Android application and serves as the implementation for uploading media files to a website using FluxC (a library used by WordPress for state management). The main purpose of this class seems to be managing the process of uploading media content such as images or videos. It does so through various operations including file selection, progress tracking, error handling etc. This functionality can</t>
        </is>
      </c>
      <c r="M2553" t="n">
        <v>0.0034</v>
      </c>
      <c r="N2553" t="n">
        <v>0.0513</v>
      </c>
      <c r="O2553" t="n">
        <v>0.1408</v>
      </c>
    </row>
    <row r="2554">
      <c r="A2554" t="inlineStr">
        <is>
          <t>wordpress</t>
        </is>
      </c>
      <c r="B2554" t="inlineStr">
        <is>
          <t>WordPress/src/main/java/org/wordpress/android/ui/uploads/AutoSavePostIfNotDraftUseCase.kt</t>
        </is>
      </c>
      <c r="C2554">
        <f>HYPERLINK("https://github.com/wordpress-mobile/WordPress-Android/blob/master/WordPress/src/main/java/org/wordpress/android/ui/uploads/AutoSavePostIfNotDraftUseCase.kt")</f>
        <v/>
      </c>
      <c r="D2554" t="inlineStr">
        <is>
          <t>The code provided appears to be a Kotlin implementation of an Android application that uses WordPress as its backend software component. It utilizes coroutines for managing background tasks and GreenRobot EventBus for handling events in the main thread. The code is designed to handle post actions such as auto-save posts from remote sources or fetching statuses of posts. However, without seeing the actual code</t>
        </is>
      </c>
      <c r="E2554" t="n">
        <v>0.0034</v>
      </c>
      <c r="F2554" t="n">
        <v>0.0548</v>
      </c>
      <c r="G2554" t="n">
        <v>0.1471</v>
      </c>
      <c r="H2554" t="inlineStr">
        <is>
          <t>The code provided is a Kotlin function that adds two numbers together and returns the result. The functionality of this code includes taking in two parameters (numbers), performing an addition operation on them, and returning the sum as output. This process has a time complexity of O(1).
In the README file, it's mentioned about the repository which contains backend software components implementing</t>
        </is>
      </c>
      <c r="I2554" t="n">
        <v>0.0042</v>
      </c>
      <c r="J2554" t="n">
        <v>0.0833</v>
      </c>
      <c r="K2554" t="n">
        <v>0.2239</v>
      </c>
      <c r="L2554" t="inlineStr">
        <is>
          <t>ThegivenKotlin code is implementing a feature related to WordPress post management using the FluxC framework from Wordpress Android app. It uses coroutines for managing background tasks and EventBus for notifying UI about changes in posts. The main purpose of this class seems to be handling auto save events triggered by remote sources (like editors on other devices). When an autosave event occurs,</t>
        </is>
      </c>
      <c r="M2554" t="n">
        <v>0.0029</v>
      </c>
      <c r="N2554" t="n">
        <v>0.0571</v>
      </c>
      <c r="O2554" t="n">
        <v>0.1493</v>
      </c>
    </row>
    <row r="2555">
      <c r="A2555" t="inlineStr">
        <is>
          <t>wordpress</t>
        </is>
      </c>
      <c r="B2555" t="inlineStr">
        <is>
          <t>WordPress/src/main/java/org/wordpress/android/ui/uploads/MediaUploadReadyProcessor.java</t>
        </is>
      </c>
      <c r="C2555">
        <f>HYPERLINK("https://github.com/wordpress-mobile/WordPress-Android/blob/master/WordPress/src/main/java/org/wordpress/android/ui/uploads/MediaUploadReadyProcessor.java")</f>
        <v/>
      </c>
      <c r="D2555" t="inlineStr">
        <is>
          <t>The provided code is a Java class named MediaUploadReadyProcessor that implements the interface MediaUploadReadyListener from the package org.wordpress.android.ui.uploads. 
It seems to be responsible for processing media upload ready events and replacing any instances of local media IDs in posts with their corresponding URLs. The implementation involves injecting dependencies via Dagger2 (a dependency</t>
        </is>
      </c>
      <c r="E2555" t="n">
        <v>0.0042</v>
      </c>
      <c r="F2555" t="n">
        <v>0.0625</v>
      </c>
      <c r="G2555" t="n">
        <v>0.0806</v>
      </c>
      <c r="H2555" t="inlineStr">
        <is>
          <t>The code you provided is a Java class named `MediaUploadReadyProcessor` that implements the interface `MediaUploadReadyListener` from WordPress Android app's source code. This class has an injected constructor and overrides one method of its parent interface. The overridden method replaces media file URL in post with local Media ID using Post model object as input parameters.
The complexity</t>
        </is>
      </c>
      <c r="I2555" t="n">
        <v>0.0042</v>
      </c>
      <c r="J2555" t="n">
        <v>0.0606</v>
      </c>
      <c r="K2555" t="n">
        <v>0.155</v>
      </c>
      <c r="L2555" t="inlineStr">
        <is>
          <t>The provided code is a Java class named `MediaUploadReadyProcessor` that implements the interface `MediaUploadReadyListener` from WordPress Android application's source code.
It serves as an intermediary between Media uploading process and Post creation in the app. The main purpose of this class seems to be replacing media files with their corresponding URLs in posts using the local media ID.</t>
        </is>
      </c>
      <c r="M2555" t="n">
        <v>0.0037</v>
      </c>
      <c r="N2555" t="n">
        <v>0.0597</v>
      </c>
      <c r="O2555" t="n">
        <v>0.1538</v>
      </c>
    </row>
    <row r="2556">
      <c r="A2556" t="inlineStr">
        <is>
          <t>wordpress</t>
        </is>
      </c>
      <c r="B2556" t="inlineStr">
        <is>
          <t>WordPress/src/main/java/org/wordpress/android/ui/uploads/PostUploadHandler.java</t>
        </is>
      </c>
      <c r="C2556">
        <f>HYPERLINK("https://github.com/wordpress-mobile/WordPress-Android/blob/master/WordPress/src/main/java/org/wordpress/android/ui/uploads/PostUploadHandler.java")</f>
        <v/>
      </c>
      <c r="D2556" t="inlineStr">
        <is>
          <t>The code provided is a part of the WordPress Android app's upload feature implementation using FluxC architecture and Event Bus for communication between different components in the system. It handles image/video media uploading to a remote server via an AsyncTask which updates its state based on the progress of the upload process. The uploaded files are then attached to posts through Media Actions dispatched by the</t>
        </is>
      </c>
      <c r="E2556" t="n">
        <v>0.0028</v>
      </c>
      <c r="F2556" t="n">
        <v>0.0526</v>
      </c>
      <c r="G2556" t="n">
        <v>0.1087</v>
      </c>
      <c r="H2556" t="inlineStr">
        <is>
          <t>The code you provided appears to be a Java class with methods related to media upload and post creation in WordPress app. It uses the FluxC framework for data management which is an architectural pattern used by Facebook's React team at Instagram. The complexity of this code seems to be O(n), where n represents the number of posts or media files being processed. This could potentially increase as more items</t>
        </is>
      </c>
      <c r="I2556" t="n">
        <v>0.0031</v>
      </c>
      <c r="J2556" t="n">
        <v>0.025</v>
      </c>
      <c r="K2556" t="n">
        <v>0.1056</v>
      </c>
      <c r="L2556" t="inlineStr">
        <is>
          <t>ThegivenJava code is a part of the WordPress Android application's backend component that handles media upload and post creation functionalities. The main purpose of this class seems to be managing asynchronous tasks related to image/video uploading and posting updates on an event bus for other components in the app to listen to.
Here are some key operations performed by this class:
1.</t>
        </is>
      </c>
      <c r="M2556" t="n">
        <v>0.0029</v>
      </c>
      <c r="N2556" t="n">
        <v>0.0556</v>
      </c>
      <c r="O2556" t="n">
        <v>0.1119</v>
      </c>
    </row>
    <row r="2557">
      <c r="A2557" t="inlineStr">
        <is>
          <t>wordpress</t>
        </is>
      </c>
      <c r="B2557" t="inlineStr">
        <is>
          <t>WordPress/src/main/java/org/wordpress/android/ui/uploads/UploadUtils.java</t>
        </is>
      </c>
      <c r="C2557">
        <f>HYPERLINK("https://github.com/wordpress-mobile/WordPress-Android/blob/master/WordPress/src/main/java/org/wordpress/android/ui/uploads/UploadUtils.java")</f>
        <v/>
      </c>
      <c r="D2557" t="inlineStr">
        <is>
          <t>The code provided appears to be part of a WordPress Android application's upload functionality. It includes import statements for various classes and libraries used in the project such as Activity, Context, Intent, TextUtils, View, OnClickListener, NonNull, Nullable, StringRes, Snackbar among others from Material design library or Google Play services. The main class extends an activity (possibly Main</t>
        </is>
      </c>
      <c r="E2557" t="n">
        <v>0.0032</v>
      </c>
      <c r="F2557" t="n">
        <v>0.0606</v>
      </c>
      <c r="G2557" t="n">
        <v>0.0775</v>
      </c>
      <c r="H2557" t="inlineStr">
        <is>
          <t>The provided code is a Java function named "add" which takes two parameters and returns their sum (i.e., addition). The time complexity of this operation is O(1), meaning it performs the same number of operations regardless of input size.
In summary, this code defines an add method that adds two numbers together using simple arithmetic addition. It doesn't involve any complex</t>
        </is>
      </c>
      <c r="I2557" t="n">
        <v>0.003</v>
      </c>
      <c r="J2557" t="n">
        <v>0.0556</v>
      </c>
      <c r="K2557" t="n">
        <v>0.1504</v>
      </c>
      <c r="L2557" t="inlineStr">
        <is>
          <t>ThegivencoderespresentsaUIcomponentforuploaddialoginWordPressAndroidApp.ItusesFluxCapacitorframeworktocommunicatetowiththebackgrounddatabase.
 The main purpose of this code is to facilitate the uploading process in a WordPress Android application by providing an interface for users to select media files and add them as attachments to posts or</t>
        </is>
      </c>
      <c r="M2557" t="n">
        <v>0.0052</v>
      </c>
      <c r="N2557" t="n">
        <v>0.08890000000000001</v>
      </c>
      <c r="O2557" t="n">
        <v>0.0926</v>
      </c>
    </row>
    <row r="2558">
      <c r="A2558" t="inlineStr">
        <is>
          <t>wordpress</t>
        </is>
      </c>
      <c r="B2558" t="inlineStr">
        <is>
          <t>WordPress/src/main/java/org/wordpress/android/ui/uploads/UploadUtilsWrapper.kt</t>
        </is>
      </c>
      <c r="C2558">
        <f>HYPERLINK("https://github.com/wordpress-mobile/WordPress-Android/blob/master/WordPress/src/main/java/org/wordpress/android/ui/uploads/UploadUtilsWrapper.kt")</f>
        <v/>
      </c>
      <c r="D2558" t="inlineStr">
        <is>
          <t>The code provided is a wrapper class for the UploadUtils interface in Android application using Dagger and FluxC architecture. The main purpose of this wrapper is to make testing easier by encapsulating static methods from the UploadUtils interface into non-static methods that can be mocked during unit tests. This reduces complexity as it makes client code difficult to test or mock due to its reliance</t>
        </is>
      </c>
      <c r="E2558" t="n">
        <v>0.0033</v>
      </c>
      <c r="F2558" t="n">
        <v>0.027</v>
      </c>
      <c r="G2558" t="n">
        <v>0.1095</v>
      </c>
      <c r="H2558" t="inlineStr">
        <is>
          <t>The provided code is a Dagger-based Android application with multiple packages and classes involved in upload functionalities of WordPress app. The main purpose of this class `UploadUtilsWrapper` seems to be for easier testing by providing an injectable wrapper around the static methods present in UploadUtils interface which are used as client side utility functions that make it difficult to test them independently. It's complexity appears</t>
        </is>
      </c>
      <c r="I2558" t="n">
        <v>0.0028</v>
      </c>
      <c r="J2558" t="n">
        <v>0.0533</v>
      </c>
      <c r="K2558" t="n">
        <v>0.1095</v>
      </c>
      <c r="L2558" t="inlineStr">
        <is>
          <t>The provided code is a Dagger injectable wrapper around the UploadUtils interface which consists of static methods that make client code difficult to test and mock. The main purpose of this wrapper is to facilitate easier testing by abstracting away complexity from the client code.
 Code Size: 1000 lines.
 Main Purpose: To simplify testing by encapsulating complexities</t>
        </is>
      </c>
      <c r="M2558" t="n">
        <v>0.0032</v>
      </c>
      <c r="N2558" t="n">
        <v>0.0308</v>
      </c>
      <c r="O2558" t="n">
        <v>0.0775</v>
      </c>
    </row>
    <row r="2559">
      <c r="A2559" t="inlineStr">
        <is>
          <t>wordpress</t>
        </is>
      </c>
      <c r="B2559" t="inlineStr">
        <is>
          <t>WordPress/src/main/java/org/wordpress/android/ui/uploads/VideoOptimizer.java</t>
        </is>
      </c>
      <c r="C2559">
        <f>HYPERLINK("https://github.com/wordpress-mobile/WordPress-Android/blob/master/WordPress/src/main/java/org/wordpress/android/ui/uploads/VideoOptimizer.java")</f>
        <v/>
      </c>
      <c r="D2559" t="inlineStr">
        <is>
          <t>The provided code is a Java class that handles the uploading and optimization of videos to WordPress Android application. The main functionality includes checking if video can be optimized (statistics), optimizing it using MediaComposer from M4M library, tracking analytics events related to media optimization process, handling exceptions for file size exceeded errors, logging any issues during this process etc. It uses several utility classes like</t>
        </is>
      </c>
      <c r="E2559" t="n">
        <v>0.0033</v>
      </c>
      <c r="F2559" t="n">
        <v>0.0274</v>
      </c>
      <c r="G2559" t="n">
        <v>0.1095</v>
      </c>
      <c r="H2559" t="inlineStr">
        <is>
          <t>The code provided is a Java package for handling media upload and optimization in the WordPress Android app. It includes various utility classes to handle file operations, analytics tracking, video optimizations etc. The main class being used here is MediaUtils which contains methods related to media processing like resizing images or videos.
In this case, there isn't any function defined specifically as 'add'. However</t>
        </is>
      </c>
      <c r="I2559" t="n">
        <v>0.0028</v>
      </c>
      <c r="J2559" t="n">
        <v>0.0548</v>
      </c>
      <c r="K2559" t="n">
        <v>0.1103</v>
      </c>
      <c r="L2559" t="inlineStr">
        <is>
          <t>ThegivenJavaSourceCodeperformsvariousmediarelatedtasksinanAndroidapplication.Itincludesclassesforhandlingvideooptimizationprocessesincludingcantoptimizeerrorstatistics,successfuloptimizationsstats,etc.Theprimaryclass'UploadManager'hasmethodslikeaddNewTask(),getNextTask()whichmanageastackofmediataskstoexecute.Eachtaskconsistsof</t>
        </is>
      </c>
      <c r="M2559" t="n">
        <v>0</v>
      </c>
      <c r="N2559" t="n">
        <v>0</v>
      </c>
      <c r="O2559" t="n">
        <v>0</v>
      </c>
    </row>
    <row r="2560">
      <c r="A2560" t="inlineStr">
        <is>
          <t>wordpress</t>
        </is>
      </c>
      <c r="B2560" t="inlineStr">
        <is>
          <t>WordPress/src/main/java/org/wordpress/android/ui/uploads/PostMediaHandler.kt</t>
        </is>
      </c>
      <c r="C2560">
        <f>HYPERLINK("https://github.com/wordpress-mobile/WordPress-Android/blob/master/WordPress/src/main/java/org/wordpress/android/ui/uploads/PostMediaHandler.kt")</f>
        <v/>
      </c>
      <c r="D2560" t="inlineStr">
        <is>
          <t>The code is a Java class named `PostMediaHandler` that handles the media upload for posts in WordPress Android app. It has an injected constructor with dependencies on MediaStore and Dispatcher objects. The function `updateMediaWithoutPostId()` takes two parameters - SiteModel and PostModel. This method filters out any media items from the post which have not been associated to a specific post (</t>
        </is>
      </c>
      <c r="E2560" t="n">
        <v>0.0036</v>
      </c>
      <c r="F2560" t="n">
        <v>0.0597</v>
      </c>
      <c r="G2560" t="n">
        <v>0.1128</v>
      </c>
      <c r="H2560" t="inlineStr">
        <is>
          <t>The provided code is a Java class named `PostMediaHandler` that uses dependency injection to obtain instances of the classes it needs (i.e., MediaStore and Dispatcher). This class has one method called `updateMediaWithoutPostId()` which updates media items associated with a post without knowing its ID beforehand. The complexity of this function appears to be O(n), where n represents</t>
        </is>
      </c>
      <c r="I2560" t="n">
        <v>0.0038</v>
      </c>
      <c r="J2560" t="n">
        <v>0.0597</v>
      </c>
      <c r="K2560" t="n">
        <v>0.1163</v>
      </c>
      <c r="L2560" t="inlineStr">
        <is>
          <t>The provided code is a Java class named `PostMediaHandler` that handles the media upload for posts in WordPress Android application. This class has an injected constructor with dependencies on MediaStore and Dispatcher objects. 
It contains one method called `updateMediaWithoutPostId()` which takes as input parameters a SiteModel object representing the site where the post resides, and a Post</t>
        </is>
      </c>
      <c r="M2560" t="n">
        <v>0.0038</v>
      </c>
      <c r="N2560" t="n">
        <v>0.0615</v>
      </c>
      <c r="O2560" t="n">
        <v>0.0775</v>
      </c>
    </row>
    <row r="2561">
      <c r="A2561" t="inlineStr">
        <is>
          <t>wordpress</t>
        </is>
      </c>
      <c r="B2561" t="inlineStr">
        <is>
          <t>WordPress/src/main/java/org/wordpress/android/ui/uploads/PostUploadNotifier.java</t>
        </is>
      </c>
      <c r="C2561">
        <f>HYPERLINK("https://github.com/wordpress-mobile/WordPress-Android/blob/master/WordPress/src/main/java/org/wordpress/android/ui/uploads/PostUploadNotifier.java")</f>
        <v/>
      </c>
      <c r="D2561" t="inlineStr">
        <is>
          <t>The provided code is a part of the WordPress Android application's upload functionality and notification system. It includes import statements for various classes from different packages such as android.app (for Notification and NotificationManager), android.content (for Context and Intent), androidx.collection (for SparseArrayCompat), org.greenrobot.eventbus (for EventBus), etc., and it</t>
        </is>
      </c>
      <c r="E2561" t="n">
        <v>0.0083</v>
      </c>
      <c r="F2561" t="n">
        <v>0.06560000000000001</v>
      </c>
      <c r="G2561" t="n">
        <v>0.08400000000000001</v>
      </c>
      <c r="H2561" t="inlineStr">
        <is>
          <t>The code you provided is a Java class that imports various packages and classes from the WordPress application for handling media uploads, posts, site models, post statuses, notifications processing services etc., but it doesn't contain any function definitions or implementations related to mathematical operations like addition. It seems more of an infrastructure setup or utility package with dependencies on other parts of the application.</t>
        </is>
      </c>
      <c r="I2561" t="n">
        <v>0.0028</v>
      </c>
      <c r="J2561" t="n">
        <v>0.0274</v>
      </c>
      <c r="K2561" t="n">
        <v>0.1103</v>
      </c>
      <c r="L2561" t="inlineStr">
        <is>
          <t>The provided code is a part of the WordPress Android application's upload module. It handles media file upload and notification creation for successful uploads. The main purpose of this class seems to be managing notifications related to post status updates (e.g., drafts being published). 
It uses various classes from other packages such as `org.greenrobot.eventbus` which provides</t>
        </is>
      </c>
      <c r="M2561" t="n">
        <v>0.0033</v>
      </c>
      <c r="N2561" t="n">
        <v>0.0588</v>
      </c>
      <c r="O2561" t="n">
        <v>0.1172</v>
      </c>
    </row>
    <row r="2562">
      <c r="A2562" t="inlineStr">
        <is>
          <t>wordpress</t>
        </is>
      </c>
      <c r="B2562" t="inlineStr">
        <is>
          <t>WordPress/src/main/java/org/wordpress/android/ui/uploads/UploadStarter.kt</t>
        </is>
      </c>
      <c r="C2562">
        <f>HYPERLINK("https://github.com/wordpress-mobile/WordPress-Android/blob/master/WordPress/src/main/java/org/wordpress/android/ui/uploads/UploadStarter.kt")</f>
        <v/>
      </c>
      <c r="D2562" t="inlineStr">
        <is>
          <t>The code you provided appears to be a part of the WordPress Android application's source code. It contains import statements for various libraries and packages used in this project such as android.content, lifecycle, coroutines, etc., along with some classes like DefaultLifecycleObserver, LifecycleOwner, LiveData, Observer, ProcessLifecycleOwner, C</t>
        </is>
      </c>
      <c r="E2562" t="n">
        <v>0.004</v>
      </c>
      <c r="F2562" t="n">
        <v>0.0357</v>
      </c>
      <c r="G2562" t="n">
        <v>0.1271</v>
      </c>
      <c r="H2562" t="inlineStr">
        <is>
          <t>ThegivenKotlin/Java code is a part of the backend software component for WordPress Android app. It's using Kotlin Coroutines to handle asynchronous operations and LiveData objects from android lifecycle library are being used to observe changes in data over time. The function `add` takes two parameters (numbers), adds them together and returns the result. This operation has</t>
        </is>
      </c>
      <c r="I2562" t="n">
        <v>0.0043</v>
      </c>
      <c r="J2562" t="n">
        <v>0.09089999999999999</v>
      </c>
      <c r="K2562" t="n">
        <v>0.1563</v>
      </c>
      <c r="L2562" t="inlineStr">
        <is>
          <t>ThegivenKotlin/Java code is a part of the WordPress Android app's backend component that handles media upload functionality. It utilizes various libraries and frameworks including Coroutines for managing asynchronous tasks and LiveData to observe changes in data. The main purpose of this code seems to be to handle file uploading operations on behalf of other components (like Post or Page Store).</t>
        </is>
      </c>
      <c r="M2562" t="n">
        <v>0.003</v>
      </c>
      <c r="N2562" t="n">
        <v>0.0571</v>
      </c>
      <c r="O2562" t="n">
        <v>0.1136</v>
      </c>
    </row>
    <row r="2563">
      <c r="A2563" t="inlineStr">
        <is>
          <t>wordpress</t>
        </is>
      </c>
      <c r="B2563" t="inlineStr">
        <is>
          <t>WordPress/src/main/java/org/wordpress/android/ui/uploads/VideoOptimizerBase.java</t>
        </is>
      </c>
      <c r="C2563">
        <f>HYPERLINK("https://github.com/wordpress-mobile/WordPress-Android/blob/master/WordPress/src/main/java/org/wordpress/android/ui/uploads/VideoOptimizerBase.java")</f>
        <v/>
      </c>
      <c r="D2563" t="inlineStr">
        <is>
          <t>The code provided is a Java class named `VideoOptimizerBase` which extends an abstract base class and implements the interface `VideoOptimizerProvider`. This class handles video optimization tasks for WordPress Android app. It holds three final variables - a file cache directory (`mCacheDir`), media model data (`mMedia`), and a listener to notify about completion or error of</t>
        </is>
      </c>
      <c r="E2563" t="n">
        <v>0.0044</v>
      </c>
      <c r="F2563" t="n">
        <v>0.0645</v>
      </c>
      <c r="G2563" t="n">
        <v>0.1181</v>
      </c>
      <c r="H2563" t="inlineStr">
        <is>
          <t>The provided code is a Java class named `VideoOptimizerBase` that implements the interface `VideoOptimizerProvider`. It's designed to optimize video files for WordPress Android app by caching media file and providing optimization listener functionality.
It has three protected fields: 
- A final File object `mCacheDir` representing cache directory path.
- A final</t>
        </is>
      </c>
      <c r="I2563" t="n">
        <v>0.0043</v>
      </c>
      <c r="J2563" t="n">
        <v>0.06900000000000001</v>
      </c>
      <c r="K2563" t="n">
        <v>0.0813</v>
      </c>
      <c r="L2563" t="inlineStr">
        <is>
          <t>The provided code is a Java class named "VideoOptimizerBase" that implements an interface called "VideoOptimizerProvider". This class has three protected fields and one public abstract method. The purpose of this class seems to be video optimization for WordPress Android application. 
Specifically, the `mCacheDir` field appears to represent the cache directory where optimized videos are stored.</t>
        </is>
      </c>
      <c r="M2563" t="n">
        <v>0.0044</v>
      </c>
      <c r="N2563" t="n">
        <v>0.0635</v>
      </c>
      <c r="O2563" t="n">
        <v>0.1181</v>
      </c>
    </row>
    <row r="2564">
      <c r="A2564" t="inlineStr">
        <is>
          <t>wordpress</t>
        </is>
      </c>
      <c r="B2564" t="inlineStr">
        <is>
          <t>WordPress/src/main/java/org/wordpress/android/ui/mediapicker/PhotoThumbnailViewHolder.kt</t>
        </is>
      </c>
      <c r="C2564">
        <f>HYPERLINK("https://github.com/wordpress-mobile/WordPress-Android/blob/master/WordPress/src/main/java/org/wordpress/android/ui/mediapicker/PhotoThumbnailViewHolder.kt")</f>
        <v/>
      </c>
      <c r="D2564" t="inlineStr">
        <is>
          <t>The code provided is a custom ViewHolder class for an Android application that displays thumbnails of photos in the Media Picker feature of WordPress app. The purpose of this class seems to be to display and manage user interactions with photo thumbnails such as selection count.
Here's a concise summary: 
- This `PhotoThumbnailViewHolder` extends from `</t>
        </is>
      </c>
      <c r="E2564" t="n">
        <v>0.0039</v>
      </c>
      <c r="F2564" t="n">
        <v>0.0635</v>
      </c>
      <c r="G2564" t="n">
        <v>0.0781</v>
      </c>
      <c r="H2564" t="inlineStr">
        <is>
          <t>The function `bind` in the provided code is used to bind data to a ViewHolder for use within a RecyclerView adapter. It takes an item of type MediaPickerUiItem.PhotoItem as input and sets up various views based on this item's properties such as whether it is selected or not. The method also handles updating the selection count text view if required.</t>
        </is>
      </c>
      <c r="I2564" t="n">
        <v>0.003</v>
      </c>
      <c r="J2564" t="n">
        <v>0.0571</v>
      </c>
      <c r="K2564" t="n">
        <v>0.1136</v>
      </c>
      <c r="L2564" t="inlineStr">
        <is>
          <t>The provided code is a custom ViewHolder class for an Android application that displays media thumbnails in the Media Picker UI of WordPress Android app. It's named "PhotoThumbnailViewHolder". 
This class extends from another abstract base class called "ThumbnailViewHolder" and takes three parameters during initialization - parent view group, utility object to handle media thumbnail</t>
        </is>
      </c>
      <c r="M2564" t="n">
        <v>0.004</v>
      </c>
      <c r="N2564" t="n">
        <v>0.0645</v>
      </c>
      <c r="O2564" t="n">
        <v>0.0794</v>
      </c>
    </row>
    <row r="2565">
      <c r="A2565" t="inlineStr">
        <is>
          <t>wordpress</t>
        </is>
      </c>
      <c r="B2565" t="inlineStr">
        <is>
          <t>WordPress/src/main/java/org/wordpress/android/ui/mediapicker/VideoThumbnailViewHolder.kt</t>
        </is>
      </c>
      <c r="C2565">
        <f>HYPERLINK("https://github.com/wordpress-mobile/WordPress-Android/blob/master/WordPress/src/main/java/org/wordpress/android/ui/mediapicker/VideoThumbnailViewHolder.kt")</f>
        <v/>
      </c>
      <c r="D2565" t="inlineStr">
        <is>
          <t>The code provided is a ViewHolder class for displaying video thumbnails in the Media Picker UI of WordPress Android app. It extends from ThumbnailViewHolder and uses Kotlin coroutines to manage asynchronous tasks related to image loading and display. The main components are an ImageView (`imgThumbnail`), a TextView (`txtSelectionCount`), and another</t>
        </is>
      </c>
      <c r="E2565" t="n">
        <v>0.0037</v>
      </c>
      <c r="F2565" t="n">
        <v>0.0345</v>
      </c>
      <c r="G2565" t="n">
        <v>0.082</v>
      </c>
      <c r="H2565" t="inlineStr">
        <is>
          <t>The code you provided is a Kotlin class named `VideoThumbnailViewHolder` that extends from another class called `ThumbnailViewHolder` which seems to be responsible for handling the view of media thumbnails in an Android application. This class contains several private variables and methods related to image views (for displaying images), text views (to display selection count), and other UI elements</t>
        </is>
      </c>
      <c r="I2565" t="n">
        <v>0.0037</v>
      </c>
      <c r="J2565" t="n">
        <v>0.0606</v>
      </c>
      <c r="K2565" t="n">
        <v>0.0769</v>
      </c>
      <c r="L2565" t="inlineStr">
        <is>
          <t>The provided code is a Kotlin class `VideoThumbnailViewHolder` that extends the abstract base class `ThumbnailViewHolder` in an Android application. This class represents a view holder for video thumbnails within the media picker UI of WordPress Android app.
Functionally, this ViewHolder has three main responsibilities: 
1. Displaying a device</t>
        </is>
      </c>
      <c r="M2565" t="n">
        <v>0.0038</v>
      </c>
      <c r="N2565" t="n">
        <v>0.07140000000000001</v>
      </c>
      <c r="O2565" t="n">
        <v>0.0417</v>
      </c>
    </row>
    <row r="2566">
      <c r="A2566" t="inlineStr">
        <is>
          <t>wordpress</t>
        </is>
      </c>
      <c r="B2566" t="inlineStr">
        <is>
          <t>WordPress/src/main/java/org/wordpress/android/ui/mediapicker/MediaType.kt</t>
        </is>
      </c>
      <c r="C2566">
        <f>HYPERLINK("https://github.com/wordpress-mobile/WordPress-Android/blob/master/WordPress/src/main/java/org/wordpress/android/ui/mediapicker/MediaType.kt")</f>
        <v/>
      </c>
      <c r="D2566" t="inlineStr">
        <is>
          <t>The code provided is an enumeration class named MediaType in the package org.wordpress.android.ui.media which lists four types of media - IMAGE, VIDEO, AUDIO and DOCUMENT. The complexity of this implementation is O(N), meaning it has a linear time complexity. It's used for categorizing different types of media files that can be</t>
        </is>
      </c>
      <c r="E2566" t="n">
        <v>0.0036</v>
      </c>
      <c r="F2566" t="n">
        <v>0.0625</v>
      </c>
      <c r="G2566" t="n">
        <v>0.1626</v>
      </c>
      <c r="H2566" t="inlineStr">
        <is>
          <t>Thegivencodeisimplementinganenumclassnamed'MediaType'.Itincludesfourtypesofmedia-Image,Video,Audio,Document. ThecomplexityofthisoperationisO(N),asitrequiresiteratingoverallitemsinaenumerablelist.
# Code:
```java
public enum MediaType {
    IMAGE("image"), VIDEO</t>
        </is>
      </c>
      <c r="I2566" t="n">
        <v>0</v>
      </c>
      <c r="J2566" t="n">
        <v>0</v>
      </c>
      <c r="K2566" t="n">
        <v>0</v>
      </c>
      <c r="L2566" t="inlineStr">
        <is>
          <t>The provided code is a Java class named `MediaType` that represents the different types of media files supported in an application. This class has four enumerated constants representing image (IMAGE), video (VIDEO), audio (AUDIO) and document (DOCUMENT). The purpose of this class seems to be to categorize various kinds of multimedia content into distinct</t>
        </is>
      </c>
      <c r="M2566" t="n">
        <v>0.004</v>
      </c>
      <c r="N2566" t="n">
        <v>0.0645</v>
      </c>
      <c r="O2566" t="n">
        <v>0.0794</v>
      </c>
    </row>
    <row r="2567">
      <c r="A2567" t="inlineStr">
        <is>
          <t>wordpress</t>
        </is>
      </c>
      <c r="B2567" t="inlineStr">
        <is>
          <t>WordPress/src/main/java/org/wordpress/android/ui/mediapicker/MediaPickerUiItem.kt</t>
        </is>
      </c>
      <c r="C2567">
        <f>HYPERLINK("https://github.com/wordpress-mobile/WordPress-Android/blob/master/WordPress/src/main/java/org/wordpress/android/ui/mediapicker/MediaPickerUiItem.kt")</f>
        <v/>
      </c>
      <c r="D2567" t="inlineStr">
        <is>
          <t>ThegivenKotlin code is a sealed class named MediaPickerUiItem that has various data classes (PhotoItem and VideoItem) as its subclasses. The PhotoItem and VideoItem are both types of items in the media picker UI which can be selected or deselected by users. Each item type contains properties like url, identifier, selection status, order number for selection,</t>
        </is>
      </c>
      <c r="E2567" t="n">
        <v>0.0033</v>
      </c>
      <c r="F2567" t="n">
        <v>0.0317</v>
      </c>
      <c r="G2567" t="n">
        <v>0.0394</v>
      </c>
      <c r="H2567" t="inlineStr">
        <is>
          <t>The provided code is a Kotlin class named `MediaPickerUiItem` that serves as the base for other data classes representing different types of media items in an application like photo and video items. The complexity of this implementation appears to be O(N), given that it contains N number of subclasses each with their own set of properties and methods. Each Media Picker UI item has</t>
        </is>
      </c>
      <c r="I2567" t="n">
        <v>0.0028</v>
      </c>
      <c r="J2567" t="n">
        <v>0.0822</v>
      </c>
      <c r="K2567" t="n">
        <v>0.1103</v>
      </c>
      <c r="L2567" t="inlineStr">
        <is>
          <t>The provided code is a Kotlin implementation of the Media Picker UI Item class with several subclasses representing different types of media items such as PHOTO and VIDEO. The main purpose of this class hierarchy is to manage and organize various types of media items for use in an application's media picker feature.
It uses sealed classes to define a common base class (</t>
        </is>
      </c>
      <c r="M2567" t="n">
        <v>0.0028</v>
      </c>
      <c r="N2567" t="n">
        <v>0.0556</v>
      </c>
      <c r="O2567" t="n">
        <v>0.1471</v>
      </c>
    </row>
    <row r="2568">
      <c r="A2568" t="inlineStr">
        <is>
          <t>wordpress</t>
        </is>
      </c>
      <c r="B2568" t="inlineStr">
        <is>
          <t>WordPress/src/main/java/org/wordpress/android/ui/mediapicker/MediaNavigationEvent.kt</t>
        </is>
      </c>
      <c r="C2568">
        <f>HYPERLINK("https://github.com/wordpress-mobile/WordPress-Android/blob/master/WordPress/src/main/java/org/wordpress/android/ui/mediapicker/MediaNavigationEvent.kt")</f>
        <v/>
      </c>
      <c r="D2568" t="inlineStr">
        <is>
          <t>The given code is a Kotlin implementation of an event system for media navigation in the WordPress Android application. It defines several sealed classes and data classes that represent different types of events related to media selection or action performed by users on the Media Picker Fragment. The main purpose seems to be enabling communication between various components of the app without tight coupling. This makes it easier to handle user interactions with</t>
        </is>
      </c>
      <c r="E2568" t="n">
        <v>0.003</v>
      </c>
      <c r="F2568" t="n">
        <v>0.0494</v>
      </c>
      <c r="G2568" t="n">
        <v>0.1034</v>
      </c>
      <c r="H2568" t="inlineStr">
        <is>
          <t>The provided code is a Kotlin class named MediaNavigationEvent that represents different events related to media navigation in an Android application for WordPress. The class has five data classes representing various types of media navigation events such as Preview URL (which contains the url), Preview Media (which contains a Media Model object), Edit Media (which contains Uri Wrapper objects), Insert Media (which</t>
        </is>
      </c>
      <c r="I2568" t="n">
        <v>0</v>
      </c>
      <c r="J2568" t="n">
        <v>0</v>
      </c>
      <c r="K2568" t="n">
        <v>0</v>
      </c>
      <c r="L2568" t="inlineStr">
        <is>
          <t>The provided code is a Java package containing several classes and data classes related to media handling in the WordPress Android application. The main purpose of this component seems to be managing navigation events within different states for media selection or editing. 
It defines five types of event actions (`PreviewUrl`, `PreviewMedia`, `EditMedia`, `InsertMedia`,</t>
        </is>
      </c>
      <c r="M2568" t="n">
        <v>0.0035</v>
      </c>
      <c r="N2568" t="n">
        <v>0.0328</v>
      </c>
      <c r="O2568" t="n">
        <v>0.08</v>
      </c>
    </row>
    <row r="2569">
      <c r="A2569" t="inlineStr">
        <is>
          <t>wordpress</t>
        </is>
      </c>
      <c r="B2569" t="inlineStr">
        <is>
          <t>WordPress/src/main/java/org/wordpress/android/ui/mediapicker/MediaThumbnailViewUtils.kt</t>
        </is>
      </c>
      <c r="C2569">
        <f>HYPERLINK("https://github.com/wordpress-mobile/WordPress-Android/blob/master/WordPress/src/main/java/org/wordpress/android/ui/mediapicker/MediaThumbnailViewUtils.kt")</f>
        <v/>
      </c>
      <c r="D2569" t="inlineStr">
        <is>
          <t>The provided code is a utility class named MediaThumbnailViewUtils which sets up listeners for an ImageView in the media picker UI. The setupListeners function takes several parameters including an ImageView and a ClickAction that will be performed when the image view is clicked. This utilizes various functionalities from WordPress Android app such as Accessibility Utils, Animation Utils, Color Util</t>
        </is>
      </c>
      <c r="E2569" t="n">
        <v>0.0037</v>
      </c>
      <c r="F2569" t="n">
        <v>0.0597</v>
      </c>
      <c r="G2569" t="n">
        <v>0.1145</v>
      </c>
      <c r="H2569" t="inlineStr">
        <is>
          <t>The provided code is a Java class named MediaThumbnailViewUtils with an ImageManager instance variable and two methods setupUI() and setupListeners(). The complexity of the 'setupListeners' method appears to be O(n), where n represents the number of items in some collection that it processes or iterates over (as indicated by its parameter names). This could potentially include multiple views like</t>
        </is>
      </c>
      <c r="I2569" t="n">
        <v>0.0037</v>
      </c>
      <c r="J2569" t="n">
        <v>0.0294</v>
      </c>
      <c r="K2569" t="n">
        <v>0.07630000000000001</v>
      </c>
      <c r="L2569" t="inlineStr">
        <is>
          <t>The provided code is a custom MediaThumbnailViewUtils class in the WordPress Android app. This class seems to be used for setting up listeners and handling various events related to image thumbnails.
Here's a concise summary of its functionality: 
This utility class sets up event handlers (listeners) on an ImageView component using an instance of the `</t>
        </is>
      </c>
      <c r="M2569" t="n">
        <v>0.0039</v>
      </c>
      <c r="N2569" t="n">
        <v>0.0625</v>
      </c>
      <c r="O2569" t="n">
        <v>0.1172</v>
      </c>
    </row>
    <row r="2570">
      <c r="A2570" t="inlineStr">
        <is>
          <t>wordpress</t>
        </is>
      </c>
      <c r="B2570" t="inlineStr">
        <is>
          <t>WordPress/src/main/java/org/wordpress/android/ui/mediapicker/MediaPickerFragment.kt</t>
        </is>
      </c>
      <c r="C2570">
        <f>HYPERLINK("https://github.com/wordpress-mobile/WordPress-Android/blob/master/WordPress/src/main/java/org/wordpress/android/ui/mediapicker/MediaPickerFragment.kt")</f>
        <v/>
      </c>
      <c r="D2570" t="inlineStr">
        <is>
          <t>The provided code appears to be a part of an Android application that uses the Media Picker feature from WordPress for Android platform. It imports necessary classes and packages like Manifest permissions, Activities, Intents, URIs, OS features (like Build version), Views, Alerts, App Compatibility widgets, Core text/views, Fragments, L</t>
        </is>
      </c>
      <c r="E2570" t="n">
        <v>0.0037</v>
      </c>
      <c r="F2570" t="n">
        <v>0.0345</v>
      </c>
      <c r="G2570" t="n">
        <v>0.124</v>
      </c>
      <c r="H2570" t="inlineStr">
        <is>
          <t>The code you provided is a Java package named `org.wordpress.android.ui.mediapicker` which imports various Android classes and libraries for media picker functionality in an Android application. The main class seems to be extending AppCompatActivity and using some of the imported android classes like Intent, Uri etc., as well as other third-party libraries such as RecyclerView</t>
        </is>
      </c>
      <c r="I2570" t="n">
        <v>0.004</v>
      </c>
      <c r="J2570" t="n">
        <v>0.0597</v>
      </c>
      <c r="K2570" t="n">
        <v>0.0794</v>
      </c>
      <c r="L2570" t="inlineStr">
        <is>
          <t>The provided code is a part of an Android application that includes various import statements for necessary libraries and classes such as android.Manifest.permission, android.app.Activity, android.content.Intent, etc. It also uses some specific AndroidX packages like androidx.appcompat.app.AlertDialog or androidx.recyclerview.widget.GridLayoutManager which are used</t>
        </is>
      </c>
      <c r="M2570" t="n">
        <v>0.0046</v>
      </c>
      <c r="N2570" t="n">
        <v>0.0333</v>
      </c>
      <c r="O2570" t="n">
        <v>0.0893</v>
      </c>
    </row>
    <row r="2571">
      <c r="A2571" t="inlineStr">
        <is>
          <t>wordpress</t>
        </is>
      </c>
      <c r="B2571" t="inlineStr">
        <is>
          <t>WordPress/src/main/java/org/wordpress/android/ui/mediapicker/FileThumbnailViewHolder.kt</t>
        </is>
      </c>
      <c r="C2571">
        <f>HYPERLINK("https://github.com/wordpress-mobile/WordPress-Android/blob/master/WordPress/src/main/java/org/wordpress/android/ui/mediapicker/FileThumbnailViewHolder.kt")</f>
        <v/>
      </c>
      <c r="D2571" t="inlineStr">
        <is>
          <t>&lt;!--- This is a summary of the provided code --&gt;
The `FileThumbnailViewHolder` class in this Android project extends from `ThumbnailViewHolder` and represents a view holder for file items in media picker UI. It holds references to views that display information about files such as their thumbnails, type, name, etc., along with utility functions</t>
        </is>
      </c>
      <c r="E2571" t="n">
        <v>0.0041</v>
      </c>
      <c r="F2571" t="n">
        <v>0.0678</v>
      </c>
      <c r="G2571" t="n">
        <v>0.12</v>
      </c>
      <c r="H2571" t="inlineStr">
        <is>
          <t>The code you provided is a Java class FileThumbnailViewHolder which extends the ThumbnailViewHolder and it's used for handling file items in media picker UI of WordPress Android app. 
In this class, several private variables are initialized using findViewById method to get references to different views (like container, imgThumbnail, etc.) defined in XML layout files</t>
        </is>
      </c>
      <c r="I2571" t="n">
        <v>0.0034</v>
      </c>
      <c r="J2571" t="n">
        <v>0.0317</v>
      </c>
      <c r="K2571" t="n">
        <v>0.119</v>
      </c>
      <c r="L2571" t="inlineStr">
        <is>
          <t>The provided code is a custom ViewHolder class for an Android application that displays media files in a grid view. 
It extends the `ThumbnailViewHolder` class and has several private variables to hold references to different UI elements defined by their IDs (e.g., container of the item's views, image thumbnail, file type text view, etc.). The purpose</t>
        </is>
      </c>
      <c r="M2571" t="n">
        <v>0.0033</v>
      </c>
      <c r="N2571" t="n">
        <v>0.0303</v>
      </c>
      <c r="O2571" t="n">
        <v>0.0391</v>
      </c>
    </row>
    <row r="2572">
      <c r="A2572" t="inlineStr">
        <is>
          <t>wordpress</t>
        </is>
      </c>
      <c r="B2572" t="inlineStr">
        <is>
          <t>WordPress/src/main/java/org/wordpress/android/ui/mediapicker/MediaPickerAdapterDiffCallback.kt</t>
        </is>
      </c>
      <c r="C2572">
        <f>HYPERLINK("https://github.com/wordpress-mobile/WordPress-Android/blob/master/WordPress/src/main/java/org/wordpress/android/ui/mediapicker/MediaPickerAdapterDiffCallback.kt")</f>
        <v/>
      </c>
      <c r="D2572" t="inlineStr">
        <is>
          <t>```kotlin
// This class is a custom DiffUtil Callback for the Media Picker Adapter which calculates differences between old and new lists of items to optimize RecyclerView's data update process. 
// It compares each item in the old list with its corresponding item in the updated (or new) list based on their positions in these lists.</t>
        </is>
      </c>
      <c r="E2572" t="n">
        <v>0.0039</v>
      </c>
      <c r="F2572" t="n">
        <v>0.0635</v>
      </c>
      <c r="G2572" t="n">
        <v>0.0781</v>
      </c>
      <c r="H2572" t="inlineStr">
        <is>
          <t>This repository contains backend software components that implement core algorithms for the WordPress Android app. The complexity of these functions is O(N), as they iterate over a list (`oldItems` and `updatedItems`). They compare each item in both lists to determine if they are the same or not based on their position in the list. If two items have the same position within their respective lists,</t>
        </is>
      </c>
      <c r="I2572" t="n">
        <v>0.004</v>
      </c>
      <c r="J2572" t="n">
        <v>0.1622</v>
      </c>
      <c r="K2572" t="n">
        <v>0.3112</v>
      </c>
      <c r="L2572" t="inlineStr">
        <is>
          <t>The provided code is a custom implementation of DiffUtil.Callback in Kotlin for use with RecyclerView's adapter to determine the differences between old and new lists of MediaPickerUiItem objects. 
 It overrides three key methods from its parent class: getOldListSize(), which returns the size of the old list; getNewListSize()</t>
        </is>
      </c>
      <c r="M2572" t="n">
        <v>0.0039</v>
      </c>
      <c r="N2572" t="n">
        <v>0.0702</v>
      </c>
      <c r="O2572" t="n">
        <v>0.1261</v>
      </c>
    </row>
    <row r="2573">
      <c r="A2573" t="inlineStr">
        <is>
          <t>wordpress</t>
        </is>
      </c>
      <c r="B2573" t="inlineStr">
        <is>
          <t>WordPress/src/main/java/org/wordpress/android/ui/mediapicker/LoaderViewHolder.kt</t>
        </is>
      </c>
      <c r="C2573">
        <f>HYPERLINK("https://github.com/wordpress-mobile/WordPress-Android/blob/master/WordPress/src/main/java/org/wordpress/android/ui/mediapicker/LoaderViewHolder.kt")</f>
        <v/>
      </c>
      <c r="D2573" t="inlineStr">
        <is>
          <t>The provided code is a custom ViewHolder for an Android RecyclerView that displays media picker items with loading and retry functionality. The layout includes a progress bar to indicate the loader's status (visible when it's loading), and a button to trigger the load action again if there was an error during loading (hidden while loading). This class extends from ThumbnailViewHolder which</t>
        </is>
      </c>
      <c r="E2573" t="n">
        <v>0.0036</v>
      </c>
      <c r="F2573" t="n">
        <v>0.0563</v>
      </c>
      <c r="G2573" t="n">
        <v>0.0752</v>
      </c>
      <c r="H2573" t="inlineStr">
        <is>
          <t>The code provided is a custom ViewHolder for RecyclerView in Android that displays a loader with progress bar and retry button when loading media files from the server. The complexity of this function is O(1), as it performs constant time operations regardless of input size. It binds data to its views based on whether an item's state indicates if it's currently being loaded or not</t>
        </is>
      </c>
      <c r="I2573" t="n">
        <v>0.0028</v>
      </c>
      <c r="J2573" t="n">
        <v>0.0526</v>
      </c>
      <c r="K2573" t="n">
        <v>0.1095</v>
      </c>
      <c r="L2573" t="inlineStr">
        <is>
          <t>The provided code is a custom ViewHolder class for an Android application that extends the ThumbnailViewHolder class and adds functionality to display loading indicators while data is being fetched from a remote source. The main purpose of this class seems to be to represent different states (loading or not loading) in relation to media items displayed within a RecyclerView.
The key operations performed</t>
        </is>
      </c>
      <c r="M2573" t="n">
        <v>0.0034</v>
      </c>
      <c r="N2573" t="n">
        <v>0.0282</v>
      </c>
      <c r="O2573" t="n">
        <v>0.1111</v>
      </c>
    </row>
    <row r="2574">
      <c r="A2574" t="inlineStr">
        <is>
          <t>wordpress</t>
        </is>
      </c>
      <c r="B2574" t="inlineStr">
        <is>
          <t>WordPress/src/main/java/org/wordpress/android/ui/mediapicker/MediaPickerViewModel.kt</t>
        </is>
      </c>
      <c r="C2574">
        <f>HYPERLINK("https://github.com/wordpress-mobile/WordPress-Android/blob/master/WordPress/src/main/java/org/wordpress/android/ui/mediapicker/MediaPickerViewModel.kt")</f>
        <v/>
      </c>
      <c r="D2574" t="inlineStr">
        <is>
          <t>The provided code appears to be part of a larger application and it's not specific enough to provide an exact summary. However, based on the import statements and classes used in this piece of code, I can infer that this is likely a fragment or activity class responsible for handling media selection from WordPress-based Android app. It uses coroutines for asynchronous operations, LiveData for</t>
        </is>
      </c>
      <c r="E2574" t="n">
        <v>0.0028</v>
      </c>
      <c r="F2574" t="n">
        <v>0.027</v>
      </c>
      <c r="G2574" t="n">
        <v>0.1103</v>
      </c>
      <c r="H2574" t="inlineStr">
        <is>
          <t>The provided code is a Kotlin function for adding two numbers (`add()`). The functionality of this function is to take in two parameters `a` and `b` which are expected to be numerical values such as integers or floating-point numbers. It then returns the sum of these two numbers. This operation has a time complexity of O(1), meaning it takes constant time regardless</t>
        </is>
      </c>
      <c r="I2574" t="n">
        <v>0.0039</v>
      </c>
      <c r="J2574" t="n">
        <v>0.0833</v>
      </c>
      <c r="K2574" t="n">
        <v>0.1493</v>
      </c>
      <c r="L2574" t="inlineStr">
        <is>
          <t>The provided code is a part of the WordPress Android application's media picker feature implementation. It uses Kotlin programming language and includes various dependencies for handling asynchronous operations, lifecycles, coroutines etc. The main purpose of this code seems to be managing different events related to media items such as editing, exiting or clicking on icons associated with them.</t>
        </is>
      </c>
      <c r="M2574" t="n">
        <v>0.0031</v>
      </c>
      <c r="N2574" t="n">
        <v>0.0597</v>
      </c>
      <c r="O2574" t="n">
        <v>0.1154</v>
      </c>
    </row>
    <row r="2575">
      <c r="A2575" t="inlineStr">
        <is>
          <t>wordpress</t>
        </is>
      </c>
      <c r="B2575" t="inlineStr">
        <is>
          <t>WordPress/src/main/java/org/wordpress/android/ui/mediapicker/MediaPickerActivity.kt</t>
        </is>
      </c>
      <c r="C2575">
        <f>HYPERLINK("https://github.com/wordpress-mobile/WordPress-Android/blob/master/WordPress/src/main/java/org/wordpress/android/ui/mediapicker/MediaPickerActivity.kt")</f>
        <v/>
      </c>
      <c r="D2575" t="inlineStr">
        <is>
          <t>The code provided is for a Media Picker activity in an Android application using WordPress as the backend software component. It allows users to select media from their device or library and uploads it to a specified site on WordPress. The complexity of this implementation appears to be O(n), but without specific details about how n relates to the size of the data set being processed, it's difficult to provide</t>
        </is>
      </c>
      <c r="E2575" t="n">
        <v>0.0031</v>
      </c>
      <c r="F2575" t="n">
        <v>0.05</v>
      </c>
      <c r="G2575" t="n">
        <v>0.1761</v>
      </c>
      <c r="H2575" t="inlineStr">
        <is>
          <t>Thegivenreadmeisnotcompleteorincorrect.Itdoesn'tcontainanyinformationaboutthefunctionalityoftheprovidedcode.Moreover,itseemslikeacomplexprojectwithmultiplefilesandmodulesinsteadofasimpleprogrammingtask.Pleaseprovidethenecessarydetailsforaclearunderstandingofhowthiscodeworks.
I am a software engineer</t>
        </is>
      </c>
      <c r="I2575" t="n">
        <v>0.0293</v>
      </c>
      <c r="J2575" t="n">
        <v>0.1053</v>
      </c>
      <c r="K2575" t="n">
        <v>0.0641</v>
      </c>
      <c r="L2575" t="inlineStr">
        <is>
          <t>Thegivencoderesidesinamainactivityclassnamed"MediaPickerActivity".Itsprimaryroleisdisplayingdifferentoptionsforaddingorselectingsomekindoffilesfromthedevice'smedialibrary.Italsohandlesimageeditingfeaturesincludingrotatingimagesandcroppingthem.Wheninvoked,thisactivitylaunchesintotheselectedstatewithaframelay</t>
        </is>
      </c>
      <c r="M2575" t="n">
        <v>0</v>
      </c>
      <c r="N2575" t="n">
        <v>0</v>
      </c>
      <c r="O2575" t="n">
        <v>0</v>
      </c>
    </row>
    <row r="2576">
      <c r="A2576" t="inlineStr">
        <is>
          <t>wordpress</t>
        </is>
      </c>
      <c r="B2576" t="inlineStr">
        <is>
          <t>WordPress/src/main/java/org/wordpress/android/ui/mediapicker/MediaPickerTracker.kt</t>
        </is>
      </c>
      <c r="C2576">
        <f>HYPERLINK("https://github.com/wordpress-mobile/WordPress-Android/blob/master/WordPress/src/main/java/org/wordpress/android/ui/mediapicker/MediaPickerTracker.kt")</f>
        <v/>
      </c>
      <c r="D2576" t="inlineStr">
        <is>
          <t>The provided code is a Kotlin implementation for media picker functionality in an Android application using the WordPress platform. It uses coroutines to manage asynchronous tasks and analytics tracking to track user interactions with different sections of the media picker interface. 
It includes various statistics or events that are being tracked such as MEDIA_PICKER_ITEM_</t>
        </is>
      </c>
      <c r="E2576" t="n">
        <v>0.004</v>
      </c>
      <c r="F2576" t="n">
        <v>0.09379999999999999</v>
      </c>
      <c r="G2576" t="n">
        <v>0.119</v>
      </c>
      <c r="H2576" t="inlineStr">
        <is>
          <t>The code you provided is a Kotlin function for adding two numbers together (similar to the add() function in your example). The time complexity of this operation is O(1), meaning it takes constant time regardless of input size.
In the README file, there are some statistics and comments about different events tracked by an analytics system related to media picker operations such as opening</t>
        </is>
      </c>
      <c r="I2576" t="n">
        <v>0.0028</v>
      </c>
      <c r="J2576" t="n">
        <v>0.0548</v>
      </c>
      <c r="K2576" t="n">
        <v>0.1103</v>
      </c>
      <c r="L2576" t="inlineStr">
        <is>
          <t>ThegivenKotlin/Java code is a part of the media picker feature in WordPress Android app. It uses Kotlin Coroutines for managing asynchronous tasks and it also utilizes Analytics Tracker to track various events related to media selection, unselection, opening device library etc. The main purpose of this code seems to be handling user interactions with different types of libraries (device</t>
        </is>
      </c>
      <c r="M2576" t="n">
        <v>0.0031</v>
      </c>
      <c r="N2576" t="n">
        <v>0.0294</v>
      </c>
      <c r="O2576" t="n">
        <v>0.1145</v>
      </c>
    </row>
    <row r="2577">
      <c r="A2577" t="inlineStr">
        <is>
          <t>wordpress</t>
        </is>
      </c>
      <c r="B2577" t="inlineStr">
        <is>
          <t>WordPress/src/main/java/org/wordpress/android/ui/mediapicker/MediaItem.kt</t>
        </is>
      </c>
      <c r="C2577">
        <f>HYPERLINK("https://github.com/wordpress-mobile/WordPress-Android/blob/master/WordPress/src/main/java/org/wordpress/android/ui/mediapicker/MediaItem.kt")</f>
        <v/>
      </c>
      <c r="D2577" t="inlineStr">
        <is>
          <t>The provided code is a data class named "MediaItem" that represents an item in the media picker of WordPress Android app. It has several properties including identifier (which could be local URI, remote ID, local ID or stock media identifier), URL, name, type (media type like image, video etc.), MIME Type and date/time when it was last modified. The implementation also includes</t>
        </is>
      </c>
      <c r="E2577" t="n">
        <v>0.0029</v>
      </c>
      <c r="F2577" t="n">
        <v>0.0282</v>
      </c>
      <c r="G2577" t="n">
        <v>0.0746</v>
      </c>
      <c r="H2577" t="inlineStr">
        <is>
          <t>The code you provided is a data class in Kotlin named `mediaItem` that represents an item from the media picker of WordPress Android app. This class has several properties including identifier type (local URI, remote ID, local ID or stock media identifier), URL, name, media type and MIME type as well as last modified date. The complexity of this implementation would be O(n</t>
        </is>
      </c>
      <c r="I2577" t="n">
        <v>0.0034</v>
      </c>
      <c r="J2577" t="n">
        <v>0.0556</v>
      </c>
      <c r="K2577" t="n">
        <v>0.1111</v>
      </c>
      <c r="L2577" t="inlineStr">
        <is>
          <t>The provided code is a data class named "mediaItem" in the package org.wordpress.android.ui.mediapicker that represents an item of media with various properties such as identifier, URL, name (optional), type, mime type (optional) and date modified. The main purpose of this class seems to be to hold these different types of identifiers for different kinds of media</t>
        </is>
      </c>
      <c r="M2577" t="n">
        <v>0.0033</v>
      </c>
      <c r="N2577" t="n">
        <v>0.0294</v>
      </c>
      <c r="O2577" t="n">
        <v>0.0781</v>
      </c>
    </row>
    <row r="2578">
      <c r="A2578" t="inlineStr">
        <is>
          <t>wordpress</t>
        </is>
      </c>
      <c r="B2578" t="inlineStr">
        <is>
          <t>WordPress/src/main/java/org/wordpress/android/ui/mediapicker/ThumbnailViewHolder.kt</t>
        </is>
      </c>
      <c r="C2578">
        <f>HYPERLINK("https://github.com/wordpress-mobile/WordPress-Android/blob/master/WordPress/src/main/java/org/wordpress/android/ui/mediapicker/ThumbnailViewHolder.kt")</f>
        <v/>
      </c>
      <c r="D2578" t="inlineStr">
        <is>
          <t>The provided code is an implementation of a ViewHolder class for use in the Media Picker feature of WordPress Android app using Kotlin language. 
It defines a custom view holder that represents a device thumbnail within a RecyclerView. The constructor takes parameters for parent container (`ViewGroup`), and layout resource identifier (`Int`). Within this constructor,</t>
        </is>
      </c>
      <c r="E2578" t="n">
        <v>0.0034</v>
      </c>
      <c r="F2578" t="n">
        <v>0.0645</v>
      </c>
      <c r="G2578" t="n">
        <v>0.1587</v>
      </c>
      <c r="H2578" t="inlineStr">
        <is>
          <t>ThegivencodeisimplementedusingAndroid'sRecyclerViewlibrarytoinflateaviewholderwithadevicethumbnail.Itdoesnotperformanyarithmeticoperationsbutinsteadusesanewmethodnamed"add".Thisnewmethodtakesintparametersandreturnstheirsum.ItscomplexityisindicatedasO(1),meaningitcompletesineconstantamount</t>
        </is>
      </c>
      <c r="I2578" t="n">
        <v>0</v>
      </c>
      <c r="J2578" t="n">
        <v>0</v>
      </c>
      <c r="K2578" t="n">
        <v>0</v>
      </c>
      <c r="L2578" t="inlineStr">
        <is>
          <t>The code provided is an implementation of a ViewHolder class in Android using Kotlin language for the Media Picker feature of WordPress app. This view holder holds and displays a device thumbnail which can be used as part of a RecyclerView to display multiple items at once. The main purpose of this class seems to be to provide a container or layout for each item displayed within the Recycl</t>
        </is>
      </c>
      <c r="M2578" t="n">
        <v>0.0031</v>
      </c>
      <c r="N2578" t="n">
        <v>0.0519</v>
      </c>
      <c r="O2578" t="n">
        <v>0.1418</v>
      </c>
    </row>
    <row r="2579">
      <c r="A2579" t="inlineStr">
        <is>
          <t>wordpress</t>
        </is>
      </c>
      <c r="B2579" t="inlineStr">
        <is>
          <t>WordPress/src/main/java/org/wordpress/android/ui/mediapicker/MediaPickerAdapter.kt</t>
        </is>
      </c>
      <c r="C2579">
        <f>HYPERLINK("https://github.com/wordpress-mobile/WordPress-Android/blob/master/WordPress/src/main/java/org/wordpress/android/ui/mediapicker/MediaPickerAdapter.kt")</f>
        <v/>
      </c>
      <c r="D2579" t="inlineStr">
        <is>
          <t>The provided code is an implementation of a RecyclerView Adapter in Kotlin for the Media Picker feature on WordPress Android App. The adapter handles different types of UI items such as PhotoItems, VideoItems, FileItems and NextPageLoaderItems which are displayed within a GridLayout. 
It uses DiffUtil to calculate differences between old list and new one allowing</t>
        </is>
      </c>
      <c r="E2579" t="n">
        <v>0.0033</v>
      </c>
      <c r="F2579" t="n">
        <v>0.0635</v>
      </c>
      <c r="G2579" t="n">
        <v>0.1181</v>
      </c>
      <c r="H2579" t="inlineStr">
        <is>
          <t>The code you provided is a Kotlin class named `MediaPickerAdapter` that extends the RecyclerView Adapter in Android. This adapter manages and displays different types of media items (photos, videos, files, etc.) for use with WordPress's Media Picker feature. The complexity of this implementation appears to be O(n), where n represents the number of elements</t>
        </is>
      </c>
      <c r="I2579" t="n">
        <v>0.004</v>
      </c>
      <c r="J2579" t="n">
        <v>0.0625</v>
      </c>
      <c r="K2579" t="n">
        <v>0.1587</v>
      </c>
      <c r="L2579" t="inlineStr">
        <is>
          <t>The provided code is a custom adapter for handling media selection in an Android application using Kotlin and the RecyclerView library from Google's Material Components. This Adapter extends the RecyclerView.Adapter class to manage views that display thumbnails of various types of media files (photos, videos, documents). 
It takes two primary parameters during</t>
        </is>
      </c>
      <c r="M2579" t="n">
        <v>0.0042</v>
      </c>
      <c r="N2579" t="n">
        <v>0.0323</v>
      </c>
      <c r="O2579" t="n">
        <v>0.121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2026-04-24T18:08:53Z</dcterms:created>
  <dcterms:modified xsi:type="dcterms:W3CDTF">2026-04-24T18:08:53Z</dcterms:modified>
</cp:coreProperties>
</file>